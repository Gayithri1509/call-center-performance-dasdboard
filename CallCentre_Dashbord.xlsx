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1949be441e6e14ff/Documents/excel git/"/>
    </mc:Choice>
  </mc:AlternateContent>
  <xr:revisionPtr revIDLastSave="2693" documentId="8_{36BEAD71-AF81-49D1-A2DC-B960DFAF700E}" xr6:coauthVersionLast="47" xr6:coauthVersionMax="47" xr10:uidLastSave="{185CC38E-6D4B-4D5A-9042-9786D79F04AB}"/>
  <bookViews>
    <workbookView xWindow="2688" yWindow="2688" windowWidth="17280" windowHeight="8880" firstSheet="4" activeTab="13" xr2:uid="{26D4546B-D2A1-4444-8EAF-A6228F96F0C1}"/>
  </bookViews>
  <sheets>
    <sheet name="Pivots" sheetId="1" r:id="rId1"/>
    <sheet name="Sheet1" sheetId="3" r:id="rId2"/>
    <sheet name="Sheet3" sheetId="5" r:id="rId3"/>
    <sheet name="Sheet2" sheetId="4" r:id="rId4"/>
    <sheet name="Sheet4" sheetId="6" r:id="rId5"/>
    <sheet name="Sheet5" sheetId="7" r:id="rId6"/>
    <sheet name="sheet 6" sheetId="8" r:id="rId7"/>
    <sheet name="Sheet7" sheetId="9" r:id="rId8"/>
    <sheet name="Sheet8" sheetId="10" r:id="rId9"/>
    <sheet name="DATA2" sheetId="23" r:id="rId10"/>
    <sheet name="new pivot" sheetId="20" r:id="rId11"/>
    <sheet name="Data" sheetId="2" r:id="rId12"/>
    <sheet name="ASSETS" sheetId="15" r:id="rId13"/>
    <sheet name="DASHBOARD" sheetId="22" r:id="rId14"/>
  </sheets>
  <definedNames>
    <definedName name="_xlnm._FilterDatabase" localSheetId="11" hidden="1">Data!$B$3:$H$1003</definedName>
    <definedName name="_xlcn.WorksheetConnection_05.sampledatapivotsblank1.xlsxCALLS" hidden="1">CALLS[]</definedName>
    <definedName name="_xlcn.WorksheetConnection_05.sampledatapivotsblank1.xlsxcustomers" hidden="1">customers[]</definedName>
    <definedName name="ExternalData_1" localSheetId="9" hidden="1">DATA2!$A$3:$M$1003</definedName>
    <definedName name="Slicer_Representative">#N/A</definedName>
    <definedName name="Slicer_Representative1">#N/A</definedName>
    <definedName name="Slicer_Representative2">#N/A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s>
  <extLst>
    <ext xmlns:x14="http://schemas.microsoft.com/office/spreadsheetml/2009/9/main" uri="{876F7934-8845-4945-9796-88D515C7AA90}">
      <x14:pivotCaches>
        <pivotCache cacheId="10"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5.sample-data-pivots-blank (1).xlsx!customers"/>
          <x15:modelTable id="CALLS" name="CALLS" connection="WorksheetConnection_05.sample-data-pivots-blank (1).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34" i="22" l="1" a="1"/>
  <c r="X34" i="22" s="1"/>
  <c r="W37" i="22" a="1"/>
  <c r="W37" i="22" s="1"/>
  <c r="H50" i="20"/>
  <c r="E53" i="20" a="1"/>
  <c r="E53" i="20" s="1"/>
  <c r="M9" i="2" a="1"/>
  <c r="M9"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K986" i="2" a="1"/>
  <c r="K986" i="2" s="1"/>
  <c r="M986" i="2" s="1" a="1"/>
  <c r="M986" i="2" s="1"/>
  <c r="L1003" i="2"/>
  <c r="K4" i="2" a="1"/>
  <c r="K4" i="2" s="1"/>
  <c r="M4" i="2" s="1" a="1"/>
  <c r="M4" i="2" s="1"/>
  <c r="K5" i="2" a="1"/>
  <c r="K5" i="2" s="1"/>
  <c r="M5" i="2" s="1" a="1"/>
  <c r="M5" i="2" s="1"/>
  <c r="K6" i="2" a="1"/>
  <c r="K6" i="2" s="1"/>
  <c r="M6" i="2" s="1" a="1"/>
  <c r="M6" i="2" s="1"/>
  <c r="K7" i="2" a="1"/>
  <c r="K7" i="2" s="1"/>
  <c r="M7" i="2" s="1" a="1"/>
  <c r="M7" i="2" s="1"/>
  <c r="K8" i="2" a="1"/>
  <c r="K8" i="2" s="1"/>
  <c r="M8" i="2" s="1" a="1"/>
  <c r="M8" i="2" s="1"/>
  <c r="K9" i="2" a="1"/>
  <c r="K9" i="2" s="1"/>
  <c r="K10" i="2" a="1"/>
  <c r="K10" i="2" s="1"/>
  <c r="M10" i="2" s="1" a="1"/>
  <c r="M10" i="2" s="1"/>
  <c r="K11" i="2" a="1"/>
  <c r="K11" i="2" s="1"/>
  <c r="M11" i="2" s="1" a="1"/>
  <c r="M11" i="2" s="1"/>
  <c r="K12" i="2" a="1"/>
  <c r="K12" i="2" s="1"/>
  <c r="M12" i="2" s="1" a="1"/>
  <c r="M12" i="2" s="1"/>
  <c r="K13" i="2" a="1"/>
  <c r="K13" i="2" s="1"/>
  <c r="M13" i="2" s="1" a="1"/>
  <c r="M13" i="2" s="1"/>
  <c r="K14" i="2" a="1"/>
  <c r="K14" i="2" s="1"/>
  <c r="M14" i="2" s="1" a="1"/>
  <c r="M14" i="2" s="1"/>
  <c r="K15" i="2" a="1"/>
  <c r="K15" i="2" s="1"/>
  <c r="M15" i="2" s="1" a="1"/>
  <c r="M15" i="2" s="1"/>
  <c r="K16" i="2" a="1"/>
  <c r="K16" i="2" s="1"/>
  <c r="M16" i="2" s="1" a="1"/>
  <c r="M16" i="2" s="1"/>
  <c r="K17" i="2" a="1"/>
  <c r="K17" i="2" s="1"/>
  <c r="M17" i="2" s="1" a="1"/>
  <c r="M17" i="2" s="1"/>
  <c r="K18" i="2" a="1"/>
  <c r="K18" i="2" s="1"/>
  <c r="M18" i="2" s="1" a="1"/>
  <c r="M18" i="2" s="1"/>
  <c r="K19" i="2" a="1"/>
  <c r="K19" i="2" s="1"/>
  <c r="M19" i="2" s="1" a="1"/>
  <c r="M19" i="2" s="1"/>
  <c r="K20" i="2" a="1"/>
  <c r="K20" i="2" s="1"/>
  <c r="M20" i="2" s="1" a="1"/>
  <c r="M20" i="2" s="1"/>
  <c r="K21" i="2" a="1"/>
  <c r="K21" i="2" s="1"/>
  <c r="M21" i="2" s="1" a="1"/>
  <c r="M21" i="2" s="1"/>
  <c r="K22" i="2" a="1"/>
  <c r="K22" i="2" s="1"/>
  <c r="M22" i="2" s="1" a="1"/>
  <c r="M22" i="2" s="1"/>
  <c r="K23" i="2" a="1"/>
  <c r="K23" i="2" s="1"/>
  <c r="M23" i="2" s="1" a="1"/>
  <c r="M23" i="2" s="1"/>
  <c r="K24" i="2" a="1"/>
  <c r="K24" i="2" s="1"/>
  <c r="M24" i="2" s="1" a="1"/>
  <c r="M24" i="2" s="1"/>
  <c r="K25" i="2" a="1"/>
  <c r="K25" i="2" s="1"/>
  <c r="M25" i="2" s="1" a="1"/>
  <c r="M25" i="2" s="1"/>
  <c r="K26" i="2" a="1"/>
  <c r="K26" i="2" s="1"/>
  <c r="M26" i="2" s="1" a="1"/>
  <c r="M26" i="2" s="1"/>
  <c r="K27" i="2" a="1"/>
  <c r="K27" i="2" s="1"/>
  <c r="M27" i="2" s="1" a="1"/>
  <c r="M27" i="2" s="1"/>
  <c r="K28" i="2" a="1"/>
  <c r="K28" i="2" s="1"/>
  <c r="M28" i="2" s="1" a="1"/>
  <c r="M28" i="2" s="1"/>
  <c r="K29" i="2" a="1"/>
  <c r="K29" i="2" s="1"/>
  <c r="M29" i="2" s="1" a="1"/>
  <c r="M29" i="2" s="1"/>
  <c r="K30" i="2" a="1"/>
  <c r="K30" i="2" s="1"/>
  <c r="M30" i="2" s="1" a="1"/>
  <c r="M30" i="2" s="1"/>
  <c r="K31" i="2" a="1"/>
  <c r="K31" i="2" s="1"/>
  <c r="M31" i="2" s="1" a="1"/>
  <c r="M31" i="2" s="1"/>
  <c r="K32" i="2" a="1"/>
  <c r="K32" i="2" s="1"/>
  <c r="M32" i="2" s="1" a="1"/>
  <c r="M32" i="2" s="1"/>
  <c r="K33" i="2" a="1"/>
  <c r="K33" i="2" s="1"/>
  <c r="M33" i="2" s="1" a="1"/>
  <c r="M33" i="2" s="1"/>
  <c r="K34" i="2" a="1"/>
  <c r="K34" i="2" s="1"/>
  <c r="M34" i="2" s="1" a="1"/>
  <c r="M34" i="2" s="1"/>
  <c r="K35" i="2" a="1"/>
  <c r="K35" i="2" s="1"/>
  <c r="M35" i="2" s="1" a="1"/>
  <c r="M35" i="2" s="1"/>
  <c r="K36" i="2" a="1"/>
  <c r="K36" i="2" s="1"/>
  <c r="M36" i="2" s="1" a="1"/>
  <c r="M36" i="2" s="1"/>
  <c r="K37" i="2" a="1"/>
  <c r="K37" i="2" s="1"/>
  <c r="M37" i="2" s="1" a="1"/>
  <c r="M37" i="2" s="1"/>
  <c r="K38" i="2" a="1"/>
  <c r="K38" i="2" s="1"/>
  <c r="M38" i="2" s="1" a="1"/>
  <c r="M38" i="2" s="1"/>
  <c r="K39" i="2" a="1"/>
  <c r="K39" i="2" s="1"/>
  <c r="M39" i="2" s="1" a="1"/>
  <c r="M39" i="2" s="1"/>
  <c r="K40" i="2" a="1"/>
  <c r="K40" i="2" s="1"/>
  <c r="M40" i="2" s="1" a="1"/>
  <c r="M40" i="2" s="1"/>
  <c r="K41" i="2" a="1"/>
  <c r="K41" i="2" s="1"/>
  <c r="M41" i="2" s="1" a="1"/>
  <c r="M41" i="2" s="1"/>
  <c r="K42" i="2" a="1"/>
  <c r="K42" i="2" s="1"/>
  <c r="M42" i="2" s="1" a="1"/>
  <c r="M42" i="2" s="1"/>
  <c r="K43" i="2" a="1"/>
  <c r="K43" i="2" s="1"/>
  <c r="M43" i="2" s="1" a="1"/>
  <c r="M43" i="2" s="1"/>
  <c r="K44" i="2" a="1"/>
  <c r="K44" i="2" s="1"/>
  <c r="M44" i="2" s="1" a="1"/>
  <c r="M44" i="2" s="1"/>
  <c r="K45" i="2" a="1"/>
  <c r="K45" i="2" s="1"/>
  <c r="M45" i="2" s="1" a="1"/>
  <c r="M45" i="2" s="1"/>
  <c r="K46" i="2" a="1"/>
  <c r="K46" i="2" s="1"/>
  <c r="M46" i="2" s="1" a="1"/>
  <c r="M46" i="2" s="1"/>
  <c r="K47" i="2" a="1"/>
  <c r="K47" i="2" s="1"/>
  <c r="M47" i="2" s="1" a="1"/>
  <c r="M47" i="2" s="1"/>
  <c r="K48" i="2" a="1"/>
  <c r="K48" i="2" s="1"/>
  <c r="M48" i="2" s="1" a="1"/>
  <c r="M48" i="2" s="1"/>
  <c r="K49" i="2" a="1"/>
  <c r="K49" i="2" s="1"/>
  <c r="M49" i="2" s="1" a="1"/>
  <c r="M49" i="2" s="1"/>
  <c r="K50" i="2" a="1"/>
  <c r="K50" i="2" s="1"/>
  <c r="M50" i="2" s="1" a="1"/>
  <c r="M50" i="2" s="1"/>
  <c r="K51" i="2" a="1"/>
  <c r="K51" i="2" s="1"/>
  <c r="M51" i="2" s="1" a="1"/>
  <c r="M51" i="2" s="1"/>
  <c r="K52" i="2" a="1"/>
  <c r="K52" i="2" s="1"/>
  <c r="M52" i="2" s="1" a="1"/>
  <c r="M52" i="2" s="1"/>
  <c r="K53" i="2" a="1"/>
  <c r="K53" i="2" s="1"/>
  <c r="M53" i="2" s="1" a="1"/>
  <c r="M53" i="2" s="1"/>
  <c r="K54" i="2" a="1"/>
  <c r="K54" i="2" s="1"/>
  <c r="M54" i="2" s="1" a="1"/>
  <c r="M54" i="2" s="1"/>
  <c r="K55" i="2" a="1"/>
  <c r="K55" i="2" s="1"/>
  <c r="M55" i="2" s="1" a="1"/>
  <c r="M55" i="2" s="1"/>
  <c r="K56" i="2" a="1"/>
  <c r="K56" i="2" s="1"/>
  <c r="M56" i="2" s="1" a="1"/>
  <c r="M56" i="2" s="1"/>
  <c r="K57" i="2" a="1"/>
  <c r="K57" i="2" s="1"/>
  <c r="M57" i="2" s="1" a="1"/>
  <c r="M57" i="2" s="1"/>
  <c r="K58" i="2" a="1"/>
  <c r="K58" i="2" s="1"/>
  <c r="M58" i="2" s="1" a="1"/>
  <c r="M58" i="2" s="1"/>
  <c r="K59" i="2" a="1"/>
  <c r="K59" i="2" s="1"/>
  <c r="M59" i="2" s="1" a="1"/>
  <c r="M59" i="2" s="1"/>
  <c r="K60" i="2" a="1"/>
  <c r="K60" i="2" s="1"/>
  <c r="M60" i="2" s="1" a="1"/>
  <c r="M60" i="2" s="1"/>
  <c r="K61" i="2" a="1"/>
  <c r="K61" i="2" s="1"/>
  <c r="M61" i="2" s="1" a="1"/>
  <c r="M61" i="2" s="1"/>
  <c r="K62" i="2" a="1"/>
  <c r="K62" i="2" s="1"/>
  <c r="M62" i="2" s="1" a="1"/>
  <c r="M62" i="2" s="1"/>
  <c r="K63" i="2" a="1"/>
  <c r="K63" i="2" s="1"/>
  <c r="M63" i="2" s="1" a="1"/>
  <c r="M63" i="2" s="1"/>
  <c r="K64" i="2" a="1"/>
  <c r="K64" i="2" s="1"/>
  <c r="M64" i="2" s="1" a="1"/>
  <c r="M64" i="2" s="1"/>
  <c r="K65" i="2" a="1"/>
  <c r="K65" i="2" s="1"/>
  <c r="M65" i="2" s="1" a="1"/>
  <c r="M65" i="2" s="1"/>
  <c r="K66" i="2" a="1"/>
  <c r="K66" i="2" s="1"/>
  <c r="M66" i="2" s="1" a="1"/>
  <c r="M66" i="2" s="1"/>
  <c r="K67" i="2" a="1"/>
  <c r="K67" i="2" s="1"/>
  <c r="M67" i="2" s="1" a="1"/>
  <c r="M67" i="2" s="1"/>
  <c r="K68" i="2" a="1"/>
  <c r="K68" i="2" s="1"/>
  <c r="M68" i="2" s="1" a="1"/>
  <c r="M68" i="2" s="1"/>
  <c r="K69" i="2" a="1"/>
  <c r="K69" i="2" s="1"/>
  <c r="M69" i="2" s="1" a="1"/>
  <c r="M69" i="2" s="1"/>
  <c r="K70" i="2" a="1"/>
  <c r="K70" i="2" s="1"/>
  <c r="M70" i="2" s="1" a="1"/>
  <c r="M70" i="2" s="1"/>
  <c r="K71" i="2" a="1"/>
  <c r="K71" i="2" s="1"/>
  <c r="M71" i="2" s="1" a="1"/>
  <c r="M71" i="2" s="1"/>
  <c r="K72" i="2" a="1"/>
  <c r="K72" i="2" s="1"/>
  <c r="M72" i="2" s="1" a="1"/>
  <c r="M72" i="2" s="1"/>
  <c r="K73" i="2" a="1"/>
  <c r="K73" i="2" s="1"/>
  <c r="M73" i="2" s="1" a="1"/>
  <c r="M73" i="2" s="1"/>
  <c r="K74" i="2" a="1"/>
  <c r="K74" i="2" s="1"/>
  <c r="M74" i="2" s="1" a="1"/>
  <c r="M74" i="2" s="1"/>
  <c r="K75" i="2" a="1"/>
  <c r="K75" i="2" s="1"/>
  <c r="M75" i="2" s="1" a="1"/>
  <c r="M75" i="2" s="1"/>
  <c r="K76" i="2" a="1"/>
  <c r="K76" i="2" s="1"/>
  <c r="M76" i="2" s="1" a="1"/>
  <c r="M76" i="2" s="1"/>
  <c r="K77" i="2" a="1"/>
  <c r="K77" i="2" s="1"/>
  <c r="M77" i="2" s="1" a="1"/>
  <c r="M77" i="2" s="1"/>
  <c r="K78" i="2" a="1"/>
  <c r="K78" i="2" s="1"/>
  <c r="M78" i="2" s="1" a="1"/>
  <c r="M78" i="2" s="1"/>
  <c r="K79" i="2" a="1"/>
  <c r="K79" i="2" s="1"/>
  <c r="M79" i="2" s="1" a="1"/>
  <c r="M79" i="2" s="1"/>
  <c r="K80" i="2" a="1"/>
  <c r="K80" i="2" s="1"/>
  <c r="M80" i="2" s="1" a="1"/>
  <c r="M80" i="2" s="1"/>
  <c r="K81" i="2" a="1"/>
  <c r="K81" i="2"/>
  <c r="M81" i="2" s="1" a="1"/>
  <c r="M81" i="2" s="1"/>
  <c r="K82" i="2" a="1"/>
  <c r="K82" i="2" s="1"/>
  <c r="M82" i="2" s="1" a="1"/>
  <c r="M82" i="2" s="1"/>
  <c r="K83" i="2" a="1"/>
  <c r="K83" i="2" s="1"/>
  <c r="M83" i="2" s="1" a="1"/>
  <c r="M83" i="2" s="1"/>
  <c r="K84" i="2" a="1"/>
  <c r="K84" i="2" s="1"/>
  <c r="M84" i="2" s="1" a="1"/>
  <c r="M84" i="2" s="1"/>
  <c r="K85" i="2" a="1"/>
  <c r="K85" i="2" s="1"/>
  <c r="M85" i="2" s="1" a="1"/>
  <c r="M85" i="2" s="1"/>
  <c r="K86" i="2" a="1"/>
  <c r="K86" i="2" s="1"/>
  <c r="M86" i="2" s="1" a="1"/>
  <c r="M86" i="2" s="1"/>
  <c r="K87" i="2" a="1"/>
  <c r="K87" i="2" s="1"/>
  <c r="M87" i="2" s="1" a="1"/>
  <c r="M87" i="2" s="1"/>
  <c r="K88" i="2" a="1"/>
  <c r="K88" i="2" s="1"/>
  <c r="M88" i="2" s="1" a="1"/>
  <c r="M88" i="2" s="1"/>
  <c r="K89" i="2" a="1"/>
  <c r="K89" i="2" s="1"/>
  <c r="M89" i="2" s="1" a="1"/>
  <c r="M89" i="2" s="1"/>
  <c r="K90" i="2" a="1"/>
  <c r="K90" i="2" s="1"/>
  <c r="M90" i="2" s="1" a="1"/>
  <c r="M90" i="2" s="1"/>
  <c r="K91" i="2" a="1"/>
  <c r="K91" i="2" s="1"/>
  <c r="M91" i="2" s="1" a="1"/>
  <c r="M91" i="2" s="1"/>
  <c r="K92" i="2" a="1"/>
  <c r="K92" i="2" s="1"/>
  <c r="M92" i="2" s="1" a="1"/>
  <c r="M92" i="2" s="1"/>
  <c r="K93" i="2" a="1"/>
  <c r="K93" i="2" s="1"/>
  <c r="M93" i="2" s="1" a="1"/>
  <c r="M93" i="2" s="1"/>
  <c r="K94" i="2" a="1"/>
  <c r="K94" i="2" s="1"/>
  <c r="M94" i="2" s="1" a="1"/>
  <c r="M94" i="2" s="1"/>
  <c r="K95" i="2" a="1"/>
  <c r="K95" i="2" s="1"/>
  <c r="M95" i="2" s="1" a="1"/>
  <c r="M95" i="2" s="1"/>
  <c r="K96" i="2" a="1"/>
  <c r="K96" i="2" s="1"/>
  <c r="M96" i="2" s="1" a="1"/>
  <c r="M96" i="2" s="1"/>
  <c r="K97" i="2" a="1"/>
  <c r="K97" i="2" s="1"/>
  <c r="M97" i="2" s="1" a="1"/>
  <c r="M97" i="2" s="1"/>
  <c r="K98" i="2" a="1"/>
  <c r="K98" i="2" s="1"/>
  <c r="M98" i="2" s="1" a="1"/>
  <c r="M98" i="2" s="1"/>
  <c r="K99" i="2" a="1"/>
  <c r="K99" i="2" s="1"/>
  <c r="M99" i="2" s="1" a="1"/>
  <c r="M99" i="2" s="1"/>
  <c r="K100" i="2" a="1"/>
  <c r="K100" i="2" s="1"/>
  <c r="M100" i="2" s="1" a="1"/>
  <c r="M100" i="2" s="1"/>
  <c r="K101" i="2" a="1"/>
  <c r="K101" i="2" s="1"/>
  <c r="M101" i="2" s="1" a="1"/>
  <c r="M101" i="2" s="1"/>
  <c r="K102" i="2" a="1"/>
  <c r="K102" i="2" s="1"/>
  <c r="M102" i="2" s="1" a="1"/>
  <c r="M102" i="2" s="1"/>
  <c r="K103" i="2" a="1"/>
  <c r="K103" i="2" s="1"/>
  <c r="M103" i="2" s="1" a="1"/>
  <c r="M103" i="2" s="1"/>
  <c r="K104" i="2" a="1"/>
  <c r="K104" i="2" s="1"/>
  <c r="M104" i="2" s="1" a="1"/>
  <c r="M104" i="2" s="1"/>
  <c r="K105" i="2" a="1"/>
  <c r="K105" i="2" s="1"/>
  <c r="M105" i="2" s="1" a="1"/>
  <c r="M105" i="2" s="1"/>
  <c r="K106" i="2" a="1"/>
  <c r="K106" i="2" s="1"/>
  <c r="M106" i="2" s="1" a="1"/>
  <c r="M106" i="2" s="1"/>
  <c r="K107" i="2" a="1"/>
  <c r="K107" i="2" s="1"/>
  <c r="M107" i="2" s="1" a="1"/>
  <c r="M107" i="2" s="1"/>
  <c r="K108" i="2" a="1"/>
  <c r="K108" i="2" s="1"/>
  <c r="M108" i="2" s="1" a="1"/>
  <c r="M108" i="2" s="1"/>
  <c r="K109" i="2" a="1"/>
  <c r="K109" i="2" s="1"/>
  <c r="M109" i="2" s="1" a="1"/>
  <c r="M109" i="2" s="1"/>
  <c r="K110" i="2" a="1"/>
  <c r="K110" i="2"/>
  <c r="M110" i="2" s="1" a="1"/>
  <c r="M110" i="2" s="1"/>
  <c r="K111" i="2" a="1"/>
  <c r="K111" i="2" s="1"/>
  <c r="M111" i="2" s="1" a="1"/>
  <c r="M111" i="2" s="1"/>
  <c r="K112" i="2" a="1"/>
  <c r="K112" i="2" s="1"/>
  <c r="M112" i="2" s="1" a="1"/>
  <c r="M112" i="2" s="1"/>
  <c r="K113" i="2" a="1"/>
  <c r="K113" i="2" s="1"/>
  <c r="M113" i="2" s="1" a="1"/>
  <c r="M113" i="2" s="1"/>
  <c r="K114" i="2" a="1"/>
  <c r="K114" i="2" s="1"/>
  <c r="M114" i="2" s="1" a="1"/>
  <c r="M114" i="2" s="1"/>
  <c r="K115" i="2" a="1"/>
  <c r="K115" i="2" s="1"/>
  <c r="M115" i="2" s="1" a="1"/>
  <c r="M115" i="2" s="1"/>
  <c r="K116" i="2" a="1"/>
  <c r="K116" i="2" s="1"/>
  <c r="M116" i="2" s="1" a="1"/>
  <c r="M116" i="2" s="1"/>
  <c r="K117" i="2" a="1"/>
  <c r="K117" i="2" s="1"/>
  <c r="M117" i="2" s="1" a="1"/>
  <c r="M117" i="2" s="1"/>
  <c r="K118" i="2" a="1"/>
  <c r="K118" i="2" s="1"/>
  <c r="M118" i="2" s="1" a="1"/>
  <c r="M118" i="2" s="1"/>
  <c r="K119" i="2" a="1"/>
  <c r="K119" i="2" s="1"/>
  <c r="M119" i="2" s="1" a="1"/>
  <c r="M119" i="2" s="1"/>
  <c r="K120" i="2" a="1"/>
  <c r="K120" i="2" s="1"/>
  <c r="M120" i="2" s="1" a="1"/>
  <c r="M120" i="2" s="1"/>
  <c r="K121" i="2" a="1"/>
  <c r="K121" i="2" s="1"/>
  <c r="M121" i="2" s="1" a="1"/>
  <c r="M121" i="2" s="1"/>
  <c r="K122" i="2" a="1"/>
  <c r="K122" i="2" s="1"/>
  <c r="M122" i="2" s="1" a="1"/>
  <c r="M122" i="2" s="1"/>
  <c r="K123" i="2" a="1"/>
  <c r="K123" i="2" s="1"/>
  <c r="M123" i="2" s="1" a="1"/>
  <c r="M123" i="2" s="1"/>
  <c r="K124" i="2" a="1"/>
  <c r="K124" i="2" s="1"/>
  <c r="M124" i="2" s="1" a="1"/>
  <c r="M124" i="2" s="1"/>
  <c r="K125" i="2" a="1"/>
  <c r="K125" i="2" s="1"/>
  <c r="M125" i="2" s="1" a="1"/>
  <c r="M125" i="2" s="1"/>
  <c r="K126" i="2" a="1"/>
  <c r="K126" i="2" s="1"/>
  <c r="M126" i="2" s="1" a="1"/>
  <c r="M126" i="2" s="1"/>
  <c r="K127" i="2" a="1"/>
  <c r="K127" i="2" s="1"/>
  <c r="M127" i="2" s="1" a="1"/>
  <c r="M127" i="2" s="1"/>
  <c r="K128" i="2" a="1"/>
  <c r="K128" i="2" s="1"/>
  <c r="M128" i="2" s="1" a="1"/>
  <c r="M128" i="2" s="1"/>
  <c r="K129" i="2" a="1"/>
  <c r="K129" i="2" s="1"/>
  <c r="M129" i="2" s="1" a="1"/>
  <c r="M129" i="2" s="1"/>
  <c r="K130" i="2" a="1"/>
  <c r="K130" i="2" s="1"/>
  <c r="M130" i="2" s="1" a="1"/>
  <c r="M130" i="2" s="1"/>
  <c r="K131" i="2" a="1"/>
  <c r="K131" i="2" s="1"/>
  <c r="M131" i="2" s="1" a="1"/>
  <c r="M131" i="2" s="1"/>
  <c r="K132" i="2" a="1"/>
  <c r="K132" i="2" s="1"/>
  <c r="M132" i="2" s="1" a="1"/>
  <c r="M132" i="2" s="1"/>
  <c r="K133" i="2" a="1"/>
  <c r="K133" i="2" s="1"/>
  <c r="M133" i="2" s="1" a="1"/>
  <c r="M133" i="2" s="1"/>
  <c r="K134" i="2" a="1"/>
  <c r="K134" i="2" s="1"/>
  <c r="M134" i="2" s="1" a="1"/>
  <c r="M134" i="2" s="1"/>
  <c r="K135" i="2" a="1"/>
  <c r="K135" i="2" s="1"/>
  <c r="M135" i="2" s="1" a="1"/>
  <c r="M135" i="2" s="1"/>
  <c r="K136" i="2" a="1"/>
  <c r="K136" i="2" s="1"/>
  <c r="M136" i="2" s="1" a="1"/>
  <c r="M136" i="2" s="1"/>
  <c r="K137" i="2" a="1"/>
  <c r="K137" i="2" s="1"/>
  <c r="M137" i="2" s="1" a="1"/>
  <c r="M137" i="2" s="1"/>
  <c r="K138" i="2" a="1"/>
  <c r="K138" i="2" s="1"/>
  <c r="M138" i="2" s="1" a="1"/>
  <c r="M138" i="2" s="1"/>
  <c r="K139" i="2" a="1"/>
  <c r="K139" i="2" s="1"/>
  <c r="M139" i="2" s="1" a="1"/>
  <c r="M139" i="2" s="1"/>
  <c r="K140" i="2" a="1"/>
  <c r="K140" i="2" s="1"/>
  <c r="M140" i="2" s="1" a="1"/>
  <c r="M140" i="2" s="1"/>
  <c r="K141" i="2" a="1"/>
  <c r="K141" i="2" s="1"/>
  <c r="M141" i="2" s="1" a="1"/>
  <c r="M141" i="2" s="1"/>
  <c r="K142" i="2" a="1"/>
  <c r="K142" i="2" s="1"/>
  <c r="M142" i="2" s="1" a="1"/>
  <c r="M142" i="2" s="1"/>
  <c r="K143" i="2" a="1"/>
  <c r="K143" i="2" s="1"/>
  <c r="M143" i="2" s="1" a="1"/>
  <c r="M143" i="2" s="1"/>
  <c r="K144" i="2" a="1"/>
  <c r="K144" i="2" s="1"/>
  <c r="M144" i="2" s="1" a="1"/>
  <c r="M144" i="2" s="1"/>
  <c r="K145" i="2" a="1"/>
  <c r="K145" i="2" s="1"/>
  <c r="M145" i="2" s="1" a="1"/>
  <c r="M145" i="2" s="1"/>
  <c r="K146" i="2" a="1"/>
  <c r="K146" i="2" s="1"/>
  <c r="M146" i="2" s="1" a="1"/>
  <c r="M146" i="2" s="1"/>
  <c r="K147" i="2" a="1"/>
  <c r="K147" i="2" s="1"/>
  <c r="M147" i="2" s="1" a="1"/>
  <c r="M147" i="2" s="1"/>
  <c r="K148" i="2" a="1"/>
  <c r="K148" i="2" s="1"/>
  <c r="M148" i="2" s="1" a="1"/>
  <c r="M148" i="2" s="1"/>
  <c r="K149" i="2" a="1"/>
  <c r="K149" i="2" s="1"/>
  <c r="M149" i="2" s="1" a="1"/>
  <c r="M149" i="2" s="1"/>
  <c r="K150" i="2" a="1"/>
  <c r="K150" i="2" s="1"/>
  <c r="M150" i="2" s="1" a="1"/>
  <c r="M150" i="2" s="1"/>
  <c r="K151" i="2" a="1"/>
  <c r="K151" i="2" s="1"/>
  <c r="M151" i="2" s="1" a="1"/>
  <c r="M151" i="2" s="1"/>
  <c r="K152" i="2" a="1"/>
  <c r="K152" i="2" s="1"/>
  <c r="M152" i="2" s="1" a="1"/>
  <c r="M152" i="2" s="1"/>
  <c r="K153" i="2" a="1"/>
  <c r="K153" i="2" s="1"/>
  <c r="M153" i="2" s="1" a="1"/>
  <c r="M153" i="2" s="1"/>
  <c r="K154" i="2" a="1"/>
  <c r="K154" i="2" s="1"/>
  <c r="M154" i="2" s="1" a="1"/>
  <c r="M154" i="2" s="1"/>
  <c r="K155" i="2" a="1"/>
  <c r="K155" i="2" s="1"/>
  <c r="M155" i="2" s="1" a="1"/>
  <c r="M155" i="2" s="1"/>
  <c r="K156" i="2" a="1"/>
  <c r="K156" i="2" s="1"/>
  <c r="M156" i="2" s="1" a="1"/>
  <c r="M156" i="2" s="1"/>
  <c r="K157" i="2" a="1"/>
  <c r="K157" i="2" s="1"/>
  <c r="M157" i="2" s="1" a="1"/>
  <c r="M157" i="2" s="1"/>
  <c r="K158" i="2" a="1"/>
  <c r="K158" i="2" s="1"/>
  <c r="M158" i="2" s="1" a="1"/>
  <c r="M158" i="2" s="1"/>
  <c r="K159" i="2" a="1"/>
  <c r="K159" i="2" s="1"/>
  <c r="M159" i="2" s="1" a="1"/>
  <c r="M159" i="2" s="1"/>
  <c r="K160" i="2" a="1"/>
  <c r="K160" i="2" s="1"/>
  <c r="M160" i="2" s="1" a="1"/>
  <c r="M160" i="2" s="1"/>
  <c r="K161" i="2" a="1"/>
  <c r="K161" i="2" s="1"/>
  <c r="M161" i="2" s="1" a="1"/>
  <c r="M161" i="2" s="1"/>
  <c r="K162" i="2" a="1"/>
  <c r="K162" i="2" s="1"/>
  <c r="M162" i="2" s="1" a="1"/>
  <c r="M162" i="2" s="1"/>
  <c r="K163" i="2" a="1"/>
  <c r="K163" i="2" s="1"/>
  <c r="M163" i="2" s="1" a="1"/>
  <c r="M163" i="2" s="1"/>
  <c r="K164" i="2" a="1"/>
  <c r="K164" i="2" s="1"/>
  <c r="M164" i="2" s="1" a="1"/>
  <c r="M164" i="2" s="1"/>
  <c r="K165" i="2" a="1"/>
  <c r="K165" i="2" s="1"/>
  <c r="M165" i="2" s="1" a="1"/>
  <c r="M165" i="2" s="1"/>
  <c r="K166" i="2" a="1"/>
  <c r="K166" i="2" s="1"/>
  <c r="M166" i="2" s="1" a="1"/>
  <c r="M166" i="2" s="1"/>
  <c r="K167" i="2" a="1"/>
  <c r="K167" i="2" s="1"/>
  <c r="M167" i="2" s="1" a="1"/>
  <c r="M167" i="2" s="1"/>
  <c r="K168" i="2" a="1"/>
  <c r="K168" i="2" s="1"/>
  <c r="M168" i="2" s="1" a="1"/>
  <c r="M168" i="2" s="1"/>
  <c r="K169" i="2" a="1"/>
  <c r="K169" i="2" s="1"/>
  <c r="M169" i="2" s="1" a="1"/>
  <c r="M169" i="2" s="1"/>
  <c r="K170" i="2" a="1"/>
  <c r="K170" i="2" s="1"/>
  <c r="M170" i="2" s="1" a="1"/>
  <c r="M170" i="2" s="1"/>
  <c r="K171" i="2" a="1"/>
  <c r="K171" i="2" s="1"/>
  <c r="M171" i="2" s="1" a="1"/>
  <c r="M171" i="2" s="1"/>
  <c r="K172" i="2" a="1"/>
  <c r="K172" i="2" s="1"/>
  <c r="M172" i="2" s="1" a="1"/>
  <c r="M172" i="2" s="1"/>
  <c r="K173" i="2" a="1"/>
  <c r="K173" i="2" s="1"/>
  <c r="M173" i="2" s="1" a="1"/>
  <c r="M173" i="2" s="1"/>
  <c r="K174" i="2" a="1"/>
  <c r="K174" i="2"/>
  <c r="M174" i="2" s="1" a="1"/>
  <c r="M174" i="2" s="1"/>
  <c r="K175" i="2" a="1"/>
  <c r="K175" i="2" s="1"/>
  <c r="M175" i="2" s="1" a="1"/>
  <c r="M175" i="2" s="1"/>
  <c r="K176" i="2" a="1"/>
  <c r="K176" i="2" s="1"/>
  <c r="M176" i="2" s="1" a="1"/>
  <c r="M176" i="2" s="1"/>
  <c r="K177" i="2" a="1"/>
  <c r="K177" i="2" s="1"/>
  <c r="M177" i="2" s="1" a="1"/>
  <c r="M177" i="2" s="1"/>
  <c r="K178" i="2" a="1"/>
  <c r="K178" i="2" s="1"/>
  <c r="M178" i="2" s="1" a="1"/>
  <c r="M178" i="2" s="1"/>
  <c r="K179" i="2" a="1"/>
  <c r="K179" i="2" s="1"/>
  <c r="M179" i="2" s="1" a="1"/>
  <c r="M179" i="2" s="1"/>
  <c r="K180" i="2" a="1"/>
  <c r="K180" i="2" s="1"/>
  <c r="M180" i="2" s="1" a="1"/>
  <c r="M180" i="2" s="1"/>
  <c r="K181" i="2" a="1"/>
  <c r="K181" i="2" s="1"/>
  <c r="M181" i="2" s="1" a="1"/>
  <c r="M181" i="2" s="1"/>
  <c r="K182" i="2" a="1"/>
  <c r="K182" i="2" s="1"/>
  <c r="M182" i="2" s="1" a="1"/>
  <c r="M182" i="2" s="1"/>
  <c r="K183" i="2" a="1"/>
  <c r="K183" i="2" s="1"/>
  <c r="M183" i="2" s="1" a="1"/>
  <c r="M183" i="2" s="1"/>
  <c r="K184" i="2" a="1"/>
  <c r="K184" i="2" s="1"/>
  <c r="M184" i="2" s="1" a="1"/>
  <c r="M184" i="2" s="1"/>
  <c r="K185" i="2" a="1"/>
  <c r="K185" i="2" s="1"/>
  <c r="M185" i="2" s="1" a="1"/>
  <c r="M185" i="2" s="1"/>
  <c r="K186" i="2" a="1"/>
  <c r="K186" i="2" s="1"/>
  <c r="M186" i="2" s="1" a="1"/>
  <c r="M186" i="2" s="1"/>
  <c r="K187" i="2" a="1"/>
  <c r="K187" i="2" s="1"/>
  <c r="M187" i="2" s="1" a="1"/>
  <c r="M187" i="2" s="1"/>
  <c r="K188" i="2" a="1"/>
  <c r="K188" i="2" s="1"/>
  <c r="M188" i="2" s="1" a="1"/>
  <c r="M188" i="2" s="1"/>
  <c r="K189" i="2" a="1"/>
  <c r="K189" i="2" s="1"/>
  <c r="M189" i="2" s="1" a="1"/>
  <c r="M189" i="2" s="1"/>
  <c r="K190" i="2" a="1"/>
  <c r="K190" i="2" s="1"/>
  <c r="M190" i="2" s="1" a="1"/>
  <c r="M190" i="2" s="1"/>
  <c r="K191" i="2" a="1"/>
  <c r="K191" i="2" s="1"/>
  <c r="M191" i="2" s="1" a="1"/>
  <c r="M191" i="2" s="1"/>
  <c r="K192" i="2" a="1"/>
  <c r="K192" i="2" s="1"/>
  <c r="M192" i="2" s="1" a="1"/>
  <c r="M192" i="2" s="1"/>
  <c r="K193" i="2" a="1"/>
  <c r="K193" i="2" s="1"/>
  <c r="M193" i="2" s="1" a="1"/>
  <c r="M193" i="2" s="1"/>
  <c r="K194" i="2" a="1"/>
  <c r="K194" i="2" s="1"/>
  <c r="M194" i="2" s="1" a="1"/>
  <c r="M194" i="2" s="1"/>
  <c r="K195" i="2" a="1"/>
  <c r="K195" i="2" s="1"/>
  <c r="M195" i="2" s="1" a="1"/>
  <c r="M195" i="2" s="1"/>
  <c r="K196" i="2" a="1"/>
  <c r="K196" i="2" s="1"/>
  <c r="M196" i="2" s="1" a="1"/>
  <c r="M196" i="2" s="1"/>
  <c r="K197" i="2" a="1"/>
  <c r="K197" i="2" s="1"/>
  <c r="M197" i="2" s="1" a="1"/>
  <c r="M197" i="2" s="1"/>
  <c r="K198" i="2" a="1"/>
  <c r="K198" i="2" s="1"/>
  <c r="M198" i="2" s="1" a="1"/>
  <c r="M198" i="2" s="1"/>
  <c r="K199" i="2" a="1"/>
  <c r="K199" i="2" s="1"/>
  <c r="M199" i="2" s="1" a="1"/>
  <c r="M199" i="2" s="1"/>
  <c r="K200" i="2" a="1"/>
  <c r="K200" i="2" s="1"/>
  <c r="M200" i="2" s="1" a="1"/>
  <c r="M200" i="2" s="1"/>
  <c r="K201" i="2" a="1"/>
  <c r="K201" i="2" s="1"/>
  <c r="M201" i="2" s="1" a="1"/>
  <c r="M201" i="2" s="1"/>
  <c r="K202" i="2" a="1"/>
  <c r="K202" i="2" s="1"/>
  <c r="M202" i="2" s="1" a="1"/>
  <c r="M202" i="2" s="1"/>
  <c r="K203" i="2" a="1"/>
  <c r="K203" i="2" s="1"/>
  <c r="M203" i="2" s="1" a="1"/>
  <c r="M203" i="2" s="1"/>
  <c r="K204" i="2" a="1"/>
  <c r="K204" i="2" s="1"/>
  <c r="M204" i="2" s="1" a="1"/>
  <c r="M204" i="2" s="1"/>
  <c r="K205" i="2" a="1"/>
  <c r="K205" i="2" s="1"/>
  <c r="M205" i="2" s="1" a="1"/>
  <c r="M205" i="2" s="1"/>
  <c r="K206" i="2" a="1"/>
  <c r="K206" i="2" s="1"/>
  <c r="M206" i="2" s="1" a="1"/>
  <c r="M206" i="2" s="1"/>
  <c r="K207" i="2" a="1"/>
  <c r="K207" i="2" s="1"/>
  <c r="M207" i="2" s="1" a="1"/>
  <c r="M207" i="2" s="1"/>
  <c r="K208" i="2" a="1"/>
  <c r="K208" i="2" s="1"/>
  <c r="M208" i="2" s="1" a="1"/>
  <c r="M208" i="2" s="1"/>
  <c r="K209" i="2" a="1"/>
  <c r="K209" i="2" s="1"/>
  <c r="M209" i="2" s="1" a="1"/>
  <c r="M209" i="2" s="1"/>
  <c r="K210" i="2" a="1"/>
  <c r="K210" i="2" s="1"/>
  <c r="M210" i="2" s="1" a="1"/>
  <c r="M210" i="2" s="1"/>
  <c r="K211" i="2" a="1"/>
  <c r="K211" i="2" s="1"/>
  <c r="M211" i="2" s="1" a="1"/>
  <c r="M211" i="2" s="1"/>
  <c r="K212" i="2" a="1"/>
  <c r="K212" i="2" s="1"/>
  <c r="M212" i="2" s="1" a="1"/>
  <c r="M212" i="2" s="1"/>
  <c r="K213" i="2" a="1"/>
  <c r="K213" i="2" s="1"/>
  <c r="M213" i="2" s="1" a="1"/>
  <c r="M213" i="2" s="1"/>
  <c r="K214" i="2" a="1"/>
  <c r="K214" i="2" s="1"/>
  <c r="M214" i="2" s="1" a="1"/>
  <c r="M214" i="2" s="1"/>
  <c r="K215" i="2" a="1"/>
  <c r="K215" i="2" s="1"/>
  <c r="M215" i="2" s="1" a="1"/>
  <c r="M215" i="2" s="1"/>
  <c r="K216" i="2" a="1"/>
  <c r="K216" i="2" s="1"/>
  <c r="M216" i="2" s="1" a="1"/>
  <c r="M216" i="2" s="1"/>
  <c r="K217" i="2" a="1"/>
  <c r="K217" i="2" s="1"/>
  <c r="M217" i="2" s="1" a="1"/>
  <c r="M217" i="2" s="1"/>
  <c r="K218" i="2" a="1"/>
  <c r="K218" i="2" s="1"/>
  <c r="M218" i="2" s="1" a="1"/>
  <c r="M218" i="2" s="1"/>
  <c r="K219" i="2" a="1"/>
  <c r="K219" i="2" s="1"/>
  <c r="M219" i="2" s="1" a="1"/>
  <c r="M219" i="2" s="1"/>
  <c r="K220" i="2" a="1"/>
  <c r="K220" i="2" s="1"/>
  <c r="M220" i="2" s="1" a="1"/>
  <c r="M220" i="2" s="1"/>
  <c r="K221" i="2" a="1"/>
  <c r="K221" i="2" s="1"/>
  <c r="M221" i="2" s="1" a="1"/>
  <c r="M221" i="2" s="1"/>
  <c r="K222" i="2" a="1"/>
  <c r="K222" i="2" s="1"/>
  <c r="M222" i="2" s="1" a="1"/>
  <c r="M222" i="2" s="1"/>
  <c r="K223" i="2" a="1"/>
  <c r="K223" i="2" s="1"/>
  <c r="M223" i="2" s="1" a="1"/>
  <c r="M223" i="2" s="1"/>
  <c r="K224" i="2" a="1"/>
  <c r="K224" i="2" s="1"/>
  <c r="M224" i="2" s="1" a="1"/>
  <c r="M224" i="2" s="1"/>
  <c r="K225" i="2" a="1"/>
  <c r="K225" i="2" s="1"/>
  <c r="M225" i="2" s="1" a="1"/>
  <c r="M225" i="2" s="1"/>
  <c r="K226" i="2" a="1"/>
  <c r="K226" i="2" s="1"/>
  <c r="M226" i="2" s="1" a="1"/>
  <c r="M226" i="2" s="1"/>
  <c r="K227" i="2" a="1"/>
  <c r="K227" i="2" s="1"/>
  <c r="M227" i="2" s="1" a="1"/>
  <c r="M227" i="2" s="1"/>
  <c r="K228" i="2" a="1"/>
  <c r="K228" i="2" s="1"/>
  <c r="M228" i="2" s="1" a="1"/>
  <c r="M228" i="2" s="1"/>
  <c r="K229" i="2" a="1"/>
  <c r="K229" i="2" s="1"/>
  <c r="M229" i="2" s="1" a="1"/>
  <c r="M229" i="2" s="1"/>
  <c r="K230" i="2" a="1"/>
  <c r="K230" i="2" s="1"/>
  <c r="M230" i="2" s="1" a="1"/>
  <c r="M230" i="2" s="1"/>
  <c r="K231" i="2" a="1"/>
  <c r="K231" i="2" s="1"/>
  <c r="M231" i="2" s="1" a="1"/>
  <c r="M231" i="2" s="1"/>
  <c r="K232" i="2" a="1"/>
  <c r="K232" i="2" s="1"/>
  <c r="M232" i="2" s="1" a="1"/>
  <c r="M232" i="2" s="1"/>
  <c r="K233" i="2" a="1"/>
  <c r="K233" i="2" s="1"/>
  <c r="M233" i="2" s="1" a="1"/>
  <c r="M233" i="2" s="1"/>
  <c r="K234" i="2" a="1"/>
  <c r="K234" i="2" s="1"/>
  <c r="M234" i="2" s="1" a="1"/>
  <c r="M234" i="2" s="1"/>
  <c r="K235" i="2" a="1"/>
  <c r="K235" i="2" s="1"/>
  <c r="M235" i="2" s="1" a="1"/>
  <c r="M235" i="2" s="1"/>
  <c r="K236" i="2" a="1"/>
  <c r="K236" i="2" s="1"/>
  <c r="M236" i="2" s="1" a="1"/>
  <c r="M236" i="2" s="1"/>
  <c r="K237" i="2" a="1"/>
  <c r="K237" i="2" s="1"/>
  <c r="M237" i="2" s="1" a="1"/>
  <c r="M237" i="2" s="1"/>
  <c r="K238" i="2" a="1"/>
  <c r="K238" i="2" s="1"/>
  <c r="M238" i="2" s="1" a="1"/>
  <c r="M238" i="2" s="1"/>
  <c r="K239" i="2" a="1"/>
  <c r="K239" i="2" s="1"/>
  <c r="M239" i="2" s="1" a="1"/>
  <c r="M239" i="2" s="1"/>
  <c r="K240" i="2" a="1"/>
  <c r="K240" i="2" s="1"/>
  <c r="M240" i="2" s="1" a="1"/>
  <c r="M240" i="2" s="1"/>
  <c r="K241" i="2" a="1"/>
  <c r="K241" i="2" s="1"/>
  <c r="M241" i="2" s="1" a="1"/>
  <c r="M241" i="2" s="1"/>
  <c r="K242" i="2" a="1"/>
  <c r="K242" i="2" s="1"/>
  <c r="M242" i="2" s="1" a="1"/>
  <c r="M242" i="2" s="1"/>
  <c r="K243" i="2" a="1"/>
  <c r="K243" i="2" s="1"/>
  <c r="M243" i="2" s="1" a="1"/>
  <c r="M243" i="2" s="1"/>
  <c r="K244" i="2" a="1"/>
  <c r="K244" i="2" s="1"/>
  <c r="M244" i="2" s="1" a="1"/>
  <c r="M244" i="2" s="1"/>
  <c r="K245" i="2" a="1"/>
  <c r="K245" i="2" s="1"/>
  <c r="M245" i="2" s="1" a="1"/>
  <c r="M245" i="2" s="1"/>
  <c r="K246" i="2" a="1"/>
  <c r="K246" i="2" s="1"/>
  <c r="M246" i="2" s="1" a="1"/>
  <c r="M246" i="2" s="1"/>
  <c r="K247" i="2" a="1"/>
  <c r="K247" i="2" s="1"/>
  <c r="M247" i="2" s="1" a="1"/>
  <c r="M247" i="2" s="1"/>
  <c r="K248" i="2" a="1"/>
  <c r="K248" i="2" s="1"/>
  <c r="M248" i="2" s="1" a="1"/>
  <c r="M248" i="2" s="1"/>
  <c r="K249" i="2" a="1"/>
  <c r="K249" i="2" s="1"/>
  <c r="M249" i="2" s="1" a="1"/>
  <c r="M249" i="2" s="1"/>
  <c r="K250" i="2" a="1"/>
  <c r="K250" i="2" s="1"/>
  <c r="M250" i="2" s="1" a="1"/>
  <c r="M250" i="2" s="1"/>
  <c r="K251" i="2" a="1"/>
  <c r="K251" i="2" s="1"/>
  <c r="M251" i="2" s="1" a="1"/>
  <c r="M251" i="2" s="1"/>
  <c r="K252" i="2" a="1"/>
  <c r="K252" i="2" s="1"/>
  <c r="M252" i="2" s="1" a="1"/>
  <c r="M252" i="2" s="1"/>
  <c r="K253" i="2" a="1"/>
  <c r="K253" i="2" s="1"/>
  <c r="M253" i="2" s="1" a="1"/>
  <c r="M253" i="2" s="1"/>
  <c r="K254" i="2" a="1"/>
  <c r="K254" i="2" s="1"/>
  <c r="M254" i="2" s="1" a="1"/>
  <c r="M254" i="2" s="1"/>
  <c r="K255" i="2" a="1"/>
  <c r="K255" i="2" s="1"/>
  <c r="M255" i="2" s="1" a="1"/>
  <c r="M255" i="2" s="1"/>
  <c r="K256" i="2" a="1"/>
  <c r="K256" i="2" s="1"/>
  <c r="M256" i="2" s="1" a="1"/>
  <c r="M256" i="2" s="1"/>
  <c r="K257" i="2" a="1"/>
  <c r="K257" i="2" s="1"/>
  <c r="M257" i="2" s="1" a="1"/>
  <c r="M257" i="2" s="1"/>
  <c r="K258" i="2" a="1"/>
  <c r="K258" i="2" s="1"/>
  <c r="M258" i="2" s="1" a="1"/>
  <c r="M258" i="2" s="1"/>
  <c r="K259" i="2" a="1"/>
  <c r="K259" i="2" s="1"/>
  <c r="M259" i="2" s="1" a="1"/>
  <c r="M259" i="2" s="1"/>
  <c r="K260" i="2" a="1"/>
  <c r="K260" i="2" s="1"/>
  <c r="M260" i="2" s="1" a="1"/>
  <c r="M260" i="2" s="1"/>
  <c r="K261" i="2" a="1"/>
  <c r="K261" i="2" s="1"/>
  <c r="M261" i="2" s="1" a="1"/>
  <c r="M261" i="2" s="1"/>
  <c r="K262" i="2" a="1"/>
  <c r="K262" i="2" s="1"/>
  <c r="M262" i="2" s="1" a="1"/>
  <c r="M262" i="2" s="1"/>
  <c r="K263" i="2" a="1"/>
  <c r="K263" i="2" s="1"/>
  <c r="M263" i="2" s="1" a="1"/>
  <c r="M263" i="2" s="1"/>
  <c r="K264" i="2" a="1"/>
  <c r="K264" i="2" s="1"/>
  <c r="M264" i="2" s="1" a="1"/>
  <c r="M264" i="2" s="1"/>
  <c r="K265" i="2" a="1"/>
  <c r="K265" i="2" s="1"/>
  <c r="M265" i="2" s="1" a="1"/>
  <c r="M265" i="2" s="1"/>
  <c r="K266" i="2" a="1"/>
  <c r="K266" i="2" s="1"/>
  <c r="M266" i="2" s="1" a="1"/>
  <c r="M266" i="2" s="1"/>
  <c r="K267" i="2" a="1"/>
  <c r="K267" i="2" s="1"/>
  <c r="M267" i="2" s="1" a="1"/>
  <c r="M267" i="2" s="1"/>
  <c r="K268" i="2" a="1"/>
  <c r="K268" i="2" s="1"/>
  <c r="M268" i="2" s="1" a="1"/>
  <c r="M268" i="2" s="1"/>
  <c r="K269" i="2" a="1"/>
  <c r="K269" i="2" s="1"/>
  <c r="M269" i="2" s="1" a="1"/>
  <c r="M269" i="2" s="1"/>
  <c r="K270" i="2" a="1"/>
  <c r="K270" i="2" s="1"/>
  <c r="M270" i="2" s="1" a="1"/>
  <c r="M270" i="2" s="1"/>
  <c r="K271" i="2" a="1"/>
  <c r="K271" i="2" s="1"/>
  <c r="M271" i="2" s="1" a="1"/>
  <c r="M271" i="2" s="1"/>
  <c r="K272" i="2" a="1"/>
  <c r="K272" i="2" s="1"/>
  <c r="M272" i="2" s="1" a="1"/>
  <c r="M272" i="2" s="1"/>
  <c r="K273" i="2" a="1"/>
  <c r="K273" i="2" s="1"/>
  <c r="M273" i="2" s="1" a="1"/>
  <c r="M273" i="2" s="1"/>
  <c r="K274" i="2" a="1"/>
  <c r="K274" i="2" s="1"/>
  <c r="M274" i="2" s="1" a="1"/>
  <c r="M274" i="2" s="1"/>
  <c r="K275" i="2" a="1"/>
  <c r="K275" i="2" s="1"/>
  <c r="M275" i="2" s="1" a="1"/>
  <c r="M275" i="2" s="1"/>
  <c r="K276" i="2" a="1"/>
  <c r="K276" i="2"/>
  <c r="M276" i="2" s="1" a="1"/>
  <c r="M276" i="2" s="1"/>
  <c r="K277" i="2" a="1"/>
  <c r="K277" i="2" s="1"/>
  <c r="M277" i="2" s="1" a="1"/>
  <c r="M277" i="2" s="1"/>
  <c r="K278" i="2" a="1"/>
  <c r="K278" i="2" s="1"/>
  <c r="M278" i="2" s="1" a="1"/>
  <c r="M278" i="2" s="1"/>
  <c r="K279" i="2" a="1"/>
  <c r="K279" i="2" s="1"/>
  <c r="M279" i="2" s="1" a="1"/>
  <c r="M279" i="2" s="1"/>
  <c r="K280" i="2" a="1"/>
  <c r="K280" i="2" s="1"/>
  <c r="M280" i="2" s="1" a="1"/>
  <c r="M280" i="2" s="1"/>
  <c r="K281" i="2" a="1"/>
  <c r="K281" i="2" s="1"/>
  <c r="M281" i="2" s="1" a="1"/>
  <c r="M281" i="2" s="1"/>
  <c r="K282" i="2" a="1"/>
  <c r="K282" i="2" s="1"/>
  <c r="M282" i="2" s="1" a="1"/>
  <c r="M282" i="2" s="1"/>
  <c r="K283" i="2" a="1"/>
  <c r="K283" i="2" s="1"/>
  <c r="M283" i="2" s="1" a="1"/>
  <c r="M283" i="2" s="1"/>
  <c r="K284" i="2" a="1"/>
  <c r="K284" i="2" s="1"/>
  <c r="M284" i="2" s="1" a="1"/>
  <c r="M284" i="2" s="1"/>
  <c r="K285" i="2" a="1"/>
  <c r="K285" i="2" s="1"/>
  <c r="M285" i="2" s="1" a="1"/>
  <c r="M285" i="2" s="1"/>
  <c r="K286" i="2" a="1"/>
  <c r="K286" i="2" s="1"/>
  <c r="M286" i="2" s="1" a="1"/>
  <c r="M286" i="2" s="1"/>
  <c r="K287" i="2" a="1"/>
  <c r="K287" i="2" s="1"/>
  <c r="M287" i="2" s="1" a="1"/>
  <c r="M287" i="2" s="1"/>
  <c r="K288" i="2" a="1"/>
  <c r="K288" i="2" s="1"/>
  <c r="M288" i="2" s="1" a="1"/>
  <c r="M288" i="2" s="1"/>
  <c r="K289" i="2" a="1"/>
  <c r="K289" i="2"/>
  <c r="M289" i="2" s="1" a="1"/>
  <c r="M289" i="2" s="1"/>
  <c r="K290" i="2" a="1"/>
  <c r="K290" i="2" s="1"/>
  <c r="M290" i="2" s="1" a="1"/>
  <c r="M290" i="2" s="1"/>
  <c r="K291" i="2" a="1"/>
  <c r="K291" i="2" s="1"/>
  <c r="M291" i="2" s="1" a="1"/>
  <c r="M291" i="2" s="1"/>
  <c r="K292" i="2" a="1"/>
  <c r="K292" i="2" s="1"/>
  <c r="M292" i="2" s="1" a="1"/>
  <c r="M292" i="2" s="1"/>
  <c r="K293" i="2" a="1"/>
  <c r="K293" i="2" s="1"/>
  <c r="M293" i="2" s="1" a="1"/>
  <c r="M293" i="2" s="1"/>
  <c r="K294" i="2" a="1"/>
  <c r="K294" i="2" s="1"/>
  <c r="M294" i="2" s="1" a="1"/>
  <c r="M294" i="2" s="1"/>
  <c r="K295" i="2" a="1"/>
  <c r="K295" i="2" s="1"/>
  <c r="M295" i="2" s="1" a="1"/>
  <c r="M295" i="2" s="1"/>
  <c r="K296" i="2" a="1"/>
  <c r="K296" i="2" s="1"/>
  <c r="M296" i="2" s="1" a="1"/>
  <c r="M296" i="2" s="1"/>
  <c r="K297" i="2" a="1"/>
  <c r="K297" i="2" s="1"/>
  <c r="M297" i="2" s="1" a="1"/>
  <c r="M297" i="2" s="1"/>
  <c r="K298" i="2" a="1"/>
  <c r="K298" i="2" s="1"/>
  <c r="M298" i="2" s="1" a="1"/>
  <c r="M298" i="2" s="1"/>
  <c r="K299" i="2" a="1"/>
  <c r="K299" i="2" s="1"/>
  <c r="M299" i="2" s="1" a="1"/>
  <c r="M299" i="2" s="1"/>
  <c r="K300" i="2" a="1"/>
  <c r="K300" i="2" s="1"/>
  <c r="M300" i="2" s="1" a="1"/>
  <c r="M300" i="2" s="1"/>
  <c r="K301" i="2" a="1"/>
  <c r="K301" i="2" s="1"/>
  <c r="M301" i="2" s="1" a="1"/>
  <c r="M301" i="2" s="1"/>
  <c r="K302" i="2" a="1"/>
  <c r="K302" i="2" s="1"/>
  <c r="M302" i="2" s="1" a="1"/>
  <c r="M302" i="2" s="1"/>
  <c r="K303" i="2" a="1"/>
  <c r="K303" i="2" s="1"/>
  <c r="M303" i="2" s="1" a="1"/>
  <c r="M303" i="2" s="1"/>
  <c r="K304" i="2" a="1"/>
  <c r="K304" i="2" s="1"/>
  <c r="M304" i="2" s="1" a="1"/>
  <c r="M304" i="2" s="1"/>
  <c r="K305" i="2" a="1"/>
  <c r="K305" i="2" s="1"/>
  <c r="M305" i="2" s="1" a="1"/>
  <c r="M305" i="2" s="1"/>
  <c r="K306" i="2" a="1"/>
  <c r="K306" i="2" s="1"/>
  <c r="M306" i="2" s="1" a="1"/>
  <c r="M306" i="2" s="1"/>
  <c r="K307" i="2" a="1"/>
  <c r="K307" i="2" s="1"/>
  <c r="M307" i="2" s="1" a="1"/>
  <c r="M307" i="2" s="1"/>
  <c r="K308" i="2" a="1"/>
  <c r="K308" i="2" s="1"/>
  <c r="M308" i="2" s="1" a="1"/>
  <c r="M308" i="2" s="1"/>
  <c r="K309" i="2" a="1"/>
  <c r="K309" i="2" s="1"/>
  <c r="M309" i="2" s="1" a="1"/>
  <c r="M309" i="2" s="1"/>
  <c r="K310" i="2" a="1"/>
  <c r="K310" i="2" s="1"/>
  <c r="M310" i="2" s="1" a="1"/>
  <c r="M310" i="2" s="1"/>
  <c r="K311" i="2" a="1"/>
  <c r="K311" i="2" s="1"/>
  <c r="M311" i="2" s="1" a="1"/>
  <c r="M311" i="2" s="1"/>
  <c r="K312" i="2" a="1"/>
  <c r="K312" i="2" s="1"/>
  <c r="M312" i="2" s="1" a="1"/>
  <c r="M312" i="2" s="1"/>
  <c r="K313" i="2" a="1"/>
  <c r="K313" i="2" s="1"/>
  <c r="M313" i="2" s="1" a="1"/>
  <c r="M313" i="2" s="1"/>
  <c r="K314" i="2" a="1"/>
  <c r="K314" i="2" s="1"/>
  <c r="M314" i="2" s="1" a="1"/>
  <c r="M314" i="2" s="1"/>
  <c r="K315" i="2" a="1"/>
  <c r="K315" i="2" s="1"/>
  <c r="M315" i="2" s="1" a="1"/>
  <c r="M315" i="2" s="1"/>
  <c r="K316" i="2" a="1"/>
  <c r="K316" i="2" s="1"/>
  <c r="M316" i="2" s="1" a="1"/>
  <c r="M316" i="2" s="1"/>
  <c r="K317" i="2" a="1"/>
  <c r="K317" i="2" s="1"/>
  <c r="M317" i="2" s="1" a="1"/>
  <c r="M317" i="2" s="1"/>
  <c r="K318" i="2" a="1"/>
  <c r="K318" i="2" s="1"/>
  <c r="M318" i="2" s="1" a="1"/>
  <c r="M318" i="2" s="1"/>
  <c r="K319" i="2" a="1"/>
  <c r="K319" i="2" s="1"/>
  <c r="M319" i="2" s="1" a="1"/>
  <c r="M319" i="2" s="1"/>
  <c r="K320" i="2" a="1"/>
  <c r="K320" i="2" s="1"/>
  <c r="M320" i="2" s="1" a="1"/>
  <c r="M320" i="2" s="1"/>
  <c r="K321" i="2" a="1"/>
  <c r="K321" i="2" s="1"/>
  <c r="M321" i="2" s="1" a="1"/>
  <c r="M321" i="2" s="1"/>
  <c r="K322" i="2" a="1"/>
  <c r="K322" i="2" s="1"/>
  <c r="M322" i="2" s="1" a="1"/>
  <c r="M322" i="2" s="1"/>
  <c r="K323" i="2" a="1"/>
  <c r="K323" i="2" s="1"/>
  <c r="M323" i="2" s="1" a="1"/>
  <c r="M323" i="2" s="1"/>
  <c r="K324" i="2" a="1"/>
  <c r="K324" i="2" s="1"/>
  <c r="M324" i="2" s="1" a="1"/>
  <c r="M324" i="2" s="1"/>
  <c r="K325" i="2" a="1"/>
  <c r="K325" i="2"/>
  <c r="M325" i="2" s="1" a="1"/>
  <c r="M325" i="2" s="1"/>
  <c r="K326" i="2" a="1"/>
  <c r="K326" i="2" s="1"/>
  <c r="M326" i="2" s="1" a="1"/>
  <c r="M326" i="2" s="1"/>
  <c r="K327" i="2" a="1"/>
  <c r="K327" i="2" s="1"/>
  <c r="M327" i="2" s="1" a="1"/>
  <c r="M327" i="2" s="1"/>
  <c r="K328" i="2" a="1"/>
  <c r="K328" i="2" s="1"/>
  <c r="M328" i="2" s="1" a="1"/>
  <c r="M328" i="2" s="1"/>
  <c r="K329" i="2" a="1"/>
  <c r="K329" i="2" s="1"/>
  <c r="M329" i="2" s="1" a="1"/>
  <c r="M329" i="2" s="1"/>
  <c r="K330" i="2" a="1"/>
  <c r="K330" i="2" s="1"/>
  <c r="M330" i="2" s="1" a="1"/>
  <c r="M330" i="2" s="1"/>
  <c r="K331" i="2" a="1"/>
  <c r="K331" i="2" s="1"/>
  <c r="M331" i="2" s="1" a="1"/>
  <c r="M331" i="2" s="1"/>
  <c r="K332" i="2" a="1"/>
  <c r="K332" i="2" s="1"/>
  <c r="M332" i="2" s="1" a="1"/>
  <c r="M332" i="2" s="1"/>
  <c r="K333" i="2" a="1"/>
  <c r="K333" i="2" s="1"/>
  <c r="M333" i="2" s="1" a="1"/>
  <c r="M333" i="2" s="1"/>
  <c r="K334" i="2" a="1"/>
  <c r="K334" i="2" s="1"/>
  <c r="M334" i="2" s="1" a="1"/>
  <c r="M334" i="2" s="1"/>
  <c r="K335" i="2" a="1"/>
  <c r="K335" i="2" s="1"/>
  <c r="M335" i="2" s="1" a="1"/>
  <c r="M335" i="2" s="1"/>
  <c r="K336" i="2" a="1"/>
  <c r="K336" i="2" s="1"/>
  <c r="M336" i="2" s="1" a="1"/>
  <c r="M336" i="2" s="1"/>
  <c r="K337" i="2" a="1"/>
  <c r="K337" i="2" s="1"/>
  <c r="M337" i="2" s="1" a="1"/>
  <c r="M337" i="2" s="1"/>
  <c r="K338" i="2" a="1"/>
  <c r="K338" i="2" s="1"/>
  <c r="M338" i="2" s="1" a="1"/>
  <c r="M338" i="2" s="1"/>
  <c r="K339" i="2" a="1"/>
  <c r="K339" i="2" s="1"/>
  <c r="M339" i="2" s="1" a="1"/>
  <c r="M339" i="2" s="1"/>
  <c r="K340" i="2" a="1"/>
  <c r="K340" i="2" s="1"/>
  <c r="M340" i="2" s="1" a="1"/>
  <c r="M340" i="2" s="1"/>
  <c r="K341" i="2" a="1"/>
  <c r="K341" i="2" s="1"/>
  <c r="M341" i="2" s="1" a="1"/>
  <c r="M341" i="2" s="1"/>
  <c r="K342" i="2" a="1"/>
  <c r="K342" i="2" s="1"/>
  <c r="M342" i="2" s="1" a="1"/>
  <c r="M342" i="2" s="1"/>
  <c r="K343" i="2" a="1"/>
  <c r="K343" i="2" s="1"/>
  <c r="M343" i="2" s="1" a="1"/>
  <c r="M343" i="2" s="1"/>
  <c r="K344" i="2" a="1"/>
  <c r="K344" i="2" s="1"/>
  <c r="M344" i="2" s="1" a="1"/>
  <c r="M344" i="2" s="1"/>
  <c r="K345" i="2" a="1"/>
  <c r="K345" i="2" s="1"/>
  <c r="M345" i="2" s="1" a="1"/>
  <c r="M345" i="2" s="1"/>
  <c r="K346" i="2" a="1"/>
  <c r="K346" i="2" s="1"/>
  <c r="M346" i="2" s="1" a="1"/>
  <c r="M346" i="2" s="1"/>
  <c r="K347" i="2" a="1"/>
  <c r="K347" i="2" s="1"/>
  <c r="M347" i="2" s="1" a="1"/>
  <c r="M347" i="2" s="1"/>
  <c r="K348" i="2" a="1"/>
  <c r="K348" i="2" s="1"/>
  <c r="M348" i="2" s="1" a="1"/>
  <c r="M348" i="2" s="1"/>
  <c r="K349" i="2" a="1"/>
  <c r="K349" i="2" s="1"/>
  <c r="M349" i="2" s="1" a="1"/>
  <c r="M349" i="2" s="1"/>
  <c r="K350" i="2" a="1"/>
  <c r="K350" i="2" s="1"/>
  <c r="M350" i="2" s="1" a="1"/>
  <c r="M350" i="2" s="1"/>
  <c r="K351" i="2" a="1"/>
  <c r="K351" i="2" s="1"/>
  <c r="M351" i="2" s="1" a="1"/>
  <c r="M351" i="2" s="1"/>
  <c r="K352" i="2" a="1"/>
  <c r="K352" i="2" s="1"/>
  <c r="M352" i="2" s="1" a="1"/>
  <c r="M352" i="2" s="1"/>
  <c r="K353" i="2" a="1"/>
  <c r="K353" i="2" s="1"/>
  <c r="M353" i="2" s="1" a="1"/>
  <c r="M353" i="2" s="1"/>
  <c r="K354" i="2" a="1"/>
  <c r="K354" i="2" s="1"/>
  <c r="M354" i="2" s="1" a="1"/>
  <c r="M354" i="2" s="1"/>
  <c r="K355" i="2" a="1"/>
  <c r="K355" i="2" s="1"/>
  <c r="M355" i="2" s="1" a="1"/>
  <c r="M355" i="2" s="1"/>
  <c r="K356" i="2" a="1"/>
  <c r="K356" i="2" s="1"/>
  <c r="M356" i="2" s="1" a="1"/>
  <c r="M356" i="2" s="1"/>
  <c r="K357" i="2" a="1"/>
  <c r="K357" i="2" s="1"/>
  <c r="M357" i="2" s="1" a="1"/>
  <c r="M357" i="2" s="1"/>
  <c r="K358" i="2" a="1"/>
  <c r="K358" i="2" s="1"/>
  <c r="M358" i="2" s="1" a="1"/>
  <c r="M358" i="2" s="1"/>
  <c r="K359" i="2" a="1"/>
  <c r="K359" i="2" s="1"/>
  <c r="M359" i="2" s="1" a="1"/>
  <c r="M359" i="2" s="1"/>
  <c r="K360" i="2" a="1"/>
  <c r="K360" i="2" s="1"/>
  <c r="M360" i="2" s="1" a="1"/>
  <c r="M360" i="2" s="1"/>
  <c r="K361" i="2" a="1"/>
  <c r="K361" i="2" s="1"/>
  <c r="M361" i="2" s="1" a="1"/>
  <c r="M361" i="2" s="1"/>
  <c r="K362" i="2" a="1"/>
  <c r="K362" i="2" s="1"/>
  <c r="M362" i="2" s="1" a="1"/>
  <c r="M362" i="2" s="1"/>
  <c r="K363" i="2" a="1"/>
  <c r="K363" i="2" s="1"/>
  <c r="M363" i="2" s="1" a="1"/>
  <c r="M363" i="2" s="1"/>
  <c r="K364" i="2" a="1"/>
  <c r="K364" i="2" s="1"/>
  <c r="M364" i="2" s="1" a="1"/>
  <c r="M364" i="2" s="1"/>
  <c r="K365" i="2" a="1"/>
  <c r="K365" i="2" s="1"/>
  <c r="M365" i="2" s="1" a="1"/>
  <c r="M365" i="2" s="1"/>
  <c r="K366" i="2" a="1"/>
  <c r="K366" i="2" s="1"/>
  <c r="M366" i="2" s="1" a="1"/>
  <c r="M366" i="2" s="1"/>
  <c r="K367" i="2" a="1"/>
  <c r="K367" i="2" s="1"/>
  <c r="M367" i="2" s="1" a="1"/>
  <c r="M367" i="2" s="1"/>
  <c r="K368" i="2" a="1"/>
  <c r="K368" i="2" s="1"/>
  <c r="M368" i="2" s="1" a="1"/>
  <c r="M368" i="2" s="1"/>
  <c r="K369" i="2" a="1"/>
  <c r="K369" i="2" s="1"/>
  <c r="M369" i="2" s="1" a="1"/>
  <c r="M369" i="2" s="1"/>
  <c r="K370" i="2" a="1"/>
  <c r="K370" i="2" s="1"/>
  <c r="M370" i="2" s="1" a="1"/>
  <c r="M370" i="2" s="1"/>
  <c r="K371" i="2" a="1"/>
  <c r="K371" i="2" s="1"/>
  <c r="M371" i="2" s="1" a="1"/>
  <c r="M371" i="2" s="1"/>
  <c r="K372" i="2" a="1"/>
  <c r="K372" i="2" s="1"/>
  <c r="M372" i="2" s="1" a="1"/>
  <c r="M372" i="2" s="1"/>
  <c r="K373" i="2" a="1"/>
  <c r="K373" i="2" s="1"/>
  <c r="M373" i="2" s="1" a="1"/>
  <c r="M373" i="2" s="1"/>
  <c r="K374" i="2" a="1"/>
  <c r="K374" i="2" s="1"/>
  <c r="M374" i="2" s="1" a="1"/>
  <c r="M374" i="2" s="1"/>
  <c r="K375" i="2" a="1"/>
  <c r="K375" i="2" s="1"/>
  <c r="M375" i="2" s="1" a="1"/>
  <c r="M375" i="2" s="1"/>
  <c r="K376" i="2" a="1"/>
  <c r="K376" i="2" s="1"/>
  <c r="M376" i="2" s="1" a="1"/>
  <c r="M376" i="2" s="1"/>
  <c r="K377" i="2" a="1"/>
  <c r="K377" i="2" s="1"/>
  <c r="M377" i="2" s="1" a="1"/>
  <c r="M377" i="2" s="1"/>
  <c r="K378" i="2" a="1"/>
  <c r="K378" i="2" s="1"/>
  <c r="M378" i="2" s="1" a="1"/>
  <c r="M378" i="2" s="1"/>
  <c r="K379" i="2" a="1"/>
  <c r="K379" i="2" s="1"/>
  <c r="M379" i="2" s="1" a="1"/>
  <c r="M379" i="2" s="1"/>
  <c r="K380" i="2" a="1"/>
  <c r="K380" i="2" s="1"/>
  <c r="M380" i="2" s="1" a="1"/>
  <c r="M380" i="2" s="1"/>
  <c r="K381" i="2" a="1"/>
  <c r="K381" i="2" s="1"/>
  <c r="M381" i="2" s="1" a="1"/>
  <c r="M381" i="2" s="1"/>
  <c r="K382" i="2" a="1"/>
  <c r="K382" i="2" s="1"/>
  <c r="M382" i="2" s="1" a="1"/>
  <c r="M382" i="2" s="1"/>
  <c r="K383" i="2" a="1"/>
  <c r="K383" i="2" s="1"/>
  <c r="M383" i="2" s="1" a="1"/>
  <c r="M383" i="2" s="1"/>
  <c r="K384" i="2" a="1"/>
  <c r="K384" i="2" s="1"/>
  <c r="M384" i="2" s="1" a="1"/>
  <c r="M384" i="2" s="1"/>
  <c r="K385" i="2" a="1"/>
  <c r="K385" i="2" s="1"/>
  <c r="M385" i="2" s="1" a="1"/>
  <c r="M385" i="2" s="1"/>
  <c r="K386" i="2" a="1"/>
  <c r="K386" i="2" s="1"/>
  <c r="M386" i="2" s="1" a="1"/>
  <c r="M386" i="2" s="1"/>
  <c r="K387" i="2" a="1"/>
  <c r="K387" i="2" s="1"/>
  <c r="M387" i="2" s="1" a="1"/>
  <c r="M387" i="2" s="1"/>
  <c r="K388" i="2" a="1"/>
  <c r="K388" i="2" s="1"/>
  <c r="M388" i="2" s="1" a="1"/>
  <c r="M388" i="2" s="1"/>
  <c r="K389" i="2" a="1"/>
  <c r="K389" i="2" s="1"/>
  <c r="M389" i="2" s="1" a="1"/>
  <c r="M389" i="2" s="1"/>
  <c r="K390" i="2" a="1"/>
  <c r="K390" i="2" s="1"/>
  <c r="M390" i="2" s="1" a="1"/>
  <c r="M390" i="2" s="1"/>
  <c r="K391" i="2" a="1"/>
  <c r="K391" i="2" s="1"/>
  <c r="M391" i="2" s="1" a="1"/>
  <c r="M391" i="2" s="1"/>
  <c r="K392" i="2" a="1"/>
  <c r="K392" i="2" s="1"/>
  <c r="M392" i="2" s="1" a="1"/>
  <c r="M392" i="2" s="1"/>
  <c r="K393" i="2" a="1"/>
  <c r="K393" i="2" s="1"/>
  <c r="M393" i="2" s="1" a="1"/>
  <c r="M393" i="2" s="1"/>
  <c r="K394" i="2" a="1"/>
  <c r="K394" i="2"/>
  <c r="M394" i="2" s="1" a="1"/>
  <c r="M394" i="2" s="1"/>
  <c r="K395" i="2" a="1"/>
  <c r="K395" i="2" s="1"/>
  <c r="M395" i="2" s="1" a="1"/>
  <c r="M395" i="2" s="1"/>
  <c r="K396" i="2" a="1"/>
  <c r="K396" i="2" s="1"/>
  <c r="M396" i="2" s="1" a="1"/>
  <c r="M396" i="2" s="1"/>
  <c r="K397" i="2" a="1"/>
  <c r="K397" i="2" s="1"/>
  <c r="M397" i="2" s="1" a="1"/>
  <c r="M397" i="2" s="1"/>
  <c r="K398" i="2" a="1"/>
  <c r="K398" i="2" s="1"/>
  <c r="M398" i="2" s="1" a="1"/>
  <c r="M398" i="2" s="1"/>
  <c r="K399" i="2" a="1"/>
  <c r="K399" i="2" s="1"/>
  <c r="M399" i="2" s="1" a="1"/>
  <c r="M399" i="2" s="1"/>
  <c r="K400" i="2" a="1"/>
  <c r="K400" i="2" s="1"/>
  <c r="M400" i="2" s="1" a="1"/>
  <c r="M400" i="2" s="1"/>
  <c r="K401" i="2" a="1"/>
  <c r="K401" i="2" s="1"/>
  <c r="M401" i="2" s="1" a="1"/>
  <c r="M401" i="2" s="1"/>
  <c r="K402" i="2" a="1"/>
  <c r="K402" i="2" s="1"/>
  <c r="M402" i="2" s="1" a="1"/>
  <c r="M402" i="2" s="1"/>
  <c r="K403" i="2" a="1"/>
  <c r="K403" i="2" s="1"/>
  <c r="M403" i="2" s="1" a="1"/>
  <c r="M403" i="2" s="1"/>
  <c r="K404" i="2" a="1"/>
  <c r="K404" i="2" s="1"/>
  <c r="M404" i="2" s="1" a="1"/>
  <c r="M404" i="2" s="1"/>
  <c r="K405" i="2" a="1"/>
  <c r="K405" i="2" s="1"/>
  <c r="M405" i="2" s="1" a="1"/>
  <c r="M405" i="2" s="1"/>
  <c r="K406" i="2" a="1"/>
  <c r="K406" i="2" s="1"/>
  <c r="M406" i="2" s="1" a="1"/>
  <c r="M406" i="2" s="1"/>
  <c r="K407" i="2" a="1"/>
  <c r="K407" i="2" s="1"/>
  <c r="M407" i="2" s="1" a="1"/>
  <c r="M407" i="2" s="1"/>
  <c r="K408" i="2" a="1"/>
  <c r="K408" i="2" s="1"/>
  <c r="M408" i="2" s="1" a="1"/>
  <c r="M408" i="2" s="1"/>
  <c r="K409" i="2" a="1"/>
  <c r="K409" i="2" s="1"/>
  <c r="M409" i="2" s="1" a="1"/>
  <c r="M409" i="2" s="1"/>
  <c r="K410" i="2" a="1"/>
  <c r="K410" i="2" s="1"/>
  <c r="M410" i="2" s="1" a="1"/>
  <c r="M410" i="2" s="1"/>
  <c r="K411" i="2" a="1"/>
  <c r="K411" i="2" s="1"/>
  <c r="M411" i="2" s="1" a="1"/>
  <c r="M411" i="2" s="1"/>
  <c r="K412" i="2" a="1"/>
  <c r="K412" i="2" s="1"/>
  <c r="M412" i="2" s="1" a="1"/>
  <c r="M412" i="2" s="1"/>
  <c r="K413" i="2" a="1"/>
  <c r="K413" i="2" s="1"/>
  <c r="M413" i="2" s="1" a="1"/>
  <c r="M413" i="2" s="1"/>
  <c r="K414" i="2" a="1"/>
  <c r="K414" i="2" s="1"/>
  <c r="M414" i="2" s="1" a="1"/>
  <c r="M414" i="2" s="1"/>
  <c r="K415" i="2" a="1"/>
  <c r="K415" i="2" s="1"/>
  <c r="M415" i="2" s="1" a="1"/>
  <c r="M415" i="2" s="1"/>
  <c r="K416" i="2" a="1"/>
  <c r="K416" i="2" s="1"/>
  <c r="M416" i="2" s="1" a="1"/>
  <c r="M416" i="2" s="1"/>
  <c r="K417" i="2" a="1"/>
  <c r="K417" i="2" s="1"/>
  <c r="M417" i="2" s="1" a="1"/>
  <c r="M417" i="2" s="1"/>
  <c r="K418" i="2" a="1"/>
  <c r="K418" i="2" s="1"/>
  <c r="M418" i="2" s="1" a="1"/>
  <c r="M418" i="2" s="1"/>
  <c r="K419" i="2" a="1"/>
  <c r="K419" i="2" s="1"/>
  <c r="M419" i="2" s="1" a="1"/>
  <c r="M419" i="2" s="1"/>
  <c r="K420" i="2" a="1"/>
  <c r="K420" i="2" s="1"/>
  <c r="M420" i="2" s="1" a="1"/>
  <c r="M420" i="2" s="1"/>
  <c r="K421" i="2" a="1"/>
  <c r="K421" i="2" s="1"/>
  <c r="M421" i="2" s="1" a="1"/>
  <c r="M421" i="2" s="1"/>
  <c r="K422" i="2" a="1"/>
  <c r="K422" i="2" s="1"/>
  <c r="M422" i="2" s="1" a="1"/>
  <c r="M422" i="2" s="1"/>
  <c r="K423" i="2" a="1"/>
  <c r="K423" i="2" s="1"/>
  <c r="M423" i="2" s="1" a="1"/>
  <c r="M423" i="2" s="1"/>
  <c r="K424" i="2" a="1"/>
  <c r="K424" i="2" s="1"/>
  <c r="M424" i="2" s="1" a="1"/>
  <c r="M424" i="2" s="1"/>
  <c r="K425" i="2" a="1"/>
  <c r="K425" i="2" s="1"/>
  <c r="M425" i="2" s="1" a="1"/>
  <c r="M425" i="2" s="1"/>
  <c r="K426" i="2" a="1"/>
  <c r="K426" i="2" s="1"/>
  <c r="M426" i="2" s="1" a="1"/>
  <c r="M426" i="2" s="1"/>
  <c r="K427" i="2" a="1"/>
  <c r="K427" i="2"/>
  <c r="M427" i="2" s="1" a="1"/>
  <c r="M427" i="2" s="1"/>
  <c r="K428" i="2" a="1"/>
  <c r="K428" i="2" s="1"/>
  <c r="M428" i="2" s="1" a="1"/>
  <c r="M428" i="2" s="1"/>
  <c r="K429" i="2" a="1"/>
  <c r="K429" i="2" s="1"/>
  <c r="M429" i="2" s="1" a="1"/>
  <c r="M429" i="2" s="1"/>
  <c r="K430" i="2" a="1"/>
  <c r="K430" i="2" s="1"/>
  <c r="M430" i="2" s="1" a="1"/>
  <c r="M430" i="2" s="1"/>
  <c r="K431" i="2" a="1"/>
  <c r="K431" i="2" s="1"/>
  <c r="M431" i="2" s="1" a="1"/>
  <c r="M431" i="2" s="1"/>
  <c r="K432" i="2" a="1"/>
  <c r="K432" i="2" s="1"/>
  <c r="M432" i="2" s="1" a="1"/>
  <c r="M432" i="2" s="1"/>
  <c r="K433" i="2" a="1"/>
  <c r="K433" i="2" s="1"/>
  <c r="M433" i="2" s="1" a="1"/>
  <c r="M433" i="2" s="1"/>
  <c r="K434" i="2" a="1"/>
  <c r="K434" i="2" s="1"/>
  <c r="M434" i="2" s="1" a="1"/>
  <c r="M434" i="2" s="1"/>
  <c r="K435" i="2" a="1"/>
  <c r="K435" i="2" s="1"/>
  <c r="M435" i="2" s="1" a="1"/>
  <c r="M435" i="2" s="1"/>
  <c r="K436" i="2" a="1"/>
  <c r="K436" i="2" s="1"/>
  <c r="M436" i="2" s="1" a="1"/>
  <c r="M436" i="2" s="1"/>
  <c r="K437" i="2" a="1"/>
  <c r="K437" i="2" s="1"/>
  <c r="M437" i="2" s="1" a="1"/>
  <c r="M437" i="2" s="1"/>
  <c r="K438" i="2" a="1"/>
  <c r="K438" i="2" s="1"/>
  <c r="M438" i="2" s="1" a="1"/>
  <c r="M438" i="2" s="1"/>
  <c r="K439" i="2" a="1"/>
  <c r="K439" i="2" s="1"/>
  <c r="M439" i="2" s="1" a="1"/>
  <c r="M439" i="2" s="1"/>
  <c r="K440" i="2" a="1"/>
  <c r="K440" i="2" s="1"/>
  <c r="M440" i="2" s="1" a="1"/>
  <c r="M440" i="2" s="1"/>
  <c r="K441" i="2" a="1"/>
  <c r="K441" i="2" s="1"/>
  <c r="M441" i="2" s="1" a="1"/>
  <c r="M441" i="2" s="1"/>
  <c r="K442" i="2" a="1"/>
  <c r="K442" i="2" s="1"/>
  <c r="M442" i="2" s="1" a="1"/>
  <c r="M442" i="2" s="1"/>
  <c r="K443" i="2" a="1"/>
  <c r="K443" i="2" s="1"/>
  <c r="M443" i="2" s="1" a="1"/>
  <c r="M443" i="2" s="1"/>
  <c r="K444" i="2" a="1"/>
  <c r="K444" i="2" s="1"/>
  <c r="M444" i="2" s="1" a="1"/>
  <c r="M444" i="2" s="1"/>
  <c r="K445" i="2" a="1"/>
  <c r="K445" i="2" s="1"/>
  <c r="M445" i="2" s="1" a="1"/>
  <c r="M445" i="2" s="1"/>
  <c r="K446" i="2" a="1"/>
  <c r="K446" i="2" s="1"/>
  <c r="M446" i="2" s="1" a="1"/>
  <c r="M446" i="2" s="1"/>
  <c r="K447" i="2" a="1"/>
  <c r="K447" i="2" s="1"/>
  <c r="M447" i="2" s="1" a="1"/>
  <c r="M447" i="2" s="1"/>
  <c r="K448" i="2" a="1"/>
  <c r="K448" i="2" s="1"/>
  <c r="M448" i="2" s="1" a="1"/>
  <c r="M448" i="2" s="1"/>
  <c r="K449" i="2" a="1"/>
  <c r="K449" i="2" s="1"/>
  <c r="M449" i="2" s="1" a="1"/>
  <c r="M449" i="2" s="1"/>
  <c r="K450" i="2" a="1"/>
  <c r="K450" i="2" s="1"/>
  <c r="M450" i="2" s="1" a="1"/>
  <c r="M450" i="2" s="1"/>
  <c r="K451" i="2" a="1"/>
  <c r="K451" i="2" s="1"/>
  <c r="M451" i="2" s="1" a="1"/>
  <c r="M451" i="2" s="1"/>
  <c r="K452" i="2" a="1"/>
  <c r="K452" i="2" s="1"/>
  <c r="M452" i="2" s="1" a="1"/>
  <c r="M452" i="2" s="1"/>
  <c r="K453" i="2" a="1"/>
  <c r="K453" i="2" s="1"/>
  <c r="M453" i="2" s="1" a="1"/>
  <c r="M453" i="2" s="1"/>
  <c r="K454" i="2" a="1"/>
  <c r="K454" i="2" s="1"/>
  <c r="M454" i="2" s="1" a="1"/>
  <c r="M454" i="2" s="1"/>
  <c r="K455" i="2" a="1"/>
  <c r="K455" i="2" s="1"/>
  <c r="M455" i="2" s="1" a="1"/>
  <c r="M455" i="2" s="1"/>
  <c r="K456" i="2" a="1"/>
  <c r="K456" i="2" s="1"/>
  <c r="M456" i="2" s="1" a="1"/>
  <c r="M456" i="2" s="1"/>
  <c r="K457" i="2" a="1"/>
  <c r="K457" i="2" s="1"/>
  <c r="M457" i="2" s="1" a="1"/>
  <c r="M457" i="2" s="1"/>
  <c r="K458" i="2" a="1"/>
  <c r="K458" i="2" s="1"/>
  <c r="M458" i="2" s="1" a="1"/>
  <c r="M458" i="2" s="1"/>
  <c r="K459" i="2" a="1"/>
  <c r="K459" i="2" s="1"/>
  <c r="M459" i="2" s="1" a="1"/>
  <c r="M459" i="2" s="1"/>
  <c r="K460" i="2" a="1"/>
  <c r="K460" i="2" s="1"/>
  <c r="M460" i="2" s="1" a="1"/>
  <c r="M460" i="2" s="1"/>
  <c r="K461" i="2" a="1"/>
  <c r="K461" i="2" s="1"/>
  <c r="M461" i="2" s="1" a="1"/>
  <c r="M461" i="2" s="1"/>
  <c r="K462" i="2" a="1"/>
  <c r="K462" i="2" s="1"/>
  <c r="M462" i="2" s="1" a="1"/>
  <c r="M462" i="2" s="1"/>
  <c r="K463" i="2" a="1"/>
  <c r="K463" i="2" s="1"/>
  <c r="M463" i="2" s="1" a="1"/>
  <c r="M463" i="2" s="1"/>
  <c r="K464" i="2" a="1"/>
  <c r="K464" i="2" s="1"/>
  <c r="M464" i="2" s="1" a="1"/>
  <c r="M464" i="2" s="1"/>
  <c r="K465" i="2" a="1"/>
  <c r="K465" i="2" s="1"/>
  <c r="M465" i="2" s="1" a="1"/>
  <c r="M465" i="2" s="1"/>
  <c r="K466" i="2" a="1"/>
  <c r="K466" i="2" s="1"/>
  <c r="M466" i="2" s="1" a="1"/>
  <c r="M466" i="2" s="1"/>
  <c r="K467" i="2" a="1"/>
  <c r="K467" i="2" s="1"/>
  <c r="M467" i="2" s="1" a="1"/>
  <c r="M467" i="2" s="1"/>
  <c r="K468" i="2" a="1"/>
  <c r="K468" i="2" s="1"/>
  <c r="M468" i="2" s="1" a="1"/>
  <c r="M468" i="2" s="1"/>
  <c r="K469" i="2" a="1"/>
  <c r="K469" i="2" s="1"/>
  <c r="M469" i="2" s="1" a="1"/>
  <c r="M469" i="2" s="1"/>
  <c r="K470" i="2" a="1"/>
  <c r="K470" i="2" s="1"/>
  <c r="M470" i="2" s="1" a="1"/>
  <c r="M470" i="2" s="1"/>
  <c r="K471" i="2" a="1"/>
  <c r="K471" i="2" s="1"/>
  <c r="M471" i="2" s="1" a="1"/>
  <c r="M471" i="2" s="1"/>
  <c r="K472" i="2" a="1"/>
  <c r="K472" i="2" s="1"/>
  <c r="M472" i="2" s="1" a="1"/>
  <c r="M472" i="2" s="1"/>
  <c r="K473" i="2" a="1"/>
  <c r="K473" i="2" s="1"/>
  <c r="M473" i="2" s="1" a="1"/>
  <c r="M473" i="2" s="1"/>
  <c r="K474" i="2" a="1"/>
  <c r="K474" i="2" s="1"/>
  <c r="M474" i="2" s="1" a="1"/>
  <c r="M474" i="2" s="1"/>
  <c r="K475" i="2" a="1"/>
  <c r="K475" i="2" s="1"/>
  <c r="M475" i="2" s="1" a="1"/>
  <c r="M475" i="2" s="1"/>
  <c r="K476" i="2" a="1"/>
  <c r="K476" i="2" s="1"/>
  <c r="M476" i="2" s="1" a="1"/>
  <c r="M476" i="2" s="1"/>
  <c r="K477" i="2" a="1"/>
  <c r="K477" i="2" s="1"/>
  <c r="M477" i="2" s="1" a="1"/>
  <c r="M477" i="2" s="1"/>
  <c r="K478" i="2" a="1"/>
  <c r="K478" i="2" s="1"/>
  <c r="M478" i="2" s="1" a="1"/>
  <c r="M478" i="2" s="1"/>
  <c r="K479" i="2" a="1"/>
  <c r="K479" i="2" s="1"/>
  <c r="M479" i="2" s="1" a="1"/>
  <c r="M479" i="2" s="1"/>
  <c r="K480" i="2" a="1"/>
  <c r="K480" i="2" s="1"/>
  <c r="M480" i="2" s="1" a="1"/>
  <c r="M480" i="2" s="1"/>
  <c r="K481" i="2" a="1"/>
  <c r="K481" i="2" s="1"/>
  <c r="M481" i="2" s="1" a="1"/>
  <c r="M481" i="2" s="1"/>
  <c r="K482" i="2" a="1"/>
  <c r="K482" i="2" s="1"/>
  <c r="M482" i="2" s="1" a="1"/>
  <c r="M482" i="2" s="1"/>
  <c r="K483" i="2" a="1"/>
  <c r="K483" i="2" s="1"/>
  <c r="M483" i="2" s="1" a="1"/>
  <c r="M483" i="2" s="1"/>
  <c r="K484" i="2" a="1"/>
  <c r="K484" i="2" s="1"/>
  <c r="M484" i="2" s="1" a="1"/>
  <c r="M484" i="2" s="1"/>
  <c r="K485" i="2" a="1"/>
  <c r="K485" i="2" s="1"/>
  <c r="M485" i="2" s="1" a="1"/>
  <c r="M485" i="2" s="1"/>
  <c r="K486" i="2" a="1"/>
  <c r="K486" i="2" s="1"/>
  <c r="M486" i="2" s="1" a="1"/>
  <c r="M486" i="2" s="1"/>
  <c r="K487" i="2" a="1"/>
  <c r="K487" i="2" s="1"/>
  <c r="M487" i="2" s="1" a="1"/>
  <c r="M487" i="2" s="1"/>
  <c r="K488" i="2" a="1"/>
  <c r="K488" i="2" s="1"/>
  <c r="M488" i="2" s="1" a="1"/>
  <c r="M488" i="2" s="1"/>
  <c r="K489" i="2" a="1"/>
  <c r="K489" i="2" s="1"/>
  <c r="M489" i="2" s="1" a="1"/>
  <c r="M489" i="2" s="1"/>
  <c r="K490" i="2" a="1"/>
  <c r="K490" i="2" s="1"/>
  <c r="M490" i="2" s="1" a="1"/>
  <c r="M490" i="2" s="1"/>
  <c r="K491" i="2" a="1"/>
  <c r="K491" i="2" s="1"/>
  <c r="M491" i="2" s="1" a="1"/>
  <c r="M491" i="2" s="1"/>
  <c r="K492" i="2" a="1"/>
  <c r="K492" i="2" s="1"/>
  <c r="M492" i="2" s="1" a="1"/>
  <c r="M492" i="2" s="1"/>
  <c r="K493" i="2" a="1"/>
  <c r="K493" i="2" s="1"/>
  <c r="M493" i="2" s="1" a="1"/>
  <c r="M493" i="2" s="1"/>
  <c r="K494" i="2" a="1"/>
  <c r="K494" i="2" s="1"/>
  <c r="M494" i="2" s="1" a="1"/>
  <c r="M494" i="2" s="1"/>
  <c r="K495" i="2" a="1"/>
  <c r="K495" i="2" s="1"/>
  <c r="M495" i="2" s="1" a="1"/>
  <c r="M495" i="2" s="1"/>
  <c r="K496" i="2" a="1"/>
  <c r="K496" i="2" s="1"/>
  <c r="M496" i="2" s="1" a="1"/>
  <c r="M496" i="2" s="1"/>
  <c r="K497" i="2" a="1"/>
  <c r="K497" i="2" s="1"/>
  <c r="M497" i="2" s="1" a="1"/>
  <c r="M497" i="2" s="1"/>
  <c r="K498" i="2" a="1"/>
  <c r="K498" i="2" s="1"/>
  <c r="M498" i="2" s="1" a="1"/>
  <c r="M498" i="2" s="1"/>
  <c r="K499" i="2" a="1"/>
  <c r="K499" i="2" s="1"/>
  <c r="M499" i="2" s="1" a="1"/>
  <c r="M499" i="2" s="1"/>
  <c r="K500" i="2" a="1"/>
  <c r="K500" i="2" s="1"/>
  <c r="M500" i="2" s="1" a="1"/>
  <c r="M500" i="2" s="1"/>
  <c r="K501" i="2" a="1"/>
  <c r="K501" i="2" s="1"/>
  <c r="M501" i="2" s="1" a="1"/>
  <c r="M501" i="2" s="1"/>
  <c r="K502" i="2" a="1"/>
  <c r="K502" i="2" s="1"/>
  <c r="M502" i="2" s="1" a="1"/>
  <c r="M502" i="2" s="1"/>
  <c r="K503" i="2" a="1"/>
  <c r="K503" i="2" s="1"/>
  <c r="M503" i="2" s="1" a="1"/>
  <c r="M503" i="2" s="1"/>
  <c r="K504" i="2" a="1"/>
  <c r="K504" i="2" s="1"/>
  <c r="M504" i="2" s="1" a="1"/>
  <c r="M504" i="2" s="1"/>
  <c r="K505" i="2" a="1"/>
  <c r="K505" i="2" s="1"/>
  <c r="M505" i="2" s="1" a="1"/>
  <c r="M505" i="2" s="1"/>
  <c r="K506" i="2" a="1"/>
  <c r="K506" i="2" s="1"/>
  <c r="M506" i="2" s="1" a="1"/>
  <c r="M506" i="2" s="1"/>
  <c r="K507" i="2" a="1"/>
  <c r="K507" i="2" s="1"/>
  <c r="M507" i="2" s="1" a="1"/>
  <c r="M507" i="2" s="1"/>
  <c r="K508" i="2" a="1"/>
  <c r="K508" i="2" s="1"/>
  <c r="M508" i="2" s="1" a="1"/>
  <c r="M508" i="2" s="1"/>
  <c r="K509" i="2" a="1"/>
  <c r="K509" i="2" s="1"/>
  <c r="M509" i="2" s="1" a="1"/>
  <c r="M509" i="2" s="1"/>
  <c r="K510" i="2" a="1"/>
  <c r="K510" i="2" s="1"/>
  <c r="M510" i="2" s="1" a="1"/>
  <c r="M510" i="2" s="1"/>
  <c r="K511" i="2" a="1"/>
  <c r="K511" i="2" s="1"/>
  <c r="M511" i="2" s="1" a="1"/>
  <c r="M511" i="2" s="1"/>
  <c r="K512" i="2" a="1"/>
  <c r="K512" i="2" s="1"/>
  <c r="M512" i="2" s="1" a="1"/>
  <c r="M512" i="2" s="1"/>
  <c r="K513" i="2" a="1"/>
  <c r="K513" i="2" s="1"/>
  <c r="M513" i="2" s="1" a="1"/>
  <c r="M513" i="2" s="1"/>
  <c r="K514" i="2" a="1"/>
  <c r="K514" i="2" s="1"/>
  <c r="M514" i="2" s="1" a="1"/>
  <c r="M514" i="2" s="1"/>
  <c r="K515" i="2" a="1"/>
  <c r="K515" i="2" s="1"/>
  <c r="M515" i="2" s="1" a="1"/>
  <c r="M515" i="2" s="1"/>
  <c r="K516" i="2" a="1"/>
  <c r="K516" i="2" s="1"/>
  <c r="M516" i="2" s="1" a="1"/>
  <c r="M516" i="2" s="1"/>
  <c r="K517" i="2" a="1"/>
  <c r="K517" i="2" s="1"/>
  <c r="M517" i="2" s="1" a="1"/>
  <c r="M517" i="2" s="1"/>
  <c r="K518" i="2" a="1"/>
  <c r="K518" i="2" s="1"/>
  <c r="M518" i="2" s="1" a="1"/>
  <c r="M518" i="2" s="1"/>
  <c r="K519" i="2" a="1"/>
  <c r="K519" i="2" s="1"/>
  <c r="M519" i="2" s="1" a="1"/>
  <c r="M519" i="2" s="1"/>
  <c r="K520" i="2" a="1"/>
  <c r="K520" i="2" s="1"/>
  <c r="M520" i="2" s="1" a="1"/>
  <c r="M520" i="2" s="1"/>
  <c r="K521" i="2" a="1"/>
  <c r="K521" i="2" s="1"/>
  <c r="M521" i="2" s="1" a="1"/>
  <c r="M521" i="2" s="1"/>
  <c r="K522" i="2" a="1"/>
  <c r="K522" i="2" s="1"/>
  <c r="M522" i="2" s="1" a="1"/>
  <c r="M522" i="2" s="1"/>
  <c r="K523" i="2" a="1"/>
  <c r="K523" i="2" s="1"/>
  <c r="M523" i="2" s="1" a="1"/>
  <c r="M523" i="2" s="1"/>
  <c r="K524" i="2" a="1"/>
  <c r="K524" i="2" s="1"/>
  <c r="M524" i="2" s="1" a="1"/>
  <c r="M524" i="2" s="1"/>
  <c r="K525" i="2" a="1"/>
  <c r="K525" i="2" s="1"/>
  <c r="M525" i="2" s="1" a="1"/>
  <c r="M525" i="2" s="1"/>
  <c r="K526" i="2" a="1"/>
  <c r="K526" i="2" s="1"/>
  <c r="M526" i="2" s="1" a="1"/>
  <c r="M526" i="2" s="1"/>
  <c r="K527" i="2" a="1"/>
  <c r="K527" i="2" s="1"/>
  <c r="M527" i="2" s="1" a="1"/>
  <c r="M527" i="2" s="1"/>
  <c r="K528" i="2" a="1"/>
  <c r="K528" i="2" s="1"/>
  <c r="M528" i="2" s="1" a="1"/>
  <c r="M528" i="2" s="1"/>
  <c r="K529" i="2" a="1"/>
  <c r="K529" i="2" s="1"/>
  <c r="M529" i="2" s="1" a="1"/>
  <c r="M529" i="2" s="1"/>
  <c r="K530" i="2" a="1"/>
  <c r="K530" i="2" s="1"/>
  <c r="M530" i="2" s="1" a="1"/>
  <c r="M530" i="2" s="1"/>
  <c r="K531" i="2" a="1"/>
  <c r="K531" i="2" s="1"/>
  <c r="M531" i="2" s="1" a="1"/>
  <c r="M531" i="2" s="1"/>
  <c r="K532" i="2" a="1"/>
  <c r="K532" i="2" s="1"/>
  <c r="M532" i="2" s="1" a="1"/>
  <c r="M532" i="2" s="1"/>
  <c r="K533" i="2" a="1"/>
  <c r="K533" i="2" s="1"/>
  <c r="M533" i="2" s="1" a="1"/>
  <c r="M533" i="2" s="1"/>
  <c r="K534" i="2" a="1"/>
  <c r="K534" i="2" s="1"/>
  <c r="M534" i="2" s="1" a="1"/>
  <c r="M534" i="2" s="1"/>
  <c r="K535" i="2" a="1"/>
  <c r="K535" i="2" s="1"/>
  <c r="M535" i="2" s="1" a="1"/>
  <c r="M535" i="2" s="1"/>
  <c r="K536" i="2" a="1"/>
  <c r="K536" i="2" s="1"/>
  <c r="M536" i="2" s="1" a="1"/>
  <c r="M536" i="2" s="1"/>
  <c r="K537" i="2" a="1"/>
  <c r="K537" i="2" s="1"/>
  <c r="M537" i="2" s="1" a="1"/>
  <c r="M537" i="2" s="1"/>
  <c r="K538" i="2" a="1"/>
  <c r="K538" i="2" s="1"/>
  <c r="M538" i="2" s="1" a="1"/>
  <c r="M538" i="2" s="1"/>
  <c r="K539" i="2" a="1"/>
  <c r="K539" i="2" s="1"/>
  <c r="M539" i="2" s="1" a="1"/>
  <c r="M539" i="2" s="1"/>
  <c r="K540" i="2" a="1"/>
  <c r="K540" i="2" s="1"/>
  <c r="M540" i="2" s="1" a="1"/>
  <c r="M540" i="2" s="1"/>
  <c r="K541" i="2" a="1"/>
  <c r="K541" i="2" s="1"/>
  <c r="M541" i="2" s="1" a="1"/>
  <c r="M541" i="2" s="1"/>
  <c r="K542" i="2" a="1"/>
  <c r="K542" i="2" s="1"/>
  <c r="M542" i="2" s="1" a="1"/>
  <c r="M542" i="2" s="1"/>
  <c r="K543" i="2" a="1"/>
  <c r="K543" i="2" s="1"/>
  <c r="M543" i="2" s="1" a="1"/>
  <c r="M543" i="2" s="1"/>
  <c r="K544" i="2" a="1"/>
  <c r="K544" i="2" s="1"/>
  <c r="M544" i="2" s="1" a="1"/>
  <c r="M544" i="2" s="1"/>
  <c r="K545" i="2" a="1"/>
  <c r="K545" i="2" s="1"/>
  <c r="M545" i="2" s="1" a="1"/>
  <c r="M545" i="2" s="1"/>
  <c r="K546" i="2" a="1"/>
  <c r="K546" i="2" s="1"/>
  <c r="M546" i="2" s="1" a="1"/>
  <c r="M546" i="2" s="1"/>
  <c r="K547" i="2" a="1"/>
  <c r="K547" i="2" s="1"/>
  <c r="M547" i="2" s="1" a="1"/>
  <c r="M547" i="2" s="1"/>
  <c r="K548" i="2" a="1"/>
  <c r="K548" i="2" s="1"/>
  <c r="M548" i="2" s="1" a="1"/>
  <c r="M548" i="2" s="1"/>
  <c r="K549" i="2" a="1"/>
  <c r="K549" i="2" s="1"/>
  <c r="M549" i="2" s="1" a="1"/>
  <c r="M549" i="2" s="1"/>
  <c r="K550" i="2" a="1"/>
  <c r="K550" i="2" s="1"/>
  <c r="M550" i="2" s="1" a="1"/>
  <c r="M550" i="2" s="1"/>
  <c r="K551" i="2" a="1"/>
  <c r="K551" i="2" s="1"/>
  <c r="M551" i="2" s="1" a="1"/>
  <c r="M551" i="2" s="1"/>
  <c r="K552" i="2" a="1"/>
  <c r="K552" i="2" s="1"/>
  <c r="M552" i="2" s="1" a="1"/>
  <c r="M552" i="2" s="1"/>
  <c r="K553" i="2" a="1"/>
  <c r="K553" i="2" s="1"/>
  <c r="M553" i="2" s="1" a="1"/>
  <c r="M553" i="2" s="1"/>
  <c r="K554" i="2" a="1"/>
  <c r="K554" i="2" s="1"/>
  <c r="M554" i="2" s="1" a="1"/>
  <c r="M554" i="2" s="1"/>
  <c r="K555" i="2" a="1"/>
  <c r="K555" i="2" s="1"/>
  <c r="M555" i="2" s="1" a="1"/>
  <c r="M555" i="2" s="1"/>
  <c r="K556" i="2" a="1"/>
  <c r="K556" i="2" s="1"/>
  <c r="M556" i="2" s="1" a="1"/>
  <c r="M556" i="2" s="1"/>
  <c r="K557" i="2" a="1"/>
  <c r="K557" i="2" s="1"/>
  <c r="M557" i="2" s="1" a="1"/>
  <c r="M557" i="2" s="1"/>
  <c r="K558" i="2" a="1"/>
  <c r="K558" i="2" s="1"/>
  <c r="M558" i="2" s="1" a="1"/>
  <c r="M558" i="2" s="1"/>
  <c r="K559" i="2" a="1"/>
  <c r="K559" i="2" s="1"/>
  <c r="M559" i="2" s="1" a="1"/>
  <c r="M559" i="2" s="1"/>
  <c r="K560" i="2" a="1"/>
  <c r="K560" i="2" s="1"/>
  <c r="M560" i="2" s="1" a="1"/>
  <c r="M560" i="2" s="1"/>
  <c r="K561" i="2" a="1"/>
  <c r="K561" i="2" s="1"/>
  <c r="M561" i="2" s="1" a="1"/>
  <c r="M561" i="2" s="1"/>
  <c r="K562" i="2" a="1"/>
  <c r="K562" i="2" s="1"/>
  <c r="M562" i="2" s="1" a="1"/>
  <c r="M562" i="2" s="1"/>
  <c r="K563" i="2" a="1"/>
  <c r="K563" i="2" s="1"/>
  <c r="M563" i="2" s="1" a="1"/>
  <c r="M563" i="2" s="1"/>
  <c r="K564" i="2" a="1"/>
  <c r="K564" i="2" s="1"/>
  <c r="M564" i="2" s="1" a="1"/>
  <c r="M564" i="2" s="1"/>
  <c r="K565" i="2" a="1"/>
  <c r="K565" i="2" s="1"/>
  <c r="M565" i="2" s="1" a="1"/>
  <c r="M565" i="2" s="1"/>
  <c r="K566" i="2" a="1"/>
  <c r="K566" i="2" s="1"/>
  <c r="M566" i="2" s="1" a="1"/>
  <c r="M566" i="2" s="1"/>
  <c r="K567" i="2" a="1"/>
  <c r="K567" i="2" s="1"/>
  <c r="M567" i="2" s="1" a="1"/>
  <c r="M567" i="2" s="1"/>
  <c r="K568" i="2" a="1"/>
  <c r="K568" i="2" s="1"/>
  <c r="M568" i="2" s="1" a="1"/>
  <c r="M568" i="2" s="1"/>
  <c r="K569" i="2" a="1"/>
  <c r="K569" i="2" s="1"/>
  <c r="M569" i="2" s="1" a="1"/>
  <c r="M569" i="2" s="1"/>
  <c r="K570" i="2" a="1"/>
  <c r="K570" i="2" s="1"/>
  <c r="M570" i="2" s="1" a="1"/>
  <c r="M570" i="2" s="1"/>
  <c r="K571" i="2" a="1"/>
  <c r="K571" i="2" s="1"/>
  <c r="M571" i="2" s="1" a="1"/>
  <c r="M571" i="2" s="1"/>
  <c r="K572" i="2" a="1"/>
  <c r="K572" i="2" s="1"/>
  <c r="M572" i="2" s="1" a="1"/>
  <c r="M572" i="2" s="1"/>
  <c r="K573" i="2" a="1"/>
  <c r="K573" i="2" s="1"/>
  <c r="M573" i="2" s="1" a="1"/>
  <c r="M573" i="2" s="1"/>
  <c r="K574" i="2" a="1"/>
  <c r="K574" i="2" s="1"/>
  <c r="M574" i="2" s="1" a="1"/>
  <c r="M574" i="2" s="1"/>
  <c r="K575" i="2" a="1"/>
  <c r="K575" i="2" s="1"/>
  <c r="M575" i="2" s="1" a="1"/>
  <c r="M575" i="2" s="1"/>
  <c r="K576" i="2" a="1"/>
  <c r="K576" i="2" s="1"/>
  <c r="M576" i="2" s="1" a="1"/>
  <c r="M576" i="2" s="1"/>
  <c r="K577" i="2" a="1"/>
  <c r="K577" i="2" s="1"/>
  <c r="M577" i="2" s="1" a="1"/>
  <c r="M577" i="2" s="1"/>
  <c r="K578" i="2" a="1"/>
  <c r="K578" i="2" s="1"/>
  <c r="M578" i="2" s="1" a="1"/>
  <c r="M578" i="2" s="1"/>
  <c r="K579" i="2" a="1"/>
  <c r="K579" i="2" s="1"/>
  <c r="M579" i="2" s="1" a="1"/>
  <c r="M579" i="2" s="1"/>
  <c r="K580" i="2" a="1"/>
  <c r="K580" i="2" s="1"/>
  <c r="M580" i="2" s="1" a="1"/>
  <c r="M580" i="2" s="1"/>
  <c r="K581" i="2" a="1"/>
  <c r="K581" i="2" s="1"/>
  <c r="M581" i="2" s="1" a="1"/>
  <c r="M581" i="2" s="1"/>
  <c r="K582" i="2" a="1"/>
  <c r="K582" i="2" s="1"/>
  <c r="M582" i="2" s="1" a="1"/>
  <c r="M582" i="2" s="1"/>
  <c r="K583" i="2" a="1"/>
  <c r="K583" i="2" s="1"/>
  <c r="M583" i="2" s="1" a="1"/>
  <c r="M583" i="2" s="1"/>
  <c r="K584" i="2" a="1"/>
  <c r="K584" i="2" s="1"/>
  <c r="M584" i="2" s="1" a="1"/>
  <c r="M584" i="2" s="1"/>
  <c r="K585" i="2" a="1"/>
  <c r="K585" i="2" s="1"/>
  <c r="M585" i="2" s="1" a="1"/>
  <c r="M585" i="2" s="1"/>
  <c r="K586" i="2" a="1"/>
  <c r="K586" i="2" s="1"/>
  <c r="M586" i="2" s="1" a="1"/>
  <c r="M586" i="2" s="1"/>
  <c r="K587" i="2" a="1"/>
  <c r="K587" i="2" s="1"/>
  <c r="M587" i="2" s="1" a="1"/>
  <c r="M587" i="2" s="1"/>
  <c r="K588" i="2" a="1"/>
  <c r="K588" i="2" s="1"/>
  <c r="M588" i="2" s="1" a="1"/>
  <c r="M588" i="2" s="1"/>
  <c r="K589" i="2" a="1"/>
  <c r="K589" i="2" s="1"/>
  <c r="M589" i="2" s="1" a="1"/>
  <c r="M589" i="2" s="1"/>
  <c r="K590" i="2" a="1"/>
  <c r="K590" i="2" s="1"/>
  <c r="M590" i="2" s="1" a="1"/>
  <c r="M590" i="2" s="1"/>
  <c r="K591" i="2" a="1"/>
  <c r="K591" i="2" s="1"/>
  <c r="M591" i="2" s="1" a="1"/>
  <c r="M591" i="2" s="1"/>
  <c r="K592" i="2" a="1"/>
  <c r="K592" i="2" s="1"/>
  <c r="M592" i="2" s="1" a="1"/>
  <c r="M592" i="2" s="1"/>
  <c r="K593" i="2" a="1"/>
  <c r="K593" i="2" s="1"/>
  <c r="M593" i="2" s="1" a="1"/>
  <c r="M593" i="2" s="1"/>
  <c r="K594" i="2" a="1"/>
  <c r="K594" i="2" s="1"/>
  <c r="M594" i="2" s="1" a="1"/>
  <c r="M594" i="2" s="1"/>
  <c r="K595" i="2" a="1"/>
  <c r="K595" i="2" s="1"/>
  <c r="M595" i="2" s="1" a="1"/>
  <c r="M595" i="2" s="1"/>
  <c r="K596" i="2" a="1"/>
  <c r="K596" i="2" s="1"/>
  <c r="M596" i="2" s="1" a="1"/>
  <c r="M596" i="2" s="1"/>
  <c r="K597" i="2" a="1"/>
  <c r="K597" i="2" s="1"/>
  <c r="M597" i="2" s="1" a="1"/>
  <c r="M597" i="2" s="1"/>
  <c r="K598" i="2" a="1"/>
  <c r="K598" i="2" s="1"/>
  <c r="M598" i="2" s="1" a="1"/>
  <c r="M598" i="2" s="1"/>
  <c r="K599" i="2" a="1"/>
  <c r="K599" i="2" s="1"/>
  <c r="M599" i="2" s="1" a="1"/>
  <c r="M599" i="2" s="1"/>
  <c r="K600" i="2" a="1"/>
  <c r="K600" i="2" s="1"/>
  <c r="M600" i="2" s="1" a="1"/>
  <c r="M600" i="2" s="1"/>
  <c r="K601" i="2" a="1"/>
  <c r="K601" i="2" s="1"/>
  <c r="M601" i="2" s="1" a="1"/>
  <c r="M601" i="2" s="1"/>
  <c r="K602" i="2" a="1"/>
  <c r="K602" i="2" s="1"/>
  <c r="M602" i="2" s="1" a="1"/>
  <c r="M602" i="2" s="1"/>
  <c r="K603" i="2" a="1"/>
  <c r="K603" i="2" s="1"/>
  <c r="M603" i="2" s="1" a="1"/>
  <c r="M603" i="2" s="1"/>
  <c r="K604" i="2" a="1"/>
  <c r="K604" i="2" s="1"/>
  <c r="M604" i="2" s="1" a="1"/>
  <c r="M604" i="2" s="1"/>
  <c r="K605" i="2" a="1"/>
  <c r="K605" i="2" s="1"/>
  <c r="M605" i="2" s="1" a="1"/>
  <c r="M605" i="2" s="1"/>
  <c r="K606" i="2" a="1"/>
  <c r="K606" i="2" s="1"/>
  <c r="M606" i="2" s="1" a="1"/>
  <c r="M606" i="2" s="1"/>
  <c r="K607" i="2" a="1"/>
  <c r="K607" i="2" s="1"/>
  <c r="M607" i="2" s="1" a="1"/>
  <c r="M607" i="2" s="1"/>
  <c r="K608" i="2" a="1"/>
  <c r="K608" i="2"/>
  <c r="M608" i="2" s="1" a="1"/>
  <c r="M608" i="2" s="1"/>
  <c r="K609" i="2" a="1"/>
  <c r="K609" i="2" s="1"/>
  <c r="M609" i="2" s="1" a="1"/>
  <c r="M609" i="2" s="1"/>
  <c r="K610" i="2" a="1"/>
  <c r="K610" i="2" s="1"/>
  <c r="M610" i="2" s="1" a="1"/>
  <c r="M610" i="2" s="1"/>
  <c r="K611" i="2" a="1"/>
  <c r="K611" i="2" s="1"/>
  <c r="M611" i="2" s="1" a="1"/>
  <c r="M611" i="2" s="1"/>
  <c r="K612" i="2" a="1"/>
  <c r="K612" i="2" s="1"/>
  <c r="M612" i="2" s="1" a="1"/>
  <c r="M612" i="2" s="1"/>
  <c r="K613" i="2" a="1"/>
  <c r="K613" i="2" s="1"/>
  <c r="M613" i="2" s="1" a="1"/>
  <c r="M613" i="2" s="1"/>
  <c r="K614" i="2" a="1"/>
  <c r="K614" i="2" s="1"/>
  <c r="M614" i="2" s="1" a="1"/>
  <c r="M614" i="2" s="1"/>
  <c r="K615" i="2" a="1"/>
  <c r="K615" i="2" s="1"/>
  <c r="M615" i="2" s="1" a="1"/>
  <c r="M615" i="2" s="1"/>
  <c r="K616" i="2" a="1"/>
  <c r="K616" i="2" s="1"/>
  <c r="M616" i="2" s="1" a="1"/>
  <c r="M616" i="2" s="1"/>
  <c r="K617" i="2" a="1"/>
  <c r="K617" i="2" s="1"/>
  <c r="M617" i="2" s="1" a="1"/>
  <c r="M617" i="2" s="1"/>
  <c r="K618" i="2" a="1"/>
  <c r="K618" i="2" s="1"/>
  <c r="M618" i="2" s="1" a="1"/>
  <c r="M618" i="2" s="1"/>
  <c r="K619" i="2" a="1"/>
  <c r="K619" i="2" s="1"/>
  <c r="M619" i="2" s="1" a="1"/>
  <c r="M619" i="2" s="1"/>
  <c r="K620" i="2" a="1"/>
  <c r="K620" i="2" s="1"/>
  <c r="M620" i="2" s="1" a="1"/>
  <c r="M620" i="2" s="1"/>
  <c r="K621" i="2" a="1"/>
  <c r="K621" i="2" s="1"/>
  <c r="M621" i="2" s="1" a="1"/>
  <c r="M621" i="2" s="1"/>
  <c r="K622" i="2" a="1"/>
  <c r="K622" i="2" s="1"/>
  <c r="M622" i="2" s="1" a="1"/>
  <c r="M622" i="2" s="1"/>
  <c r="K623" i="2" a="1"/>
  <c r="K623" i="2" s="1"/>
  <c r="M623" i="2" s="1" a="1"/>
  <c r="M623" i="2" s="1"/>
  <c r="K624" i="2" a="1"/>
  <c r="K624" i="2" s="1"/>
  <c r="M624" i="2" s="1" a="1"/>
  <c r="M624" i="2" s="1"/>
  <c r="K625" i="2" a="1"/>
  <c r="K625" i="2" s="1"/>
  <c r="M625" i="2" s="1" a="1"/>
  <c r="M625" i="2" s="1"/>
  <c r="K626" i="2" a="1"/>
  <c r="K626" i="2" s="1"/>
  <c r="M626" i="2" s="1" a="1"/>
  <c r="M626" i="2" s="1"/>
  <c r="K627" i="2" a="1"/>
  <c r="K627" i="2" s="1"/>
  <c r="M627" i="2" s="1" a="1"/>
  <c r="M627" i="2" s="1"/>
  <c r="K628" i="2" a="1"/>
  <c r="K628" i="2" s="1"/>
  <c r="M628" i="2" s="1" a="1"/>
  <c r="M628" i="2" s="1"/>
  <c r="K629" i="2" a="1"/>
  <c r="K629" i="2" s="1"/>
  <c r="M629" i="2" s="1" a="1"/>
  <c r="M629" i="2" s="1"/>
  <c r="K630" i="2" a="1"/>
  <c r="K630" i="2" s="1"/>
  <c r="M630" i="2" s="1" a="1"/>
  <c r="M630" i="2" s="1"/>
  <c r="K631" i="2" a="1"/>
  <c r="K631" i="2" s="1"/>
  <c r="M631" i="2" s="1" a="1"/>
  <c r="M631" i="2" s="1"/>
  <c r="K632" i="2" a="1"/>
  <c r="K632" i="2" s="1"/>
  <c r="M632" i="2" s="1" a="1"/>
  <c r="M632" i="2" s="1"/>
  <c r="K633" i="2" a="1"/>
  <c r="K633" i="2" s="1"/>
  <c r="M633" i="2" s="1" a="1"/>
  <c r="M633" i="2" s="1"/>
  <c r="K634" i="2" a="1"/>
  <c r="K634" i="2" s="1"/>
  <c r="M634" i="2" s="1" a="1"/>
  <c r="M634" i="2" s="1"/>
  <c r="K635" i="2" a="1"/>
  <c r="K635" i="2" s="1"/>
  <c r="M635" i="2" s="1" a="1"/>
  <c r="M635" i="2" s="1"/>
  <c r="K636" i="2" a="1"/>
  <c r="K636" i="2" s="1"/>
  <c r="M636" i="2" s="1" a="1"/>
  <c r="M636" i="2" s="1"/>
  <c r="K637" i="2" a="1"/>
  <c r="K637" i="2" s="1"/>
  <c r="M637" i="2" s="1" a="1"/>
  <c r="M637" i="2" s="1"/>
  <c r="K638" i="2" a="1"/>
  <c r="K638" i="2" s="1"/>
  <c r="M638" i="2" s="1" a="1"/>
  <c r="M638" i="2" s="1"/>
  <c r="K639" i="2" a="1"/>
  <c r="K639" i="2" s="1"/>
  <c r="M639" i="2" s="1" a="1"/>
  <c r="M639" i="2" s="1"/>
  <c r="K640" i="2" a="1"/>
  <c r="K640" i="2" s="1"/>
  <c r="M640" i="2" s="1" a="1"/>
  <c r="M640" i="2" s="1"/>
  <c r="K641" i="2" a="1"/>
  <c r="K641" i="2" s="1"/>
  <c r="M641" i="2" s="1" a="1"/>
  <c r="M641" i="2" s="1"/>
  <c r="K642" i="2" a="1"/>
  <c r="K642" i="2" s="1"/>
  <c r="M642" i="2" s="1" a="1"/>
  <c r="M642" i="2" s="1"/>
  <c r="K643" i="2" a="1"/>
  <c r="K643" i="2" s="1"/>
  <c r="M643" i="2" s="1" a="1"/>
  <c r="M643" i="2" s="1"/>
  <c r="K644" i="2" a="1"/>
  <c r="K644" i="2" s="1"/>
  <c r="M644" i="2" s="1" a="1"/>
  <c r="M644" i="2" s="1"/>
  <c r="K645" i="2" a="1"/>
  <c r="K645" i="2" s="1"/>
  <c r="M645" i="2" s="1" a="1"/>
  <c r="M645" i="2" s="1"/>
  <c r="K646" i="2" a="1"/>
  <c r="K646" i="2" s="1"/>
  <c r="M646" i="2" s="1" a="1"/>
  <c r="M646" i="2" s="1"/>
  <c r="K647" i="2" a="1"/>
  <c r="K647" i="2" s="1"/>
  <c r="M647" i="2" s="1" a="1"/>
  <c r="M647" i="2" s="1"/>
  <c r="K648" i="2" a="1"/>
  <c r="K648" i="2" s="1"/>
  <c r="M648" i="2" s="1" a="1"/>
  <c r="M648" i="2" s="1"/>
  <c r="K649" i="2" a="1"/>
  <c r="K649" i="2" s="1"/>
  <c r="M649" i="2" s="1" a="1"/>
  <c r="M649" i="2" s="1"/>
  <c r="K650" i="2" a="1"/>
  <c r="K650" i="2" s="1"/>
  <c r="M650" i="2" s="1" a="1"/>
  <c r="M650" i="2" s="1"/>
  <c r="K651" i="2" a="1"/>
  <c r="K651" i="2" s="1"/>
  <c r="M651" i="2" s="1" a="1"/>
  <c r="M651" i="2" s="1"/>
  <c r="K652" i="2" a="1"/>
  <c r="K652" i="2" s="1"/>
  <c r="M652" i="2" s="1" a="1"/>
  <c r="M652" i="2" s="1"/>
  <c r="K653" i="2" a="1"/>
  <c r="K653" i="2" s="1"/>
  <c r="M653" i="2" s="1" a="1"/>
  <c r="M653" i="2" s="1"/>
  <c r="K654" i="2" a="1"/>
  <c r="K654" i="2" s="1"/>
  <c r="M654" i="2" s="1" a="1"/>
  <c r="M654" i="2" s="1"/>
  <c r="K655" i="2" a="1"/>
  <c r="K655" i="2" s="1"/>
  <c r="M655" i="2" s="1" a="1"/>
  <c r="M655" i="2" s="1"/>
  <c r="K656" i="2" a="1"/>
  <c r="K656" i="2" s="1"/>
  <c r="M656" i="2" s="1" a="1"/>
  <c r="M656" i="2" s="1"/>
  <c r="K657" i="2" a="1"/>
  <c r="K657" i="2" s="1"/>
  <c r="M657" i="2" s="1" a="1"/>
  <c r="M657" i="2" s="1"/>
  <c r="K658" i="2" a="1"/>
  <c r="K658" i="2" s="1"/>
  <c r="M658" i="2" s="1" a="1"/>
  <c r="M658" i="2" s="1"/>
  <c r="K659" i="2" a="1"/>
  <c r="K659" i="2" s="1"/>
  <c r="M659" i="2" s="1" a="1"/>
  <c r="M659" i="2" s="1"/>
  <c r="K660" i="2" a="1"/>
  <c r="K660" i="2" s="1"/>
  <c r="M660" i="2" s="1" a="1"/>
  <c r="M660" i="2" s="1"/>
  <c r="K661" i="2" a="1"/>
  <c r="K661" i="2" s="1"/>
  <c r="M661" i="2" s="1" a="1"/>
  <c r="M661" i="2" s="1"/>
  <c r="K662" i="2" a="1"/>
  <c r="K662" i="2" s="1"/>
  <c r="M662" i="2" s="1" a="1"/>
  <c r="M662" i="2" s="1"/>
  <c r="K663" i="2" a="1"/>
  <c r="K663" i="2" s="1"/>
  <c r="M663" i="2" s="1" a="1"/>
  <c r="M663" i="2" s="1"/>
  <c r="K664" i="2" a="1"/>
  <c r="K664" i="2" s="1"/>
  <c r="M664" i="2" s="1" a="1"/>
  <c r="M664" i="2" s="1"/>
  <c r="K665" i="2" a="1"/>
  <c r="K665" i="2" s="1"/>
  <c r="M665" i="2" s="1" a="1"/>
  <c r="M665" i="2" s="1"/>
  <c r="K666" i="2" a="1"/>
  <c r="K666" i="2" s="1"/>
  <c r="M666" i="2" s="1" a="1"/>
  <c r="M666" i="2" s="1"/>
  <c r="K667" i="2" a="1"/>
  <c r="K667" i="2" s="1"/>
  <c r="M667" i="2" s="1" a="1"/>
  <c r="M667" i="2" s="1"/>
  <c r="K668" i="2" a="1"/>
  <c r="K668" i="2" s="1"/>
  <c r="M668" i="2" s="1" a="1"/>
  <c r="M668" i="2" s="1"/>
  <c r="K669" i="2" a="1"/>
  <c r="K669" i="2" s="1"/>
  <c r="M669" i="2" s="1" a="1"/>
  <c r="M669" i="2" s="1"/>
  <c r="K670" i="2" a="1"/>
  <c r="K670" i="2" s="1"/>
  <c r="M670" i="2" s="1" a="1"/>
  <c r="M670" i="2" s="1"/>
  <c r="K671" i="2" a="1"/>
  <c r="K671" i="2" s="1"/>
  <c r="M671" i="2" s="1" a="1"/>
  <c r="M671" i="2" s="1"/>
  <c r="K672" i="2" a="1"/>
  <c r="K672" i="2" s="1"/>
  <c r="M672" i="2" s="1" a="1"/>
  <c r="M672" i="2" s="1"/>
  <c r="K673" i="2" a="1"/>
  <c r="K673" i="2" s="1"/>
  <c r="M673" i="2" s="1" a="1"/>
  <c r="M673" i="2" s="1"/>
  <c r="K674" i="2" a="1"/>
  <c r="K674" i="2" s="1"/>
  <c r="M674" i="2" s="1" a="1"/>
  <c r="M674" i="2" s="1"/>
  <c r="K675" i="2" a="1"/>
  <c r="K675" i="2" s="1"/>
  <c r="M675" i="2" s="1" a="1"/>
  <c r="M675" i="2" s="1"/>
  <c r="K676" i="2" a="1"/>
  <c r="K676" i="2" s="1"/>
  <c r="M676" i="2" s="1" a="1"/>
  <c r="M676" i="2" s="1"/>
  <c r="K677" i="2" a="1"/>
  <c r="K677" i="2" s="1"/>
  <c r="M677" i="2" s="1" a="1"/>
  <c r="M677" i="2" s="1"/>
  <c r="K678" i="2" a="1"/>
  <c r="K678" i="2" s="1"/>
  <c r="M678" i="2" s="1" a="1"/>
  <c r="M678" i="2" s="1"/>
  <c r="K679" i="2" a="1"/>
  <c r="K679" i="2" s="1"/>
  <c r="M679" i="2" s="1" a="1"/>
  <c r="M679" i="2" s="1"/>
  <c r="K680" i="2" a="1"/>
  <c r="K680" i="2" s="1"/>
  <c r="M680" i="2" s="1" a="1"/>
  <c r="M680" i="2" s="1"/>
  <c r="K681" i="2" a="1"/>
  <c r="K681" i="2" s="1"/>
  <c r="M681" i="2" s="1" a="1"/>
  <c r="M681" i="2" s="1"/>
  <c r="K682" i="2" a="1"/>
  <c r="K682" i="2" s="1"/>
  <c r="M682" i="2" s="1" a="1"/>
  <c r="M682" i="2" s="1"/>
  <c r="K683" i="2" a="1"/>
  <c r="K683" i="2" s="1"/>
  <c r="M683" i="2" s="1" a="1"/>
  <c r="M683" i="2" s="1"/>
  <c r="K684" i="2" a="1"/>
  <c r="K684" i="2" s="1"/>
  <c r="M684" i="2" s="1" a="1"/>
  <c r="M684" i="2" s="1"/>
  <c r="K685" i="2" a="1"/>
  <c r="K685" i="2" s="1"/>
  <c r="M685" i="2" s="1" a="1"/>
  <c r="M685" i="2" s="1"/>
  <c r="K686" i="2" a="1"/>
  <c r="K686" i="2" s="1"/>
  <c r="M686" i="2" s="1" a="1"/>
  <c r="M686" i="2" s="1"/>
  <c r="K687" i="2" a="1"/>
  <c r="K687" i="2" s="1"/>
  <c r="M687" i="2" s="1" a="1"/>
  <c r="M687" i="2" s="1"/>
  <c r="K688" i="2" a="1"/>
  <c r="K688" i="2" s="1"/>
  <c r="M688" i="2" s="1" a="1"/>
  <c r="M688" i="2" s="1"/>
  <c r="K689" i="2" a="1"/>
  <c r="K689" i="2" s="1"/>
  <c r="M689" i="2" s="1" a="1"/>
  <c r="M689" i="2" s="1"/>
  <c r="K690" i="2" a="1"/>
  <c r="K690" i="2" s="1"/>
  <c r="M690" i="2" s="1" a="1"/>
  <c r="M690" i="2" s="1"/>
  <c r="K691" i="2" a="1"/>
  <c r="K691" i="2" s="1"/>
  <c r="M691" i="2" s="1" a="1"/>
  <c r="M691" i="2" s="1"/>
  <c r="K692" i="2" a="1"/>
  <c r="K692" i="2" s="1"/>
  <c r="M692" i="2" s="1" a="1"/>
  <c r="M692" i="2" s="1"/>
  <c r="K693" i="2" a="1"/>
  <c r="K693" i="2" s="1"/>
  <c r="M693" i="2" s="1" a="1"/>
  <c r="M693" i="2" s="1"/>
  <c r="K694" i="2" a="1"/>
  <c r="K694" i="2" s="1"/>
  <c r="M694" i="2" s="1" a="1"/>
  <c r="M694" i="2" s="1"/>
  <c r="K695" i="2" a="1"/>
  <c r="K695" i="2" s="1"/>
  <c r="M695" i="2" s="1" a="1"/>
  <c r="M695" i="2" s="1"/>
  <c r="K696" i="2" a="1"/>
  <c r="K696" i="2" s="1"/>
  <c r="M696" i="2" s="1" a="1"/>
  <c r="M696" i="2" s="1"/>
  <c r="K697" i="2" a="1"/>
  <c r="K697" i="2" s="1"/>
  <c r="M697" i="2" s="1" a="1"/>
  <c r="M697" i="2" s="1"/>
  <c r="K698" i="2" a="1"/>
  <c r="K698" i="2" s="1"/>
  <c r="M698" i="2" s="1" a="1"/>
  <c r="M698" i="2" s="1"/>
  <c r="K699" i="2" a="1"/>
  <c r="K699" i="2" s="1"/>
  <c r="M699" i="2" s="1" a="1"/>
  <c r="M699" i="2" s="1"/>
  <c r="K700" i="2" a="1"/>
  <c r="K700" i="2" s="1"/>
  <c r="M700" i="2" s="1" a="1"/>
  <c r="M700" i="2" s="1"/>
  <c r="K701" i="2" a="1"/>
  <c r="K701" i="2" s="1"/>
  <c r="M701" i="2" s="1" a="1"/>
  <c r="M701" i="2" s="1"/>
  <c r="K702" i="2" a="1"/>
  <c r="K702" i="2" s="1"/>
  <c r="M702" i="2" s="1" a="1"/>
  <c r="M702" i="2" s="1"/>
  <c r="K703" i="2" a="1"/>
  <c r="K703" i="2" s="1"/>
  <c r="M703" i="2" s="1" a="1"/>
  <c r="M703" i="2" s="1"/>
  <c r="K704" i="2" a="1"/>
  <c r="K704" i="2" s="1"/>
  <c r="M704" i="2" s="1" a="1"/>
  <c r="M704" i="2" s="1"/>
  <c r="K705" i="2" a="1"/>
  <c r="K705" i="2" s="1"/>
  <c r="M705" i="2" s="1" a="1"/>
  <c r="M705" i="2" s="1"/>
  <c r="K706" i="2" a="1"/>
  <c r="K706" i="2" s="1"/>
  <c r="M706" i="2" s="1" a="1"/>
  <c r="M706" i="2" s="1"/>
  <c r="K707" i="2" a="1"/>
  <c r="K707" i="2" s="1"/>
  <c r="M707" i="2" s="1" a="1"/>
  <c r="M707" i="2" s="1"/>
  <c r="K708" i="2" a="1"/>
  <c r="K708" i="2" s="1"/>
  <c r="M708" i="2" s="1" a="1"/>
  <c r="M708" i="2" s="1"/>
  <c r="K709" i="2" a="1"/>
  <c r="K709" i="2" s="1"/>
  <c r="M709" i="2" s="1" a="1"/>
  <c r="M709" i="2" s="1"/>
  <c r="K710" i="2" a="1"/>
  <c r="K710" i="2" s="1"/>
  <c r="M710" i="2" s="1" a="1"/>
  <c r="M710" i="2" s="1"/>
  <c r="K711" i="2" a="1"/>
  <c r="K711" i="2" s="1"/>
  <c r="M711" i="2" s="1" a="1"/>
  <c r="M711" i="2" s="1"/>
  <c r="K712" i="2" a="1"/>
  <c r="K712" i="2" s="1"/>
  <c r="M712" i="2" s="1" a="1"/>
  <c r="M712" i="2" s="1"/>
  <c r="K713" i="2" a="1"/>
  <c r="K713" i="2" s="1"/>
  <c r="M713" i="2" s="1" a="1"/>
  <c r="M713" i="2" s="1"/>
  <c r="K714" i="2" a="1"/>
  <c r="K714" i="2" s="1"/>
  <c r="M714" i="2" s="1" a="1"/>
  <c r="M714" i="2" s="1"/>
  <c r="K715" i="2" a="1"/>
  <c r="K715" i="2" s="1"/>
  <c r="M715" i="2" s="1" a="1"/>
  <c r="M715" i="2" s="1"/>
  <c r="K716" i="2" a="1"/>
  <c r="K716" i="2" s="1"/>
  <c r="M716" i="2" s="1" a="1"/>
  <c r="M716" i="2" s="1"/>
  <c r="K717" i="2" a="1"/>
  <c r="K717" i="2" s="1"/>
  <c r="M717" i="2" s="1" a="1"/>
  <c r="M717" i="2" s="1"/>
  <c r="K718" i="2" a="1"/>
  <c r="K718" i="2" s="1"/>
  <c r="M718" i="2" s="1" a="1"/>
  <c r="M718" i="2" s="1"/>
  <c r="K719" i="2" a="1"/>
  <c r="K719" i="2" s="1"/>
  <c r="M719" i="2" s="1" a="1"/>
  <c r="M719" i="2" s="1"/>
  <c r="K720" i="2" a="1"/>
  <c r="K720" i="2" s="1"/>
  <c r="M720" i="2" s="1" a="1"/>
  <c r="M720" i="2" s="1"/>
  <c r="K721" i="2" a="1"/>
  <c r="K721" i="2" s="1"/>
  <c r="M721" i="2" s="1" a="1"/>
  <c r="M721" i="2" s="1"/>
  <c r="K722" i="2" a="1"/>
  <c r="K722" i="2" s="1"/>
  <c r="M722" i="2" s="1" a="1"/>
  <c r="M722" i="2" s="1"/>
  <c r="K723" i="2" a="1"/>
  <c r="K723" i="2" s="1"/>
  <c r="M723" i="2" s="1" a="1"/>
  <c r="M723" i="2" s="1"/>
  <c r="K724" i="2" a="1"/>
  <c r="K724" i="2" s="1"/>
  <c r="M724" i="2" s="1" a="1"/>
  <c r="M724" i="2" s="1"/>
  <c r="K725" i="2" a="1"/>
  <c r="K725" i="2" s="1"/>
  <c r="M725" i="2" s="1" a="1"/>
  <c r="M725" i="2" s="1"/>
  <c r="K726" i="2" a="1"/>
  <c r="K726" i="2" s="1"/>
  <c r="M726" i="2" s="1" a="1"/>
  <c r="M726" i="2" s="1"/>
  <c r="K727" i="2" a="1"/>
  <c r="K727" i="2" s="1"/>
  <c r="M727" i="2" s="1" a="1"/>
  <c r="M727" i="2" s="1"/>
  <c r="K728" i="2" a="1"/>
  <c r="K728" i="2"/>
  <c r="M728" i="2" s="1" a="1"/>
  <c r="M728" i="2" s="1"/>
  <c r="K729" i="2" a="1"/>
  <c r="K729" i="2" s="1"/>
  <c r="M729" i="2" s="1" a="1"/>
  <c r="M729" i="2" s="1"/>
  <c r="K730" i="2" a="1"/>
  <c r="K730" i="2" s="1"/>
  <c r="M730" i="2" s="1" a="1"/>
  <c r="M730" i="2" s="1"/>
  <c r="K731" i="2" a="1"/>
  <c r="K731" i="2" s="1"/>
  <c r="M731" i="2" s="1" a="1"/>
  <c r="M731" i="2" s="1"/>
  <c r="K732" i="2" a="1"/>
  <c r="K732" i="2" s="1"/>
  <c r="M732" i="2" s="1" a="1"/>
  <c r="M732" i="2" s="1"/>
  <c r="K733" i="2" a="1"/>
  <c r="K733" i="2" s="1"/>
  <c r="M733" i="2" s="1" a="1"/>
  <c r="M733" i="2" s="1"/>
  <c r="K734" i="2" a="1"/>
  <c r="K734" i="2" s="1"/>
  <c r="M734" i="2" s="1" a="1"/>
  <c r="M734" i="2" s="1"/>
  <c r="K735" i="2" a="1"/>
  <c r="K735" i="2" s="1"/>
  <c r="M735" i="2" s="1" a="1"/>
  <c r="M735" i="2" s="1"/>
  <c r="K736" i="2" a="1"/>
  <c r="K736" i="2" s="1"/>
  <c r="M736" i="2" s="1" a="1"/>
  <c r="M736" i="2" s="1"/>
  <c r="K737" i="2" a="1"/>
  <c r="K737" i="2"/>
  <c r="M737" i="2" s="1" a="1"/>
  <c r="M737" i="2" s="1"/>
  <c r="K738" i="2" a="1"/>
  <c r="K738" i="2" s="1"/>
  <c r="M738" i="2" s="1" a="1"/>
  <c r="M738" i="2" s="1"/>
  <c r="K739" i="2" a="1"/>
  <c r="K739" i="2" s="1"/>
  <c r="M739" i="2" s="1" a="1"/>
  <c r="M739" i="2" s="1"/>
  <c r="K740" i="2" a="1"/>
  <c r="K740" i="2" s="1"/>
  <c r="M740" i="2" s="1" a="1"/>
  <c r="M740" i="2" s="1"/>
  <c r="K741" i="2" a="1"/>
  <c r="K741" i="2" s="1"/>
  <c r="M741" i="2" s="1" a="1"/>
  <c r="M741" i="2" s="1"/>
  <c r="K742" i="2" a="1"/>
  <c r="K742" i="2" s="1"/>
  <c r="M742" i="2" s="1" a="1"/>
  <c r="M742" i="2" s="1"/>
  <c r="K743" i="2" a="1"/>
  <c r="K743" i="2" s="1"/>
  <c r="M743" i="2" s="1" a="1"/>
  <c r="M743" i="2" s="1"/>
  <c r="K744" i="2" a="1"/>
  <c r="K744" i="2" s="1"/>
  <c r="M744" i="2" s="1" a="1"/>
  <c r="M744" i="2" s="1"/>
  <c r="K745" i="2" a="1"/>
  <c r="K745" i="2" s="1"/>
  <c r="M745" i="2" s="1" a="1"/>
  <c r="M745" i="2" s="1"/>
  <c r="K746" i="2" a="1"/>
  <c r="K746" i="2" s="1"/>
  <c r="M746" i="2" s="1" a="1"/>
  <c r="M746" i="2" s="1"/>
  <c r="K747" i="2" a="1"/>
  <c r="K747" i="2" s="1"/>
  <c r="M747" i="2" s="1" a="1"/>
  <c r="M747" i="2" s="1"/>
  <c r="K748" i="2" a="1"/>
  <c r="K748" i="2"/>
  <c r="M748" i="2" s="1" a="1"/>
  <c r="M748" i="2" s="1"/>
  <c r="K749" i="2" a="1"/>
  <c r="K749" i="2" s="1"/>
  <c r="M749" i="2" s="1" a="1"/>
  <c r="M749" i="2" s="1"/>
  <c r="K750" i="2" a="1"/>
  <c r="K750" i="2" s="1"/>
  <c r="M750" i="2" s="1" a="1"/>
  <c r="M750" i="2" s="1"/>
  <c r="K751" i="2" a="1"/>
  <c r="K751" i="2" s="1"/>
  <c r="M751" i="2" s="1" a="1"/>
  <c r="M751" i="2" s="1"/>
  <c r="K752" i="2" a="1"/>
  <c r="K752" i="2" s="1"/>
  <c r="M752" i="2" s="1" a="1"/>
  <c r="M752" i="2" s="1"/>
  <c r="K753" i="2" a="1"/>
  <c r="K753" i="2" s="1"/>
  <c r="M753" i="2" s="1" a="1"/>
  <c r="M753" i="2" s="1"/>
  <c r="K754" i="2" a="1"/>
  <c r="K754" i="2" s="1"/>
  <c r="M754" i="2" s="1" a="1"/>
  <c r="M754" i="2" s="1"/>
  <c r="K755" i="2" a="1"/>
  <c r="K755" i="2" s="1"/>
  <c r="M755" i="2" s="1" a="1"/>
  <c r="M755" i="2" s="1"/>
  <c r="K756" i="2" a="1"/>
  <c r="K756" i="2" s="1"/>
  <c r="M756" i="2" s="1" a="1"/>
  <c r="M756" i="2" s="1"/>
  <c r="K757" i="2" a="1"/>
  <c r="K757" i="2" s="1"/>
  <c r="M757" i="2" s="1" a="1"/>
  <c r="M757" i="2" s="1"/>
  <c r="K758" i="2" a="1"/>
  <c r="K758" i="2" s="1"/>
  <c r="M758" i="2" s="1" a="1"/>
  <c r="M758" i="2" s="1"/>
  <c r="K759" i="2" a="1"/>
  <c r="K759" i="2" s="1"/>
  <c r="M759" i="2" s="1" a="1"/>
  <c r="M759" i="2" s="1"/>
  <c r="K760" i="2" a="1"/>
  <c r="K760" i="2" s="1"/>
  <c r="M760" i="2" s="1" a="1"/>
  <c r="M760" i="2" s="1"/>
  <c r="K761" i="2" a="1"/>
  <c r="K761" i="2" s="1"/>
  <c r="M761" i="2" s="1" a="1"/>
  <c r="M761" i="2" s="1"/>
  <c r="K762" i="2" a="1"/>
  <c r="K762" i="2" s="1"/>
  <c r="M762" i="2" s="1" a="1"/>
  <c r="M762" i="2" s="1"/>
  <c r="K763" i="2" a="1"/>
  <c r="K763" i="2" s="1"/>
  <c r="M763" i="2" s="1" a="1"/>
  <c r="M763" i="2" s="1"/>
  <c r="K764" i="2" a="1"/>
  <c r="K764" i="2" s="1"/>
  <c r="M764" i="2" s="1" a="1"/>
  <c r="M764" i="2" s="1"/>
  <c r="K765" i="2" a="1"/>
  <c r="K765" i="2" s="1"/>
  <c r="M765" i="2" s="1" a="1"/>
  <c r="M765" i="2" s="1"/>
  <c r="K766" i="2" a="1"/>
  <c r="K766" i="2" s="1"/>
  <c r="M766" i="2" s="1" a="1"/>
  <c r="M766" i="2" s="1"/>
  <c r="K767" i="2" a="1"/>
  <c r="K767" i="2" s="1"/>
  <c r="M767" i="2" s="1" a="1"/>
  <c r="M767" i="2" s="1"/>
  <c r="K768" i="2" a="1"/>
  <c r="K768" i="2" s="1"/>
  <c r="M768" i="2" s="1" a="1"/>
  <c r="M768" i="2" s="1"/>
  <c r="K769" i="2" a="1"/>
  <c r="K769" i="2" s="1"/>
  <c r="M769" i="2" s="1" a="1"/>
  <c r="M769" i="2" s="1"/>
  <c r="K770" i="2" a="1"/>
  <c r="K770" i="2" s="1"/>
  <c r="M770" i="2" s="1" a="1"/>
  <c r="M770" i="2" s="1"/>
  <c r="K771" i="2" a="1"/>
  <c r="K771" i="2" s="1"/>
  <c r="M771" i="2" s="1" a="1"/>
  <c r="M771" i="2" s="1"/>
  <c r="K772" i="2" a="1"/>
  <c r="K772" i="2" s="1"/>
  <c r="M772" i="2" s="1" a="1"/>
  <c r="M772" i="2" s="1"/>
  <c r="K773" i="2" a="1"/>
  <c r="K773" i="2" s="1"/>
  <c r="M773" i="2" s="1" a="1"/>
  <c r="M773" i="2" s="1"/>
  <c r="K774" i="2" a="1"/>
  <c r="K774" i="2" s="1"/>
  <c r="M774" i="2" s="1" a="1"/>
  <c r="M774" i="2" s="1"/>
  <c r="K775" i="2" a="1"/>
  <c r="K775" i="2" s="1"/>
  <c r="M775" i="2" s="1" a="1"/>
  <c r="M775" i="2" s="1"/>
  <c r="K776" i="2" a="1"/>
  <c r="K776" i="2" s="1"/>
  <c r="M776" i="2" s="1" a="1"/>
  <c r="M776" i="2" s="1"/>
  <c r="K777" i="2" a="1"/>
  <c r="K777" i="2" s="1"/>
  <c r="M777" i="2" s="1" a="1"/>
  <c r="M777" i="2" s="1"/>
  <c r="K778" i="2" a="1"/>
  <c r="K778" i="2" s="1"/>
  <c r="M778" i="2" s="1" a="1"/>
  <c r="M778" i="2" s="1"/>
  <c r="K779" i="2" a="1"/>
  <c r="K779" i="2" s="1"/>
  <c r="M779" i="2" s="1" a="1"/>
  <c r="M779" i="2" s="1"/>
  <c r="K780" i="2" a="1"/>
  <c r="K780" i="2" s="1"/>
  <c r="M780" i="2" s="1" a="1"/>
  <c r="M780" i="2" s="1"/>
  <c r="K781" i="2" a="1"/>
  <c r="K781" i="2" s="1"/>
  <c r="M781" i="2" s="1" a="1"/>
  <c r="M781" i="2" s="1"/>
  <c r="K782" i="2" a="1"/>
  <c r="K782" i="2" s="1"/>
  <c r="M782" i="2" s="1" a="1"/>
  <c r="M782" i="2" s="1"/>
  <c r="K783" i="2" a="1"/>
  <c r="K783" i="2" s="1"/>
  <c r="M783" i="2" s="1" a="1"/>
  <c r="M783" i="2" s="1"/>
  <c r="K784" i="2" a="1"/>
  <c r="K784" i="2" s="1"/>
  <c r="M784" i="2" s="1" a="1"/>
  <c r="M784" i="2" s="1"/>
  <c r="K785" i="2" a="1"/>
  <c r="K785" i="2"/>
  <c r="M785" i="2" s="1" a="1"/>
  <c r="M785" i="2" s="1"/>
  <c r="K786" i="2" a="1"/>
  <c r="K786" i="2" s="1"/>
  <c r="M786" i="2" s="1" a="1"/>
  <c r="M786" i="2" s="1"/>
  <c r="K787" i="2" a="1"/>
  <c r="K787" i="2" s="1"/>
  <c r="M787" i="2" s="1" a="1"/>
  <c r="M787" i="2" s="1"/>
  <c r="K788" i="2" a="1"/>
  <c r="K788" i="2" s="1"/>
  <c r="M788" i="2" s="1" a="1"/>
  <c r="M788" i="2" s="1"/>
  <c r="K789" i="2" a="1"/>
  <c r="K789" i="2" s="1"/>
  <c r="M789" i="2" s="1" a="1"/>
  <c r="M789" i="2" s="1"/>
  <c r="K790" i="2" a="1"/>
  <c r="K790" i="2" s="1"/>
  <c r="M790" i="2" s="1" a="1"/>
  <c r="M790" i="2" s="1"/>
  <c r="K791" i="2" a="1"/>
  <c r="K791" i="2" s="1"/>
  <c r="M791" i="2" s="1" a="1"/>
  <c r="M791" i="2" s="1"/>
  <c r="K792" i="2" a="1"/>
  <c r="K792" i="2" s="1"/>
  <c r="M792" i="2" s="1" a="1"/>
  <c r="M792" i="2" s="1"/>
  <c r="K793" i="2" a="1"/>
  <c r="K793" i="2" s="1"/>
  <c r="M793" i="2" s="1" a="1"/>
  <c r="M793" i="2" s="1"/>
  <c r="K794" i="2" a="1"/>
  <c r="K794" i="2" s="1"/>
  <c r="M794" i="2" s="1" a="1"/>
  <c r="M794" i="2" s="1"/>
  <c r="K795" i="2" a="1"/>
  <c r="K795" i="2" s="1"/>
  <c r="M795" i="2" s="1" a="1"/>
  <c r="M795" i="2" s="1"/>
  <c r="K796" i="2" a="1"/>
  <c r="K796" i="2" s="1"/>
  <c r="M796" i="2" s="1" a="1"/>
  <c r="M796" i="2" s="1"/>
  <c r="K797" i="2" a="1"/>
  <c r="K797" i="2" s="1"/>
  <c r="M797" i="2" s="1" a="1"/>
  <c r="M797" i="2" s="1"/>
  <c r="K798" i="2" a="1"/>
  <c r="K798" i="2" s="1"/>
  <c r="M798" i="2" s="1" a="1"/>
  <c r="M798" i="2" s="1"/>
  <c r="K799" i="2" a="1"/>
  <c r="K799" i="2" s="1"/>
  <c r="M799" i="2" s="1" a="1"/>
  <c r="M799" i="2" s="1"/>
  <c r="K800" i="2" a="1"/>
  <c r="K800" i="2" s="1"/>
  <c r="M800" i="2" s="1" a="1"/>
  <c r="M800" i="2" s="1"/>
  <c r="K801" i="2" a="1"/>
  <c r="K801" i="2" s="1"/>
  <c r="M801" i="2" s="1" a="1"/>
  <c r="M801" i="2" s="1"/>
  <c r="K802" i="2" a="1"/>
  <c r="K802" i="2" s="1"/>
  <c r="M802" i="2" s="1" a="1"/>
  <c r="M802" i="2" s="1"/>
  <c r="K803" i="2" a="1"/>
  <c r="K803" i="2" s="1"/>
  <c r="M803" i="2" s="1" a="1"/>
  <c r="M803" i="2" s="1"/>
  <c r="K804" i="2" a="1"/>
  <c r="K804" i="2" s="1"/>
  <c r="M804" i="2" s="1" a="1"/>
  <c r="M804" i="2" s="1"/>
  <c r="K805" i="2" a="1"/>
  <c r="K805" i="2" s="1"/>
  <c r="M805" i="2" s="1" a="1"/>
  <c r="M805" i="2" s="1"/>
  <c r="K806" i="2" a="1"/>
  <c r="K806" i="2" s="1"/>
  <c r="M806" i="2" s="1" a="1"/>
  <c r="M806" i="2" s="1"/>
  <c r="K807" i="2" a="1"/>
  <c r="K807" i="2" s="1"/>
  <c r="M807" i="2" s="1" a="1"/>
  <c r="M807" i="2" s="1"/>
  <c r="K808" i="2" a="1"/>
  <c r="K808" i="2" s="1"/>
  <c r="M808" i="2" s="1" a="1"/>
  <c r="M808" i="2" s="1"/>
  <c r="K809" i="2" a="1"/>
  <c r="K809" i="2" s="1"/>
  <c r="M809" i="2" s="1" a="1"/>
  <c r="M809" i="2" s="1"/>
  <c r="K810" i="2" a="1"/>
  <c r="K810" i="2" s="1"/>
  <c r="M810" i="2" s="1" a="1"/>
  <c r="M810" i="2" s="1"/>
  <c r="K811" i="2" a="1"/>
  <c r="K811" i="2" s="1"/>
  <c r="M811" i="2" s="1" a="1"/>
  <c r="M811" i="2" s="1"/>
  <c r="K812" i="2" a="1"/>
  <c r="K812" i="2" s="1"/>
  <c r="M812" i="2" s="1" a="1"/>
  <c r="M812" i="2" s="1"/>
  <c r="K813" i="2" a="1"/>
  <c r="K813" i="2" s="1"/>
  <c r="M813" i="2" s="1" a="1"/>
  <c r="M813" i="2" s="1"/>
  <c r="K814" i="2" a="1"/>
  <c r="K814" i="2" s="1"/>
  <c r="M814" i="2" s="1" a="1"/>
  <c r="M814" i="2" s="1"/>
  <c r="K815" i="2" a="1"/>
  <c r="K815" i="2" s="1"/>
  <c r="M815" i="2" s="1" a="1"/>
  <c r="M815" i="2" s="1"/>
  <c r="K816" i="2" a="1"/>
  <c r="K816" i="2" s="1"/>
  <c r="M816" i="2" s="1" a="1"/>
  <c r="M816" i="2" s="1"/>
  <c r="K817" i="2" a="1"/>
  <c r="K817" i="2" s="1"/>
  <c r="M817" i="2" s="1" a="1"/>
  <c r="M817" i="2" s="1"/>
  <c r="K818" i="2" a="1"/>
  <c r="K818" i="2" s="1"/>
  <c r="M818" i="2" s="1" a="1"/>
  <c r="M818" i="2" s="1"/>
  <c r="K819" i="2" a="1"/>
  <c r="K819" i="2" s="1"/>
  <c r="M819" i="2" s="1" a="1"/>
  <c r="M819" i="2" s="1"/>
  <c r="K820" i="2" a="1"/>
  <c r="K820" i="2" s="1"/>
  <c r="M820" i="2" s="1" a="1"/>
  <c r="M820" i="2" s="1"/>
  <c r="K821" i="2" a="1"/>
  <c r="K821" i="2" s="1"/>
  <c r="M821" i="2" s="1" a="1"/>
  <c r="M821" i="2" s="1"/>
  <c r="K822" i="2" a="1"/>
  <c r="K822" i="2" s="1"/>
  <c r="M822" i="2" s="1" a="1"/>
  <c r="M822" i="2" s="1"/>
  <c r="K823" i="2" a="1"/>
  <c r="K823" i="2" s="1"/>
  <c r="M823" i="2" s="1" a="1"/>
  <c r="M823" i="2" s="1"/>
  <c r="K824" i="2" a="1"/>
  <c r="K824" i="2" s="1"/>
  <c r="M824" i="2" s="1" a="1"/>
  <c r="M824" i="2" s="1"/>
  <c r="K825" i="2" a="1"/>
  <c r="K825" i="2" s="1"/>
  <c r="M825" i="2" s="1" a="1"/>
  <c r="M825" i="2" s="1"/>
  <c r="K826" i="2" a="1"/>
  <c r="K826" i="2" s="1"/>
  <c r="M826" i="2" s="1" a="1"/>
  <c r="M826" i="2" s="1"/>
  <c r="K827" i="2" a="1"/>
  <c r="K827" i="2" s="1"/>
  <c r="M827" i="2" s="1" a="1"/>
  <c r="M827" i="2" s="1"/>
  <c r="K828" i="2" a="1"/>
  <c r="K828" i="2" s="1"/>
  <c r="M828" i="2" s="1" a="1"/>
  <c r="M828" i="2" s="1"/>
  <c r="K829" i="2" a="1"/>
  <c r="K829" i="2" s="1"/>
  <c r="M829" i="2" s="1" a="1"/>
  <c r="M829" i="2" s="1"/>
  <c r="K830" i="2" a="1"/>
  <c r="K830" i="2" s="1"/>
  <c r="M830" i="2" s="1" a="1"/>
  <c r="M830" i="2" s="1"/>
  <c r="K831" i="2" a="1"/>
  <c r="K831" i="2" s="1"/>
  <c r="M831" i="2" s="1" a="1"/>
  <c r="M831" i="2" s="1"/>
  <c r="K832" i="2" a="1"/>
  <c r="K832" i="2" s="1"/>
  <c r="M832" i="2" s="1" a="1"/>
  <c r="M832" i="2" s="1"/>
  <c r="K833" i="2" a="1"/>
  <c r="K833" i="2" s="1"/>
  <c r="M833" i="2" s="1" a="1"/>
  <c r="M833" i="2" s="1"/>
  <c r="K834" i="2" a="1"/>
  <c r="K834" i="2" s="1"/>
  <c r="M834" i="2" s="1" a="1"/>
  <c r="M834" i="2" s="1"/>
  <c r="K835" i="2" a="1"/>
  <c r="K835" i="2" s="1"/>
  <c r="M835" i="2" s="1" a="1"/>
  <c r="M835" i="2" s="1"/>
  <c r="K836" i="2" a="1"/>
  <c r="K836" i="2" s="1"/>
  <c r="M836" i="2" s="1" a="1"/>
  <c r="M836" i="2" s="1"/>
  <c r="K837" i="2" a="1"/>
  <c r="K837" i="2" s="1"/>
  <c r="M837" i="2" s="1" a="1"/>
  <c r="M837" i="2" s="1"/>
  <c r="K838" i="2" a="1"/>
  <c r="K838" i="2" s="1"/>
  <c r="M838" i="2" s="1" a="1"/>
  <c r="M838" i="2" s="1"/>
  <c r="K839" i="2" a="1"/>
  <c r="K839" i="2" s="1"/>
  <c r="M839" i="2" s="1" a="1"/>
  <c r="M839" i="2" s="1"/>
  <c r="K840" i="2" a="1"/>
  <c r="K840" i="2" s="1"/>
  <c r="M840" i="2" s="1" a="1"/>
  <c r="M840" i="2" s="1"/>
  <c r="K841" i="2" a="1"/>
  <c r="K841" i="2" s="1"/>
  <c r="M841" i="2" s="1" a="1"/>
  <c r="M841" i="2" s="1"/>
  <c r="K842" i="2" a="1"/>
  <c r="K842" i="2" s="1"/>
  <c r="M842" i="2" s="1" a="1"/>
  <c r="M842" i="2" s="1"/>
  <c r="K843" i="2" a="1"/>
  <c r="K843" i="2" s="1"/>
  <c r="M843" i="2" s="1" a="1"/>
  <c r="M843" i="2" s="1"/>
  <c r="K844" i="2" a="1"/>
  <c r="K844" i="2" s="1"/>
  <c r="M844" i="2" s="1" a="1"/>
  <c r="M844" i="2" s="1"/>
  <c r="K845" i="2" a="1"/>
  <c r="K845" i="2" s="1"/>
  <c r="M845" i="2" s="1" a="1"/>
  <c r="M845" i="2" s="1"/>
  <c r="K846" i="2" a="1"/>
  <c r="K846" i="2" s="1"/>
  <c r="M846" i="2" s="1" a="1"/>
  <c r="M846" i="2" s="1"/>
  <c r="K847" i="2" a="1"/>
  <c r="K847" i="2" s="1"/>
  <c r="M847" i="2" s="1" a="1"/>
  <c r="M847" i="2" s="1"/>
  <c r="K848" i="2" a="1"/>
  <c r="K848" i="2" s="1"/>
  <c r="M848" i="2" s="1" a="1"/>
  <c r="M848" i="2" s="1"/>
  <c r="K849" i="2" a="1"/>
  <c r="K849" i="2" s="1"/>
  <c r="M849" i="2" s="1" a="1"/>
  <c r="M849" i="2" s="1"/>
  <c r="K850" i="2" a="1"/>
  <c r="K850" i="2" s="1"/>
  <c r="M850" i="2" s="1" a="1"/>
  <c r="M850" i="2" s="1"/>
  <c r="K851" i="2" a="1"/>
  <c r="K851" i="2" s="1"/>
  <c r="M851" i="2" s="1" a="1"/>
  <c r="M851" i="2" s="1"/>
  <c r="K852" i="2" a="1"/>
  <c r="K852" i="2" s="1"/>
  <c r="M852" i="2" s="1" a="1"/>
  <c r="M852" i="2" s="1"/>
  <c r="K853" i="2" a="1"/>
  <c r="K853" i="2" s="1"/>
  <c r="M853" i="2" s="1" a="1"/>
  <c r="M853" i="2" s="1"/>
  <c r="K854" i="2" a="1"/>
  <c r="K854" i="2" s="1"/>
  <c r="M854" i="2" s="1" a="1"/>
  <c r="M854" i="2" s="1"/>
  <c r="K855" i="2" a="1"/>
  <c r="K855" i="2" s="1"/>
  <c r="M855" i="2" s="1" a="1"/>
  <c r="M855" i="2" s="1"/>
  <c r="K856" i="2" a="1"/>
  <c r="K856" i="2" s="1"/>
  <c r="M856" i="2" s="1" a="1"/>
  <c r="M856" i="2" s="1"/>
  <c r="K857" i="2" a="1"/>
  <c r="K857" i="2" s="1"/>
  <c r="M857" i="2" s="1" a="1"/>
  <c r="M857" i="2" s="1"/>
  <c r="K858" i="2" a="1"/>
  <c r="K858" i="2" s="1"/>
  <c r="M858" i="2" s="1" a="1"/>
  <c r="M858" i="2" s="1"/>
  <c r="K859" i="2" a="1"/>
  <c r="K859" i="2" s="1"/>
  <c r="M859" i="2" s="1" a="1"/>
  <c r="M859" i="2" s="1"/>
  <c r="K860" i="2" a="1"/>
  <c r="K860" i="2" s="1"/>
  <c r="M860" i="2" s="1" a="1"/>
  <c r="M860" i="2" s="1"/>
  <c r="K861" i="2" a="1"/>
  <c r="K861" i="2" s="1"/>
  <c r="M861" i="2" s="1" a="1"/>
  <c r="M861" i="2" s="1"/>
  <c r="K862" i="2" a="1"/>
  <c r="K862" i="2" s="1"/>
  <c r="M862" i="2" s="1" a="1"/>
  <c r="M862" i="2" s="1"/>
  <c r="K863" i="2" a="1"/>
  <c r="K863" i="2" s="1"/>
  <c r="M863" i="2" s="1" a="1"/>
  <c r="M863" i="2" s="1"/>
  <c r="K864" i="2" a="1"/>
  <c r="K864" i="2" s="1"/>
  <c r="M864" i="2" s="1" a="1"/>
  <c r="M864" i="2" s="1"/>
  <c r="K865" i="2" a="1"/>
  <c r="K865" i="2" s="1"/>
  <c r="M865" i="2" s="1" a="1"/>
  <c r="M865" i="2" s="1"/>
  <c r="K866" i="2" a="1"/>
  <c r="K866" i="2" s="1"/>
  <c r="M866" i="2" s="1" a="1"/>
  <c r="M866" i="2" s="1"/>
  <c r="K867" i="2" a="1"/>
  <c r="K867" i="2" s="1"/>
  <c r="M867" i="2" s="1" a="1"/>
  <c r="M867" i="2" s="1"/>
  <c r="K868" i="2" a="1"/>
  <c r="K868" i="2" s="1"/>
  <c r="M868" i="2" s="1" a="1"/>
  <c r="M868" i="2" s="1"/>
  <c r="K869" i="2" a="1"/>
  <c r="K869" i="2" s="1"/>
  <c r="M869" i="2" s="1" a="1"/>
  <c r="M869" i="2" s="1"/>
  <c r="K870" i="2" a="1"/>
  <c r="K870" i="2" s="1"/>
  <c r="M870" i="2" s="1" a="1"/>
  <c r="M870" i="2" s="1"/>
  <c r="K871" i="2" a="1"/>
  <c r="K871" i="2" s="1"/>
  <c r="M871" i="2" s="1" a="1"/>
  <c r="M871" i="2" s="1"/>
  <c r="K872" i="2" a="1"/>
  <c r="K872" i="2" s="1"/>
  <c r="M872" i="2" s="1" a="1"/>
  <c r="M872" i="2" s="1"/>
  <c r="K873" i="2" a="1"/>
  <c r="K873" i="2" s="1"/>
  <c r="M873" i="2" s="1" a="1"/>
  <c r="M873" i="2" s="1"/>
  <c r="K874" i="2" a="1"/>
  <c r="K874" i="2" s="1"/>
  <c r="M874" i="2" s="1" a="1"/>
  <c r="M874" i="2" s="1"/>
  <c r="K875" i="2" a="1"/>
  <c r="K875" i="2" s="1"/>
  <c r="M875" i="2" s="1" a="1"/>
  <c r="M875" i="2" s="1"/>
  <c r="K876" i="2" a="1"/>
  <c r="K876" i="2" s="1"/>
  <c r="M876" i="2" s="1" a="1"/>
  <c r="M876" i="2" s="1"/>
  <c r="K877" i="2" a="1"/>
  <c r="K877" i="2" s="1"/>
  <c r="M877" i="2" s="1" a="1"/>
  <c r="M877" i="2" s="1"/>
  <c r="K878" i="2" a="1"/>
  <c r="K878" i="2" s="1"/>
  <c r="M878" i="2" s="1" a="1"/>
  <c r="M878" i="2" s="1"/>
  <c r="K879" i="2" a="1"/>
  <c r="K879" i="2" s="1"/>
  <c r="M879" i="2" s="1" a="1"/>
  <c r="M879" i="2" s="1"/>
  <c r="K880" i="2" a="1"/>
  <c r="K880" i="2" s="1"/>
  <c r="M880" i="2" s="1" a="1"/>
  <c r="M880" i="2" s="1"/>
  <c r="K881" i="2" a="1"/>
  <c r="K881" i="2" s="1"/>
  <c r="M881" i="2" s="1" a="1"/>
  <c r="M881" i="2" s="1"/>
  <c r="K882" i="2" a="1"/>
  <c r="K882" i="2" s="1"/>
  <c r="M882" i="2" s="1" a="1"/>
  <c r="M882" i="2" s="1"/>
  <c r="K883" i="2" a="1"/>
  <c r="K883" i="2" s="1"/>
  <c r="M883" i="2" s="1" a="1"/>
  <c r="M883" i="2" s="1"/>
  <c r="K884" i="2" a="1"/>
  <c r="K884" i="2" s="1"/>
  <c r="M884" i="2" s="1" a="1"/>
  <c r="M884" i="2" s="1"/>
  <c r="K885" i="2" a="1"/>
  <c r="K885" i="2" s="1"/>
  <c r="M885" i="2" s="1" a="1"/>
  <c r="M885" i="2" s="1"/>
  <c r="K886" i="2" a="1"/>
  <c r="K886" i="2" s="1"/>
  <c r="M886" i="2" s="1" a="1"/>
  <c r="M886" i="2" s="1"/>
  <c r="K887" i="2" a="1"/>
  <c r="K887" i="2" s="1"/>
  <c r="M887" i="2" s="1" a="1"/>
  <c r="M887" i="2" s="1"/>
  <c r="K888" i="2" a="1"/>
  <c r="K888" i="2" s="1"/>
  <c r="M888" i="2" s="1" a="1"/>
  <c r="M888" i="2" s="1"/>
  <c r="K889" i="2" a="1"/>
  <c r="K889" i="2" s="1"/>
  <c r="M889" i="2" s="1" a="1"/>
  <c r="M889" i="2" s="1"/>
  <c r="K890" i="2" a="1"/>
  <c r="K890" i="2" s="1"/>
  <c r="M890" i="2" s="1" a="1"/>
  <c r="M890" i="2" s="1"/>
  <c r="K891" i="2" a="1"/>
  <c r="K891" i="2" s="1"/>
  <c r="M891" i="2" s="1" a="1"/>
  <c r="M891" i="2" s="1"/>
  <c r="K892" i="2" a="1"/>
  <c r="K892" i="2" s="1"/>
  <c r="M892" i="2" s="1" a="1"/>
  <c r="M892" i="2" s="1"/>
  <c r="K893" i="2" a="1"/>
  <c r="K893" i="2" s="1"/>
  <c r="M893" i="2" s="1" a="1"/>
  <c r="M893" i="2" s="1"/>
  <c r="K894" i="2" a="1"/>
  <c r="K894" i="2" s="1"/>
  <c r="M894" i="2" s="1" a="1"/>
  <c r="M894" i="2" s="1"/>
  <c r="K895" i="2" a="1"/>
  <c r="K895" i="2" s="1"/>
  <c r="M895" i="2" s="1" a="1"/>
  <c r="M895" i="2" s="1"/>
  <c r="K896" i="2" a="1"/>
  <c r="K896" i="2" s="1"/>
  <c r="M896" i="2" s="1" a="1"/>
  <c r="M896" i="2" s="1"/>
  <c r="K897" i="2" a="1"/>
  <c r="K897" i="2" s="1"/>
  <c r="M897" i="2" s="1" a="1"/>
  <c r="M897" i="2" s="1"/>
  <c r="K898" i="2" a="1"/>
  <c r="K898" i="2" s="1"/>
  <c r="M898" i="2" s="1" a="1"/>
  <c r="M898" i="2" s="1"/>
  <c r="K899" i="2" a="1"/>
  <c r="K899" i="2" s="1"/>
  <c r="M899" i="2" s="1" a="1"/>
  <c r="M899" i="2" s="1"/>
  <c r="K900" i="2" a="1"/>
  <c r="K900" i="2" s="1"/>
  <c r="M900" i="2" s="1" a="1"/>
  <c r="M900" i="2" s="1"/>
  <c r="K901" i="2" a="1"/>
  <c r="K901" i="2" s="1"/>
  <c r="M901" i="2" s="1" a="1"/>
  <c r="M901" i="2" s="1"/>
  <c r="K902" i="2" a="1"/>
  <c r="K902" i="2" s="1"/>
  <c r="M902" i="2" s="1" a="1"/>
  <c r="M902" i="2" s="1"/>
  <c r="K903" i="2" a="1"/>
  <c r="K903" i="2" s="1"/>
  <c r="M903" i="2" s="1" a="1"/>
  <c r="M903" i="2" s="1"/>
  <c r="K904" i="2" a="1"/>
  <c r="K904" i="2" s="1"/>
  <c r="M904" i="2" s="1" a="1"/>
  <c r="M904" i="2" s="1"/>
  <c r="K905" i="2" a="1"/>
  <c r="K905" i="2" s="1"/>
  <c r="M905" i="2" s="1" a="1"/>
  <c r="M905" i="2" s="1"/>
  <c r="K906" i="2" a="1"/>
  <c r="K906" i="2" s="1"/>
  <c r="M906" i="2" s="1" a="1"/>
  <c r="M906" i="2" s="1"/>
  <c r="K907" i="2" a="1"/>
  <c r="K907" i="2" s="1"/>
  <c r="M907" i="2" s="1" a="1"/>
  <c r="M907" i="2" s="1"/>
  <c r="K908" i="2" a="1"/>
  <c r="K908" i="2" s="1"/>
  <c r="M908" i="2" s="1" a="1"/>
  <c r="M908" i="2" s="1"/>
  <c r="K909" i="2" a="1"/>
  <c r="K909" i="2" s="1"/>
  <c r="M909" i="2" s="1" a="1"/>
  <c r="M909" i="2" s="1"/>
  <c r="K910" i="2" a="1"/>
  <c r="K910" i="2" s="1"/>
  <c r="M910" i="2" s="1" a="1"/>
  <c r="M910" i="2" s="1"/>
  <c r="K911" i="2" a="1"/>
  <c r="K911" i="2" s="1"/>
  <c r="M911" i="2" s="1" a="1"/>
  <c r="M911" i="2" s="1"/>
  <c r="K912" i="2" a="1"/>
  <c r="K912" i="2" s="1"/>
  <c r="M912" i="2" s="1" a="1"/>
  <c r="M912" i="2" s="1"/>
  <c r="K913" i="2" a="1"/>
  <c r="K913" i="2" s="1"/>
  <c r="M913" i="2" s="1" a="1"/>
  <c r="M913" i="2" s="1"/>
  <c r="K914" i="2" a="1"/>
  <c r="K914" i="2" s="1"/>
  <c r="M914" i="2" s="1" a="1"/>
  <c r="M914" i="2" s="1"/>
  <c r="K915" i="2" a="1"/>
  <c r="K915" i="2" s="1"/>
  <c r="M915" i="2" s="1" a="1"/>
  <c r="M915" i="2" s="1"/>
  <c r="K916" i="2" a="1"/>
  <c r="K916" i="2" s="1"/>
  <c r="M916" i="2" s="1" a="1"/>
  <c r="M916" i="2" s="1"/>
  <c r="K917" i="2" a="1"/>
  <c r="K917" i="2" s="1"/>
  <c r="M917" i="2" s="1" a="1"/>
  <c r="M917" i="2" s="1"/>
  <c r="K918" i="2" a="1"/>
  <c r="K918" i="2" s="1"/>
  <c r="M918" i="2" s="1" a="1"/>
  <c r="M918" i="2" s="1"/>
  <c r="K919" i="2" a="1"/>
  <c r="K919" i="2" s="1"/>
  <c r="M919" i="2" s="1" a="1"/>
  <c r="M919" i="2" s="1"/>
  <c r="K920" i="2" a="1"/>
  <c r="K920" i="2" s="1"/>
  <c r="M920" i="2" s="1" a="1"/>
  <c r="M920" i="2" s="1"/>
  <c r="K921" i="2" a="1"/>
  <c r="K921" i="2" s="1"/>
  <c r="M921" i="2" s="1" a="1"/>
  <c r="M921" i="2" s="1"/>
  <c r="K922" i="2" a="1"/>
  <c r="K922" i="2" s="1"/>
  <c r="M922" i="2" s="1" a="1"/>
  <c r="M922" i="2" s="1"/>
  <c r="K923" i="2" a="1"/>
  <c r="K923" i="2" s="1"/>
  <c r="M923" i="2" s="1" a="1"/>
  <c r="M923" i="2" s="1"/>
  <c r="K924" i="2" a="1"/>
  <c r="K924" i="2" s="1"/>
  <c r="M924" i="2" s="1" a="1"/>
  <c r="M924" i="2" s="1"/>
  <c r="K925" i="2" a="1"/>
  <c r="K925" i="2" s="1"/>
  <c r="M925" i="2" s="1" a="1"/>
  <c r="M925" i="2" s="1"/>
  <c r="K926" i="2" a="1"/>
  <c r="K926" i="2" s="1"/>
  <c r="M926" i="2" s="1" a="1"/>
  <c r="M926" i="2" s="1"/>
  <c r="K927" i="2" a="1"/>
  <c r="K927" i="2" s="1"/>
  <c r="M927" i="2" s="1" a="1"/>
  <c r="M927" i="2" s="1"/>
  <c r="K928" i="2" a="1"/>
  <c r="K928" i="2" s="1"/>
  <c r="M928" i="2" s="1" a="1"/>
  <c r="M928" i="2" s="1"/>
  <c r="K929" i="2" a="1"/>
  <c r="K929" i="2" s="1"/>
  <c r="M929" i="2" s="1" a="1"/>
  <c r="M929" i="2" s="1"/>
  <c r="K930" i="2" a="1"/>
  <c r="K930" i="2"/>
  <c r="M930" i="2" s="1" a="1"/>
  <c r="M930" i="2" s="1"/>
  <c r="K931" i="2" a="1"/>
  <c r="K931" i="2" s="1"/>
  <c r="M931" i="2" s="1" a="1"/>
  <c r="M931" i="2" s="1"/>
  <c r="K932" i="2" a="1"/>
  <c r="K932" i="2" s="1"/>
  <c r="M932" i="2" s="1" a="1"/>
  <c r="M932" i="2" s="1"/>
  <c r="K933" i="2" a="1"/>
  <c r="K933" i="2" s="1"/>
  <c r="M933" i="2" s="1" a="1"/>
  <c r="M933" i="2" s="1"/>
  <c r="K934" i="2" a="1"/>
  <c r="K934" i="2" s="1"/>
  <c r="M934" i="2" s="1" a="1"/>
  <c r="M934" i="2" s="1"/>
  <c r="K935" i="2" a="1"/>
  <c r="K935" i="2" s="1"/>
  <c r="M935" i="2" s="1" a="1"/>
  <c r="M935" i="2" s="1"/>
  <c r="K936" i="2" a="1"/>
  <c r="K936" i="2" s="1"/>
  <c r="M936" i="2" s="1" a="1"/>
  <c r="M936" i="2" s="1"/>
  <c r="K937" i="2" a="1"/>
  <c r="K937" i="2" s="1"/>
  <c r="M937" i="2" s="1" a="1"/>
  <c r="M937" i="2" s="1"/>
  <c r="K938" i="2" a="1"/>
  <c r="K938" i="2" s="1"/>
  <c r="M938" i="2" s="1" a="1"/>
  <c r="M938" i="2" s="1"/>
  <c r="K939" i="2" a="1"/>
  <c r="K939" i="2" s="1"/>
  <c r="M939" i="2" s="1" a="1"/>
  <c r="M939" i="2" s="1"/>
  <c r="K940" i="2" a="1"/>
  <c r="K940" i="2" s="1"/>
  <c r="M940" i="2" s="1" a="1"/>
  <c r="M940" i="2" s="1"/>
  <c r="K941" i="2" a="1"/>
  <c r="K941" i="2"/>
  <c r="M941" i="2" s="1" a="1"/>
  <c r="M941" i="2" s="1"/>
  <c r="K942" i="2" a="1"/>
  <c r="K942" i="2" s="1"/>
  <c r="M942" i="2" s="1" a="1"/>
  <c r="M942" i="2" s="1"/>
  <c r="K943" i="2" a="1"/>
  <c r="K943" i="2" s="1"/>
  <c r="M943" i="2" s="1" a="1"/>
  <c r="M943" i="2" s="1"/>
  <c r="K944" i="2" a="1"/>
  <c r="K944" i="2" s="1"/>
  <c r="M944" i="2" s="1" a="1"/>
  <c r="M944" i="2" s="1"/>
  <c r="K945" i="2" a="1"/>
  <c r="K945" i="2" s="1"/>
  <c r="M945" i="2" s="1" a="1"/>
  <c r="M945" i="2" s="1"/>
  <c r="K946" i="2" a="1"/>
  <c r="K946" i="2" s="1"/>
  <c r="M946" i="2" s="1" a="1"/>
  <c r="M946" i="2" s="1"/>
  <c r="K947" i="2" a="1"/>
  <c r="K947" i="2" s="1"/>
  <c r="M947" i="2" s="1" a="1"/>
  <c r="M947" i="2" s="1"/>
  <c r="K948" i="2" a="1"/>
  <c r="K948" i="2" s="1"/>
  <c r="M948" i="2" s="1" a="1"/>
  <c r="M948" i="2" s="1"/>
  <c r="K949" i="2" a="1"/>
  <c r="K949" i="2" s="1"/>
  <c r="M949" i="2" s="1" a="1"/>
  <c r="M949" i="2" s="1"/>
  <c r="K950" i="2" a="1"/>
  <c r="K950" i="2" s="1"/>
  <c r="M950" i="2" s="1" a="1"/>
  <c r="M950" i="2" s="1"/>
  <c r="K951" i="2" a="1"/>
  <c r="K951" i="2" s="1"/>
  <c r="M951" i="2" s="1" a="1"/>
  <c r="M951" i="2" s="1"/>
  <c r="K952" i="2" a="1"/>
  <c r="K952" i="2" s="1"/>
  <c r="M952" i="2" s="1" a="1"/>
  <c r="M952" i="2" s="1"/>
  <c r="K953" i="2" a="1"/>
  <c r="K953" i="2" s="1"/>
  <c r="M953" i="2" s="1" a="1"/>
  <c r="M953" i="2" s="1"/>
  <c r="K954" i="2" a="1"/>
  <c r="K954" i="2" s="1"/>
  <c r="M954" i="2" s="1" a="1"/>
  <c r="M954" i="2" s="1"/>
  <c r="K955" i="2" a="1"/>
  <c r="K955" i="2" s="1"/>
  <c r="M955" i="2" s="1" a="1"/>
  <c r="M955" i="2" s="1"/>
  <c r="K956" i="2" a="1"/>
  <c r="K956" i="2" s="1"/>
  <c r="M956" i="2" s="1" a="1"/>
  <c r="M956" i="2" s="1"/>
  <c r="K957" i="2" a="1"/>
  <c r="K957" i="2" s="1"/>
  <c r="M957" i="2" s="1" a="1"/>
  <c r="M957" i="2" s="1"/>
  <c r="K958" i="2" a="1"/>
  <c r="K958" i="2" s="1"/>
  <c r="M958" i="2" s="1" a="1"/>
  <c r="M958" i="2" s="1"/>
  <c r="K959" i="2" a="1"/>
  <c r="K959" i="2" s="1"/>
  <c r="M959" i="2" s="1" a="1"/>
  <c r="M959" i="2" s="1"/>
  <c r="K960" i="2" a="1"/>
  <c r="K960" i="2" s="1"/>
  <c r="M960" i="2" s="1" a="1"/>
  <c r="M960" i="2" s="1"/>
  <c r="K961" i="2" a="1"/>
  <c r="K961" i="2" s="1"/>
  <c r="M961" i="2" s="1" a="1"/>
  <c r="M961" i="2" s="1"/>
  <c r="K962" i="2" a="1"/>
  <c r="K962" i="2" s="1"/>
  <c r="M962" i="2" s="1" a="1"/>
  <c r="M962" i="2" s="1"/>
  <c r="K963" i="2" a="1"/>
  <c r="K963" i="2" s="1"/>
  <c r="M963" i="2" s="1" a="1"/>
  <c r="M963" i="2" s="1"/>
  <c r="K964" i="2" a="1"/>
  <c r="K964" i="2" s="1"/>
  <c r="M964" i="2" s="1" a="1"/>
  <c r="M964" i="2" s="1"/>
  <c r="K965" i="2" a="1"/>
  <c r="K965" i="2" s="1"/>
  <c r="M965" i="2" s="1" a="1"/>
  <c r="M965" i="2" s="1"/>
  <c r="K966" i="2" a="1"/>
  <c r="K966" i="2" s="1"/>
  <c r="M966" i="2" s="1" a="1"/>
  <c r="M966" i="2" s="1"/>
  <c r="K967" i="2" a="1"/>
  <c r="K967" i="2" s="1"/>
  <c r="M967" i="2" s="1" a="1"/>
  <c r="M967" i="2" s="1"/>
  <c r="K968" i="2" a="1"/>
  <c r="K968" i="2" s="1"/>
  <c r="M968" i="2" s="1" a="1"/>
  <c r="M968" i="2" s="1"/>
  <c r="K969" i="2" a="1"/>
  <c r="K969" i="2" s="1"/>
  <c r="M969" i="2" s="1" a="1"/>
  <c r="M969" i="2" s="1"/>
  <c r="K970" i="2" a="1"/>
  <c r="K970" i="2" s="1"/>
  <c r="M970" i="2" s="1" a="1"/>
  <c r="M970" i="2" s="1"/>
  <c r="K971" i="2" a="1"/>
  <c r="K971" i="2" s="1"/>
  <c r="M971" i="2" s="1" a="1"/>
  <c r="M971" i="2" s="1"/>
  <c r="K972" i="2" a="1"/>
  <c r="K972" i="2" s="1"/>
  <c r="M972" i="2" s="1" a="1"/>
  <c r="M972" i="2" s="1"/>
  <c r="K973" i="2" a="1"/>
  <c r="K973" i="2" s="1"/>
  <c r="M973" i="2" s="1" a="1"/>
  <c r="M973" i="2" s="1"/>
  <c r="K974" i="2" a="1"/>
  <c r="K974" i="2" s="1"/>
  <c r="M974" i="2" s="1" a="1"/>
  <c r="M974" i="2" s="1"/>
  <c r="K975" i="2" a="1"/>
  <c r="K975" i="2" s="1"/>
  <c r="M975" i="2" s="1" a="1"/>
  <c r="M975" i="2" s="1"/>
  <c r="K976" i="2" a="1"/>
  <c r="K976" i="2" s="1"/>
  <c r="M976" i="2" s="1" a="1"/>
  <c r="M976" i="2" s="1"/>
  <c r="K977" i="2" a="1"/>
  <c r="K977" i="2" s="1"/>
  <c r="M977" i="2" s="1" a="1"/>
  <c r="M977" i="2" s="1"/>
  <c r="K978" i="2" a="1"/>
  <c r="K978" i="2" s="1"/>
  <c r="M978" i="2" s="1" a="1"/>
  <c r="M978" i="2" s="1"/>
  <c r="K979" i="2" a="1"/>
  <c r="K979" i="2" s="1"/>
  <c r="M979" i="2" s="1" a="1"/>
  <c r="M979" i="2" s="1"/>
  <c r="K980" i="2" a="1"/>
  <c r="K980" i="2" s="1"/>
  <c r="M980" i="2" s="1" a="1"/>
  <c r="M980" i="2" s="1"/>
  <c r="K981" i="2" a="1"/>
  <c r="K981" i="2" s="1"/>
  <c r="M981" i="2" s="1" a="1"/>
  <c r="M981" i="2" s="1"/>
  <c r="K982" i="2" a="1"/>
  <c r="K982" i="2" s="1"/>
  <c r="M982" i="2" s="1" a="1"/>
  <c r="M982" i="2" s="1"/>
  <c r="K983" i="2" a="1"/>
  <c r="K983" i="2" s="1"/>
  <c r="M983" i="2" s="1" a="1"/>
  <c r="M983" i="2" s="1"/>
  <c r="K984" i="2" a="1"/>
  <c r="K984" i="2" s="1"/>
  <c r="M984" i="2" s="1" a="1"/>
  <c r="M984" i="2" s="1"/>
  <c r="K985" i="2" a="1"/>
  <c r="K985" i="2" s="1"/>
  <c r="M985" i="2" s="1" a="1"/>
  <c r="M985" i="2" s="1"/>
  <c r="K987" i="2" a="1"/>
  <c r="K987" i="2" s="1"/>
  <c r="M987" i="2" s="1" a="1"/>
  <c r="M987" i="2" s="1"/>
  <c r="K988" i="2" a="1"/>
  <c r="K988" i="2" s="1"/>
  <c r="M988" i="2" s="1" a="1"/>
  <c r="M988" i="2" s="1"/>
  <c r="K989" i="2" a="1"/>
  <c r="K989" i="2" s="1"/>
  <c r="M989" i="2" s="1" a="1"/>
  <c r="M989" i="2" s="1"/>
  <c r="K990" i="2" a="1"/>
  <c r="K990" i="2" s="1"/>
  <c r="M990" i="2" s="1" a="1"/>
  <c r="M990" i="2" s="1"/>
  <c r="K991" i="2" a="1"/>
  <c r="K991" i="2" s="1"/>
  <c r="M991" i="2" s="1" a="1"/>
  <c r="M991" i="2" s="1"/>
  <c r="K992" i="2" a="1"/>
  <c r="K992" i="2" s="1"/>
  <c r="M992" i="2" s="1" a="1"/>
  <c r="M992" i="2" s="1"/>
  <c r="K993" i="2" a="1"/>
  <c r="K993" i="2" s="1"/>
  <c r="M993" i="2" s="1" a="1"/>
  <c r="M993" i="2" s="1"/>
  <c r="K994" i="2" a="1"/>
  <c r="K994" i="2" s="1"/>
  <c r="M994" i="2" s="1" a="1"/>
  <c r="M994" i="2" s="1"/>
  <c r="K995" i="2" a="1"/>
  <c r="K995" i="2" s="1"/>
  <c r="M995" i="2" s="1" a="1"/>
  <c r="M995" i="2" s="1"/>
  <c r="K996" i="2" a="1"/>
  <c r="K996" i="2" s="1"/>
  <c r="M996" i="2" s="1" a="1"/>
  <c r="M996" i="2" s="1"/>
  <c r="K997" i="2" a="1"/>
  <c r="K997" i="2" s="1"/>
  <c r="M997" i="2" s="1" a="1"/>
  <c r="M997" i="2" s="1"/>
  <c r="K998" i="2" a="1"/>
  <c r="K998" i="2" s="1"/>
  <c r="M998" i="2" s="1" a="1"/>
  <c r="M998" i="2" s="1"/>
  <c r="K999" i="2" a="1"/>
  <c r="K999" i="2" s="1"/>
  <c r="M999" i="2" s="1" a="1"/>
  <c r="M999" i="2" s="1"/>
  <c r="K1000" i="2" a="1"/>
  <c r="K1000" i="2" s="1"/>
  <c r="M1000" i="2" s="1" a="1"/>
  <c r="M1000" i="2" s="1"/>
  <c r="K1001" i="2" a="1"/>
  <c r="K1001" i="2" s="1"/>
  <c r="M1001" i="2" s="1" a="1"/>
  <c r="M1001" i="2" s="1"/>
  <c r="K1002" i="2" a="1"/>
  <c r="K1002" i="2" s="1"/>
  <c r="M1002" i="2" s="1" a="1"/>
  <c r="M1002" i="2" s="1"/>
  <c r="K1003" i="2" a="1"/>
  <c r="K1003" i="2" s="1"/>
  <c r="M1003" i="2" s="1" a="1"/>
  <c r="M1003" i="2"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4"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4" i="20" l="1"/>
  <c r="H57" i="20"/>
  <c r="H53" i="20"/>
  <c r="H56" i="20"/>
  <c r="H55" i="20"/>
  <c r="H54" i="20"/>
  <c r="I53" i="20"/>
  <c r="I57" i="20"/>
  <c r="I56" i="20"/>
  <c r="I55"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320A7F-37A1-424B-A94B-5B4FEB3D5B3E}" keepAlive="1" name="ModelConnection_ExternalData_1" description="Data Model" type="5" refreshedVersion="8" minRefreshableVersion="5" saveData="1">
    <dbPr connection="Data Model Connection" command="DRILLTHROUGH MAXROWS 1000 SELECT FROM [Model] WHERE ([Measures].[CALL COUNT]) RETURN [$CALLS].[Call number],[$CALLS].[Customer ID],[$CALLS].[Duration],[$CALLS].[Representative],[$CALLS].[Date of Call],[$CALLS].[Purchase Amount],[$CALLS].[Satisfaction Rating],[$CALLS].[FY],[$CALLS].[DAY OF WEEK],[$CALLS].[DURATION BACKET],[$CALLS].[RATING ROUNDED],[$CALLS].[X],[$CALLS].[REVENUE PER CALL]" commandType="4"/>
    <extLst>
      <ext xmlns:x15="http://schemas.microsoft.com/office/spreadsheetml/2010/11/main" uri="{DE250136-89BD-433C-8126-D09CA5730AF9}">
        <x15:connection id="" model="1"/>
      </ext>
    </extLst>
  </connection>
  <connection id="2" xr16:uid="{A01D7796-804F-4219-AB6E-FA449C3C09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E555549-0953-4A97-A028-8750E9EE4A43}" name="WorksheetConnection_05.sample-data-pivots-blank (1).xlsx!CALLS" type="102" refreshedVersion="8" minRefreshableVersion="5">
    <extLst>
      <ext xmlns:x15="http://schemas.microsoft.com/office/spreadsheetml/2010/11/main" uri="{DE250136-89BD-433C-8126-D09CA5730AF9}">
        <x15:connection id="CALLS" autoDelete="1">
          <x15:rangePr sourceName="_xlcn.WorksheetConnection_05.sampledatapivotsblank1.xlsxCALLS"/>
        </x15:connection>
      </ext>
    </extLst>
  </connection>
  <connection id="4" xr16:uid="{16BC0206-01B8-40CA-BC4B-C8EB2E3303CC}" name="WorksheetConnection_05.sample-data-pivots-blank (1).xlsx!customers" type="102" refreshedVersion="8" minRefreshableVersion="5">
    <extLst>
      <ext xmlns:x15="http://schemas.microsoft.com/office/spreadsheetml/2010/11/main" uri="{DE250136-89BD-433C-8126-D09CA5730AF9}">
        <x15:connection id="customers">
          <x15:rangePr sourceName="_xlcn.WorksheetConnection_05.sampledatapivotsblank1.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<sst xmlns="http://schemas.openxmlformats.org/spreadsheetml/2006/main" count="8356" uniqueCount="1137">
  <si>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</si>
  <si>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</si>
  <si>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</si>
  <si>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</si>
  <si>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</si>
  <si>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</si>
  <si>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</si>
  <si>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</si>
  <si>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</si>
  <si>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</si>
  <si>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</si>
  <si>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</si>
  <si>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</si>
  <si>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</si>
  <si>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</si>
  <si>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</si>
  <si>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</si>
  <si>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</si>
  <si>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</si>
  <si>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</si>
  <si>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</si>
  <si>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</si>
  <si>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</si>
  <si>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</si>
  <si>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</si>
  <si>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</si>
  <si>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</si>
  <si>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</si>
  <si>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</si>
  <si>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</si>
  <si>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</si>
  <si>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</si>
  <si>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</si>
  <si>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</si>
  <si>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</si>
  <si>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</si>
  <si>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</si>
  <si>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</si>
  <si>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</si>
  <si>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</si>
  <si>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</si>
  <si>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</si>
  <si>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</si>
  <si>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</si>
  <si>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</si>
  <si>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</si>
  <si>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</si>
  <si>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</si>
  <si>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</si>
  <si>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</si>
  <si>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</si>
  <si>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</si>
  <si>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</si>
  <si>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</si>
  <si>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</si>
  <si>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</si>
  <si>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</si>
  <si>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</si>
  <si>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</si>
  <si>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</si>
  <si>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</si>
  <si>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</si>
  <si>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</si>
  <si>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</si>
  <si>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</si>
  <si>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</si>
  <si>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</si>
  <si>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</si>
  <si>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</si>
  <si>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</si>
  <si>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</si>
  <si>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</si>
  <si>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</si>
  <si>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</si>
  <si>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</si>
  <si>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</si>
  <si>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</si>
  <si>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</si>
  <si>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</si>
  <si>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</si>
  <si>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</si>
  <si>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</si>
  <si>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</si>
  <si>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</si>
  <si>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</si>
  <si>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</si>
  <si>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</si>
  <si>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</si>
  <si>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</si>
  <si>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</si>
  <si>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</si>
  <si>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</si>
  <si>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</si>
  <si>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</si>
  <si>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</si>
  <si>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</si>
  <si>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</si>
  <si>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</si>
  <si>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</si>
  <si>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</si>
  <si>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</si>
  <si>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</si>
  <si>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</si>
  <si>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</si>
  <si>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</si>
  <si>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</si>
  <si>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</si>
  <si>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</si>
  <si>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</si>
  <si>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</si>
  <si>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</si>
  <si>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</si>
  <si>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</si>
  <si>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</si>
  <si>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</si>
  <si>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</si>
  <si>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</si>
  <si>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</si>
  <si>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</si>
  <si>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</si>
  <si>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</si>
  <si>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</si>
  <si>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</si>
  <si>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</si>
  <si>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</si>
  <si>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</si>
  <si>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</si>
  <si>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</si>
  <si>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</si>
  <si>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</si>
  <si>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</si>
  <si>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</si>
  <si>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</si>
  <si>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</si>
  <si>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</si>
  <si>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</si>
  <si>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</si>
  <si>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</si>
  <si>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</si>
  <si>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</si>
  <si>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</si>
  <si>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</si>
  <si>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</si>
  <si>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</si>
  <si>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</si>
  <si>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</si>
  <si>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</si>
  <si>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</si>
  <si>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</si>
  <si>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</si>
  <si>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</si>
  <si>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</si>
  <si>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</si>
  <si>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</si>
  <si>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</si>
  <si>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</si>
  <si>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</si>
  <si>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</si>
  <si>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</si>
  <si>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</si>
  <si>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</si>
  <si>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</si>
  <si>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</si>
  <si>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</si>
  <si>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</si>
  <si>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</si>
  <si>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</si>
  <si>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</si>
  <si>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</si>
  <si>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</si>
  <si>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</si>
  <si>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</si>
  <si>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</si>
  <si>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</si>
  <si>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</si>
  <si>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</si>
  <si>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</si>
  <si>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</si>
  <si>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</si>
  <si>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</si>
  <si>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</si>
  <si>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</si>
  <si>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</si>
  <si>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</si>
  <si>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</si>
  <si>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</si>
  <si>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</si>
  <si>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</si>
  <si>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</si>
  <si>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</si>
  <si>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</si>
  <si>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</si>
  <si>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</si>
  <si>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</si>
  <si>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</si>
  <si>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</si>
  <si>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</si>
  <si>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</si>
  <si>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</si>
  <si>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</si>
  <si>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</si>
  <si>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</si>
  <si>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</si>
  <si>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</si>
  <si>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</si>
  <si>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</si>
  <si>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</si>
  <si>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</si>
  <si>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</si>
  <si>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</si>
  <si>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</si>
  <si>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</si>
  <si>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</si>
  <si>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</si>
  <si>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</si>
  <si>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</si>
  <si>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</si>
  <si>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</si>
  <si>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</si>
  <si>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</si>
  <si>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</si>
  <si>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</si>
  <si>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</si>
  <si>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</si>
  <si>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</si>
  <si>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</si>
  <si>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</si>
  <si>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</si>
  <si>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</si>
  <si>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</si>
  <si>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</si>
  <si>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</si>
  <si>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</si>
  <si>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</si>
  <si>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</si>
  <si>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</si>
  <si>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</si>
  <si>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</si>
  <si>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</si>
  <si>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</si>
  <si>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</si>
  <si>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</si>
  <si>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</si>
  <si>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</si>
  <si>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</si>
  <si>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</si>
  <si>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</si>
  <si>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</si>
  <si>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</si>
  <si>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</si>
  <si>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</si>
  <si>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</si>
  <si>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</si>
  <si>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</si>
  <si>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</si>
  <si>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</si>
  <si>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</si>
  <si>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</si>
  <si>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</si>
  <si>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</si>
  <si>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</si>
  <si>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</si>
  <si>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</si>
  <si>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</si>
  <si>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</si>
  <si>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</si>
  <si>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</si>
  <si>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</si>
  <si>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</si>
  <si>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</si>
  <si>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</si>
  <si>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</si>
  <si>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</si>
  <si>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</si>
  <si>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</si>
  <si>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</si>
  <si>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</si>
  <si>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</si>
  <si>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</si>
  <si>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</si>
  <si>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</si>
  <si>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</si>
  <si>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</si>
  <si>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</si>
  <si>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</si>
  <si>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</si>
  <si>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</si>
  <si>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</si>
  <si>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</si>
  <si>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</si>
  <si>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</si>
  <si>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</si>
  <si>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</si>
  <si>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</si>
  <si>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</si>
  <si>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</si>
  <si>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</si>
  <si>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</si>
  <si>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</si>
  <si>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</si>
  <si>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</si>
  <si>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</si>
  <si>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</si>
  <si>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</si>
  <si>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</si>
  <si>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</si>
  <si>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</si>
  <si>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</si>
  <si>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</si>
  <si>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</si>
  <si>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</si>
  <si>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</si>
  <si>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</si>
  <si>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</si>
  <si>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</si>
  <si>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</si>
  <si>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</si>
  <si>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</si>
  <si>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</si>
  <si>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</si>
  <si>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</si>
  <si>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</si>
  <si>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</si>
  <si>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</si>
  <si>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</si>
  <si>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</si>
  <si>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</si>
  <si>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</si>
  <si>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</si>
  <si>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</si>
  <si>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</si>
  <si>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</si>
  <si>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</si>
  <si>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</si>
  <si>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</si>
  <si>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</si>
  <si>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</si>
  <si>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</si>
  <si>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</si>
  <si>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</si>
  <si>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</si>
  <si>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</si>
  <si>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</si>
  <si>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</si>
  <si>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</si>
  <si>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</si>
  <si>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</si>
  <si>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</si>
  <si>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</si>
  <si>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</si>
  <si>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</si>
  <si>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</si>
  <si>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</si>
  <si>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</si>
  <si>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</si>
  <si>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</si>
  <si>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</si>
  <si>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</si>
  <si>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</si>
  <si>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</si>
  <si>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</si>
  <si>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</si>
  <si>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</si>
  <si>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</si>
  <si>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</si>
  <si>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</si>
  <si>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</si>
  <si>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</si>
  <si>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</si>
  <si>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</si>
  <si>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</si>
  <si>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</si>
  <si>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</si>
  <si>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</si>
  <si>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</si>
  <si>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</si>
  <si>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</si>
  <si>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</si>
  <si>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</si>
  <si>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</si>
  <si>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</si>
  <si>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</si>
  <si>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</si>
  <si>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</si>
  <si>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</si>
  <si>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</si>
  <si>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</si>
  <si>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</si>
  <si>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</si>
  <si>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</si>
  <si>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</si>
  <si>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</si>
  <si>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</si>
  <si>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</si>
  <si>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</si>
  <si>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</si>
  <si>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</si>
  <si>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</si>
  <si>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</si>
  <si>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</si>
  <si>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</si>
  <si>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</si>
  <si>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</si>
  <si>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</si>
  <si>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</si>
  <si>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</si>
  <si>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</si>
  <si>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</si>
  <si>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</si>
  <si>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</si>
  <si>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</si>
  <si>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</si>
  <si>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</si>
  <si>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</si>
  <si>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</si>
  <si>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</si>
  <si>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</si>
  <si>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</si>
  <si>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</si>
  <si>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</si>
  <si>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</si>
  <si>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</si>
  <si>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</si>
  <si>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</si>
  <si>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</si>
  <si>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</si>
  <si>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</si>
  <si>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</si>
  <si>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</si>
  <si>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</si>
  <si>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</si>
  <si>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</si>
  <si>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</si>
  <si>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</si>
  <si>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</si>
  <si>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</si>
  <si>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</si>
  <si>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</si>
  <si>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</si>
  <si>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</si>
  <si>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</si>
  <si>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</si>
  <si>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</si>
  <si>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</si>
  <si>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</si>
  <si>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</si>
  <si>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</si>
  <si>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</si>
  <si>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</si>
  <si>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</si>
  <si>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</si>
  <si>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</si>
  <si>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</si>
  <si>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</si>
  <si>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</si>
  <si>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</si>
  <si>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</si>
  <si>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</si>
  <si>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</si>
  <si>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</si>
  <si>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</si>
  <si>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</si>
  <si>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</si>
  <si>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</si>
  <si>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</si>
  <si>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</si>
  <si>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</si>
  <si>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</si>
  <si>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</si>
  <si>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</si>
  <si>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</si>
  <si>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</si>
  <si>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</si>
  <si>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</si>
  <si>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</si>
  <si>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</si>
  <si>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</si>
  <si>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</si>
  <si>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</si>
  <si>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</si>
  <si>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</si>
  <si>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</si>
  <si>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</si>
  <si>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</si>
  <si>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</si>
  <si>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</si>
  <si>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</si>
  <si>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</si>
  <si>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</si>
  <si>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</si>
  <si>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</si>
  <si>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</si>
  <si>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</si>
  <si>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</si>
  <si>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</si>
  <si>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</si>
  <si>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</si>
  <si>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</si>
  <si>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</si>
  <si>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</si>
  <si>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</si>
  <si>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</si>
  <si>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</si>
  <si>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</si>
  <si>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</si>
  <si>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</si>
  <si>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</si>
  <si>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</si>
  <si>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</si>
  <si>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</si>
  <si>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</si>
  <si>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</si>
  <si>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</si>
  <si>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</si>
  <si>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</si>
  <si>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</si>
  <si>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</si>
  <si>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</si>
  <si>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</si>
  <si>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</si>
  <si>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</si>
  <si>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</si>
  <si>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</si>
  <si>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</si>
  <si>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</si>
  <si>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</si>
  <si>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</si>
  <si>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</si>
  <si>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</si>
  <si>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</si>
  <si>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</si>
  <si>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</si>
  <si>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</si>
  <si>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</si>
  <si>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</si>
  <si>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</si>
  <si>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</si>
  <si>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</si>
  <si>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</si>
  <si>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</si>
  <si>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</si>
  <si>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</si>
  <si>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</si>
  <si>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</si>
  <si>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</si>
  <si>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</si>
  <si>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</si>
  <si>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</si>
  <si>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</si>
  <si>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</si>
  <si>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</si>
  <si>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</si>
  <si>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</si>
  <si>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</si>
  <si>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</si>
  <si>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</si>
  <si>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</si>
  <si>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</si>
  <si>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</si>
  <si>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</si>
  <si>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</si>
  <si>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</si>
  <si>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</si>
  <si>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</si>
  <si>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</si>
  <si>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</si>
  <si>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</si>
  <si>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</si>
  <si>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</si>
  <si>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</si>
  <si>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</si>
  <si>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</si>
  <si>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</si>
  <si>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</si>
  <si>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</si>
  <si>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</si>
  <si>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</si>
  <si>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</si>
  <si>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</si>
  <si>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</si>
  <si>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</si>
  <si>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</si>
  <si>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</si>
  <si>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</si>
  <si>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</si>
  <si>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</si>
  <si>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</si>
  <si>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</si>
  <si>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</si>
  <si>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</si>
  <si>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</si>
  <si>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</si>
  <si>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</si>
  <si>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</si>
  <si>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</si>
  <si>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</si>
  <si>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</si>
  <si>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</si>
  <si>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</si>
  <si>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</si>
  <si>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</si>
  <si>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</si>
  <si>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</si>
  <si>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</si>
  <si>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</si>
  <si>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</si>
  <si>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</si>
  <si>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</si>
  <si>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</si>
  <si>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</si>
  <si>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</si>
  <si>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</si>
  <si>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</si>
  <si>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</si>
  <si>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</si>
  <si>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</si>
  <si>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</si>
  <si>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</si>
  <si>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</si>
  <si>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</si>
  <si>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</si>
  <si>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</si>
  <si>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</si>
  <si>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</si>
  <si>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</si>
  <si>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</si>
  <si>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</si>
  <si>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</si>
  <si>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</si>
  <si>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</si>
  <si>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</si>
  <si>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</si>
  <si>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</si>
  <si>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</si>
  <si>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</si>
  <si>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</si>
  <si>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</si>
  <si>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</si>
  <si>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</si>
  <si>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</si>
  <si>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</si>
  <si>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</si>
  <si>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</si>
  <si>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</si>
  <si>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</si>
  <si>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</si>
  <si>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</si>
  <si>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</si>
  <si>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</si>
  <si>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</si>
  <si>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</si>
  <si>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</si>
  <si>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</si>
  <si>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</si>
  <si>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</si>
  <si>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</si>
  <si>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</si>
  <si>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</si>
  <si>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</si>
  <si>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</si>
  <si>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</si>
  <si>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</si>
  <si>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</si>
  <si>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</si>
  <si>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</si>
  <si>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</si>
  <si>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</si>
  <si>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</si>
  <si>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</si>
  <si>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</si>
  <si>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</si>
  <si>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</si>
  <si>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</si>
  <si>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</si>
  <si>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</si>
  <si>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</si>
  <si>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</si>
  <si>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</si>
  <si>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</si>
  <si>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</si>
  <si>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</si>
  <si>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</si>
  <si>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</si>
  <si>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</si>
  <si>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</si>
  <si>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</si>
  <si>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</si>
  <si>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</si>
  <si>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</si>
  <si>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</si>
  <si>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</si>
  <si>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</si>
  <si>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</si>
  <si>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</si>
  <si>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</si>
  <si>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</si>
  <si>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</si>
  <si>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</si>
  <si>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</si>
  <si>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</si>
  <si>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</si>
  <si>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</si>
  <si>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</si>
  <si>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</si>
  <si>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</si>
  <si>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</si>
  <si>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</si>
  <si>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</si>
  <si>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</si>
  <si>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</si>
  <si>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</si>
  <si>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</si>
  <si>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</si>
  <si>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</si>
  <si>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</si>
  <si>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</si>
  <si>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</si>
  <si>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</si>
  <si>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</si>
  <si>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</si>
  <si>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</si>
  <si>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</si>
  <si>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</si>
  <si>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</si>
  <si>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</si>
  <si>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</si>
  <si>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</si>
  <si>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</si>
  <si>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</si>
  <si>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</si>
  <si>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</si>
  <si>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</si>
  <si>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</si>
  <si>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</si>
  <si>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</si>
  <si>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</si>
  <si>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</si>
  <si>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</si>
  <si>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</si>
  <si>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</si>
  <si>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</si>
  <si>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</si>
  <si>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</si>
  <si>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</si>
  <si>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</si>
  <si>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</si>
  <si>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</si>
  <si>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</si>
  <si>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</si>
  <si>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</si>
  <si>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</si>
  <si>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</si>
  <si>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</si>
  <si>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</si>
  <si>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</si>
  <si>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</si>
  <si>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</si>
  <si>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</si>
  <si>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</si>
  <si>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</si>
  <si>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</si>
  <si>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</si>
  <si>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</si>
  <si>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</si>
  <si>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</si>
  <si>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</si>
  <si>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</si>
  <si>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</si>
  <si>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</si>
  <si>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</si>
  <si>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</si>
  <si>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</si>
  <si>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</si>
  <si>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</si>
  <si>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</si>
  <si>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</si>
  <si>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</si>
  <si>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</si>
  <si>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</si>
  <si>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</si>
  <si>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</si>
  <si>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</si>
  <si>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</si>
  <si>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</si>
  <si>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</si>
  <si>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</si>
  <si>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</si>
  <si>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</si>
  <si>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</si>
  <si>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</si>
  <si>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</si>
  <si>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</si>
  <si>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</si>
  <si>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</si>
  <si>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</si>
  <si>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</si>
  <si>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</si>
  <si>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</si>
  <si>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</si>
  <si>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</si>
  <si>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</si>
  <si>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</si>
  <si>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</si>
  <si>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</si>
  <si>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</si>
  <si>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</si>
  <si>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</si>
  <si>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</si>
  <si>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</si>
  <si>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</si>
  <si>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</si>
  <si>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</si>
  <si>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</si>
  <si>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</si>
  <si>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</si>
  <si>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</si>
  <si>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</si>
  <si>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</si>
  <si>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</si>
  <si>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</si>
  <si>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</si>
  <si>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</si>
  <si>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</si>
  <si>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</si>
  <si>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</si>
  <si>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</si>
  <si>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</si>
  <si>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</si>
  <si>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</si>
  <si>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</si>
  <si>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</si>
  <si>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</si>
  <si>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</si>
  <si>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</si>
  <si>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</si>
  <si>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</si>
  <si>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</si>
  <si>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</si>
  <si>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</si>
  <si>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</si>
  <si>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</si>
  <si>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</si>
  <si>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</si>
  <si>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</si>
  <si>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</si>
  <si>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</si>
  <si>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</si>
  <si>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</si>
  <si>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</si>
  <si>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</si>
  <si>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</si>
  <si>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</si>
  <si>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</si>
  <si>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</si>
  <si>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</si>
  <si>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</si>
  <si>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</si>
  <si>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</si>
  <si>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</si>
  <si>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</si>
  <si>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</si>
  <si>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</si>
  <si>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</si>
  <si>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</si>
  <si>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</si>
  <si>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</si>
  <si>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</si>
  <si>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</si>
  <si>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</si>
  <si>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</si>
  <si>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</si>
  <si>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</si>
  <si>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</si>
  <si>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</si>
  <si>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</si>
  <si>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</si>
  <si>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</si>
  <si>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</si>
  <si>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</si>
  <si>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</si>
  <si>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</si>
  <si>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</si>
  <si>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</si>
  <si>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</si>
  <si>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</si>
  <si>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</si>
  <si>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</si>
  <si>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</si>
  <si>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</si>
  <si>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</si>
  <si>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</si>
  <si>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</si>
  <si>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</si>
  <si>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</si>
  <si>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</si>
  <si>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</si>
  <si>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</si>
  <si>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</si>
  <si>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</si>
  <si>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</si>
  <si>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</si>
  <si>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</si>
  <si>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</si>
  <si>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</si>
  <si>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</si>
  <si>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</si>
  <si>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</si>
  <si>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</si>
  <si>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</si>
  <si>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</si>
  <si>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</si>
  <si>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</si>
  <si>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</si>
  <si>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</si>
  <si>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</si>
  <si>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</si>
  <si>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</si>
  <si>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</si>
  <si>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</si>
  <si>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</si>
  <si>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</si>
  <si>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</si>
  <si>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</si>
  <si>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</si>
  <si>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</si>
  <si>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</si>
  <si>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</si>
  <si>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</si>
  <si>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</si>
  <si>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</si>
  <si>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</si>
  <si>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</si>
  <si>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</si>
  <si>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</si>
  <si>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</si>
  <si>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</si>
  <si>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</si>
  <si>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</si>
  <si>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</si>
  <si>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</si>
  <si>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</si>
  <si>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</si>
  <si>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</si>
  <si>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</si>
  <si>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</si>
  <si>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</si>
  <si>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</si>
  <si>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</si>
  <si>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</si>
  <si>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</si>
  <si>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</si>
  <si>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</si>
  <si>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</si>
  <si>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</si>
  <si>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</si>
  <si>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</si>
  <si>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</si>
  <si>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</si>
  <si>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</si>
  <si>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</si>
  <si>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</si>
  <si>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</si>
  <si>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</si>
  <si>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</si>
  <si>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</si>
  <si>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</si>
  <si>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</si>
  <si>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</si>
  <si>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</si>
  <si>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</si>
  <si>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</si>
  <si>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</si>
  <si>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</si>
  <si>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</si>
  <si>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</si>
  <si>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</si>
  <si>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</si>
  <si>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</si>
  <si>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</si>
  <si>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</si>
  <si>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</si>
  <si>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</si>
  <si>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</si>
  <si>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</si>
  <si>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</si>
  <si>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</si>
  <si>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</si>
  <si>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</si>
  <si>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</si>
  <si>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</si>
  <si>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</si>
  <si>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</si>
  <si>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</si>
  <si>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</si>
  <si>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</si>
  <si>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</si>
  <si>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</si>
  <si>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</si>
  <si>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</si>
  <si>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</si>
  <si>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</si>
  <si>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</si>
  <si>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</si>
  <si>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</si>
  <si>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</si>
  <si>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</si>
  <si>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</si>
  <si>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</si>
  <si>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</si>
  <si>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</si>
  <si>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</si>
  <si>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</si>
  <si>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</si>
  <si>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</si>
  <si>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</si>
  <si>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</si>
  <si>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</si>
  <si>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</si>
  <si>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</si>
  <si>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</si>
  <si>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</si>
  <si>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</si>
  <si>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</si>
  <si>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</si>
  <si>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</si>
  <si>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</si>
  <si>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</si>
  <si>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</si>
  <si>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</si>
  <si>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</si>
  <si>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</si>
  <si>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</si>
  <si>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</si>
  <si>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</si>
  <si>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</si>
  <si>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</si>
  <si>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</si>
  <si>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</si>
  <si>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</si>
  <si>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</si>
  <si>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</si>
  <si>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</si>
  <si>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</si>
  <si>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</si>
  <si>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</si>
  <si>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</si>
  <si>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</si>
  <si>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</si>
  <si>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</si>
  <si>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</si>
  <si>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</si>
  <si>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</si>
  <si>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</si>
  <si>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</si>
  <si>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</si>
  <si>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</si>
  <si>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</si>
  <si>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</si>
  <si>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</si>
  <si>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</si>
  <si>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</si>
  <si>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</si>
  <si>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</si>
  <si>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</si>
  <si>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Count of Customer ID</t>
  </si>
  <si>
    <t>Average of Satisfaction Rating</t>
  </si>
  <si>
    <t>Sum of Purchase Amount</t>
  </si>
  <si>
    <t>(REPRESENTATIVES) REPORT FILTERS --&gt; SLICERS</t>
  </si>
  <si>
    <t>Count of Call number</t>
  </si>
  <si>
    <t>Group1</t>
  </si>
  <si>
    <t>Group2</t>
  </si>
  <si>
    <t>Group3</t>
  </si>
  <si>
    <t>Group4</t>
  </si>
  <si>
    <t>Group5</t>
  </si>
  <si>
    <t>Jan</t>
  </si>
  <si>
    <t>Feb</t>
  </si>
  <si>
    <t>Mar</t>
  </si>
  <si>
    <t>Apr</t>
  </si>
  <si>
    <t>May</t>
  </si>
  <si>
    <t>Jun</t>
  </si>
  <si>
    <t>Jul</t>
  </si>
  <si>
    <t>Aug</t>
  </si>
  <si>
    <t>Sep</t>
  </si>
  <si>
    <t>Oct</t>
  </si>
  <si>
    <t>Nov</t>
  </si>
  <si>
    <t>Dec</t>
  </si>
  <si>
    <t>FY</t>
  </si>
  <si>
    <t xml:space="preserve"> </t>
  </si>
  <si>
    <t>DAY OF WEEK</t>
  </si>
  <si>
    <t>Column Labels</t>
  </si>
  <si>
    <t>Sunday</t>
  </si>
  <si>
    <t>Monday</t>
  </si>
  <si>
    <t>Tuesday</t>
  </si>
  <si>
    <t>Wednesday</t>
  </si>
  <si>
    <t>Thursday</t>
  </si>
  <si>
    <t>Friday</t>
  </si>
  <si>
    <t>Saturday</t>
  </si>
  <si>
    <t>DURATION BACKET</t>
  </si>
  <si>
    <t>RATING ROUNDED</t>
  </si>
  <si>
    <t>1 TO 2 HOURS</t>
  </si>
  <si>
    <t>10 TO 30 MINS</t>
  </si>
  <si>
    <t>UNDER 10 MINS</t>
  </si>
  <si>
    <t>X</t>
  </si>
  <si>
    <t>&gt; 2 HOURS</t>
  </si>
  <si>
    <t>REVENUE PER CALL</t>
  </si>
  <si>
    <t>Sum of REVENUE PER CALL</t>
  </si>
  <si>
    <t>CALL COUNT</t>
  </si>
  <si>
    <t>TOTAL REQUIRED</t>
  </si>
  <si>
    <t>TOATL DURATION</t>
  </si>
  <si>
    <t>AVERAGE RATING</t>
  </si>
  <si>
    <t>5*CALLS</t>
  </si>
  <si>
    <t>CALLS[Call number]</t>
  </si>
  <si>
    <t>CALLS[Customer ID]</t>
  </si>
  <si>
    <t>CALLS[Duration]</t>
  </si>
  <si>
    <t>CALLS[Representative]</t>
  </si>
  <si>
    <t>CALLS[Date of Call]</t>
  </si>
  <si>
    <t>CALLS[Purchase Amount]</t>
  </si>
  <si>
    <t>CALLS[Satisfaction Rating]</t>
  </si>
  <si>
    <t>CALLS[FY]</t>
  </si>
  <si>
    <t>CALLS[DAY OF WEEK]</t>
  </si>
  <si>
    <t>CALLS[DURATION BACKET]</t>
  </si>
  <si>
    <t>CALLS[RATING ROUNDED]</t>
  </si>
  <si>
    <t>CALLS[X]</t>
  </si>
  <si>
    <t>CALLS[REVENUE PER CALL]</t>
  </si>
  <si>
    <t>Data returned for CALL COUNT (First 1000 rows).</t>
  </si>
  <si>
    <t>CALL COUNT2</t>
  </si>
  <si>
    <t>for grapgh</t>
  </si>
  <si>
    <t>rep</t>
  </si>
  <si>
    <t>calls</t>
  </si>
  <si>
    <t>amount</t>
  </si>
  <si>
    <t>selected rep</t>
  </si>
  <si>
    <t>SEL.CALLS</t>
  </si>
  <si>
    <t xml:space="preserve"> SEL.AMOUNT</t>
  </si>
  <si>
    <t>TOTAL</t>
  </si>
  <si>
    <t>CALL CENTRE PERFORMANCE DASHBOARD 
Jan-Dec 2023 | 1,000 Customer Calls</t>
  </si>
  <si>
    <t>Created by: Gayathri Akuthota</t>
  </si>
  <si>
    <t>Excel Dashboard Project | 2023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</si>
</sst>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
    <numFmt numFmtId="166" formatCode="&quot;₹&quot;\ #,##0"/>
    <numFmt numFmtId="167" formatCode="&quot;₹&quot;\ #,##0;#,##0\ \-&quot;₹&quot;;&quot;₹&quot;\ #,##0"/>
  </numFmts>
  <fonts count="18" x14ac:knownFonts="1">
    <font>
      <sz val="11"/>
      <color theme="1"/>
      <name val="Century Schoolbook"/>
      <family val="2"/>
      <scheme val="minor"/>
    </font>
    <font>
      <sz val="14"/>
      <color theme="1"/>
      <name val="Century Schoolbook"/>
      <family val="2"/>
      <scheme val="minor"/>
    </font>
    <font>
      <b/>
      <sz val="11"/>
      <color theme="1"/>
      <name val="Century Schoolbook"/>
      <family val="2"/>
      <scheme val="minor"/>
    </font>
    <font>
      <sz val="8"/>
      <name val="Century Schoolbook"/>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Century Schoolbook"/>
      <family val="2"/>
      <scheme val="minor"/>
    </font>
    <font>
      <sz val="11"/>
      <color theme="1"/>
      <name val="Century Schoolbook"/>
      <family val="2"/>
      <scheme val="major"/>
    </font>
    <font>
      <sz val="11"/>
      <color rgb="FF00B050"/>
      <name val="Century Schoolbook"/>
      <family val="2"/>
      <scheme val="minor"/>
    </font>
    <font>
      <sz val="11"/>
      <color rgb="FFFF0000"/>
      <name val="Century Schoolbook"/>
      <family val="2"/>
      <scheme val="minor"/>
    </font>
    <font>
      <sz val="20"/>
      <color theme="1"/>
      <name val="Century Schoolbook"/>
      <family val="2"/>
      <scheme val="minor"/>
    </font>
    <font>
      <sz val="16"/>
      <color rgb="FFFF0000"/>
      <name val="Century Schoolbook"/>
      <family val="2"/>
      <scheme val="minor"/>
    </font>
    <font>
      <sz val="10"/>
      <color theme="1"/>
      <name val="Century Schoolbook"/>
      <family val="2"/>
      <scheme val="minor"/>
    </font>
    <font>
      <sz val="11"/>
      <color theme="0"/>
      <name val="Century Schoolbook"/>
      <family val="2"/>
      <scheme val="minor"/>
    </font>
    <font>
      <sz val="12"/>
      <color theme="0"/>
      <name val="Century Schoolbook"/>
      <family val="2"/>
      <scheme val="minor"/>
    </font>
    <font>
      <sz val="28"/>
      <color theme="0"/>
      <name val="Century Schoolbook"/>
      <family val="1"/>
      <scheme val="minor"/>
    </font>
    <font>
      <sz val="22"/>
      <color theme="1"/>
      <name val="Century Schoolbook"/>
      <family val="2"/>
      <scheme val="minor"/>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62">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0" fontId="11" fillId="0" borderId="0" xfId="0" applyFont="1"/>
    <xf numFmtId="165" fontId="0" fillId="0" borderId="0" xfId="0" applyNumberFormat="1"/>
    <xf numFmtId="166" fontId="0" fillId="0" borderId="0" xfId="0" applyNumberFormat="1"/>
    <xf numFmtId="0" fontId="12" fillId="0" borderId="0" xfId="0" applyFont="1"/>
    <xf numFmtId="0" fontId="10" fillId="0" borderId="0" xfId="0" applyFont="1"/>
    <xf numFmtId="0" fontId="0" fillId="0" borderId="0" xfId="0" applyAlignment="1">
      <alignment horizontal="left" indent="1"/>
    </xf>
    <xf numFmtId="0" fontId="0" fillId="0" borderId="13" xfId="0" applyBorder="1"/>
    <xf numFmtId="10" fontId="0" fillId="0" borderId="0" xfId="0" applyNumberFormat="1"/>
    <xf numFmtId="0" fontId="0" fillId="5" borderId="0" xfId="0" applyFill="1"/>
    <xf numFmtId="3" fontId="0" fillId="0" borderId="0" xfId="0" applyNumberFormat="1"/>
    <xf numFmtId="14" fontId="0" fillId="0" borderId="0" xfId="0" applyNumberFormat="1"/>
    <xf numFmtId="0" fontId="2" fillId="0" borderId="0" xfId="0" applyFont="1"/>
    <xf numFmtId="0" fontId="0" fillId="6" borderId="0" xfId="0" applyFill="1" applyAlignment="1">
      <alignment horizontal="left"/>
    </xf>
    <xf numFmtId="167" fontId="0" fillId="0" borderId="0" xfId="0" applyNumberFormat="1"/>
    <xf numFmtId="9" fontId="0" fillId="0" borderId="11" xfId="0" applyNumberFormat="1" applyBorder="1"/>
    <xf numFmtId="0" fontId="0" fillId="7" borderId="0" xfId="0" applyFill="1"/>
    <xf numFmtId="0" fontId="15" fillId="7" borderId="0" xfId="0" applyFont="1" applyFill="1"/>
    <xf numFmtId="0" fontId="0" fillId="7" borderId="0" xfId="0" applyFill="1" applyAlignment="1">
      <alignment vertical="center"/>
    </xf>
    <xf numFmtId="0" fontId="13" fillId="7" borderId="0" xfId="0" applyFont="1" applyFill="1"/>
    <xf numFmtId="0" fontId="13" fillId="7" borderId="0" xfId="0" applyFont="1" applyFill="1" applyAlignment="1">
      <alignment horizontal="left" indent="1"/>
    </xf>
    <xf numFmtId="166" fontId="13" fillId="7" borderId="0" xfId="0" applyNumberFormat="1" applyFont="1" applyFill="1"/>
    <xf numFmtId="166" fontId="0" fillId="7" borderId="0" xfId="0" applyNumberFormat="1" applyFill="1"/>
    <xf numFmtId="0" fontId="17" fillId="7" borderId="0" xfId="0" applyFont="1" applyFill="1"/>
    <xf numFmtId="0" fontId="14" fillId="7" borderId="0" xfId="0" applyFont="1" applyFill="1"/>
    <xf numFmtId="0" fontId="0" fillId="7" borderId="0" xfId="0" applyFill="1" applyAlignment="1">
      <alignment horizontal="center"/>
    </xf>
    <xf numFmtId="0" fontId="16" fillId="8" borderId="0" xfId="0" applyFont="1" applyFill="1" applyAlignment="1">
      <alignment horizontal="center" vertical="top" wrapText="1"/>
    </xf>
  </cellXfs>
  <cellStyles count="1">
    <cellStyle name="Normal" xfId="0" builtinId="0"/>
  </cellStyles>
  <dxfs count="28">
    <dxf>
      <fill>
        <patternFill>
          <bgColor rgb="FFFFC000"/>
        </patternFill>
      </fill>
      <border>
        <bottom style="thin">
          <color theme="1" tint="4.9989318521683403E-2"/>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entury Schoolbook"/>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bgColor rgb="FFFFFF00"/>
        </patternFill>
      </fill>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7"/>
    </tableStyle>
  </tableStyles>
  <colors>
    <mruColors>
      <color rgb="FFADF9F5"/>
      <color rgb="FFF4905E"/>
      <color rgb="FF79F78B"/>
      <color rgb="FFFF9933"/>
      <color rgb="FFEBD5EF"/>
      <color rgb="FFFF5050"/>
      <color rgb="FFFF3300"/>
      <color rgb="FFA01E10"/>
      <color rgb="FF86CC97"/>
      <color rgb="FFF573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7.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2.xml"/><Relationship Id="rId30" Type="http://schemas.openxmlformats.org/officeDocument/2006/relationships/connections" Target="connections.xml"/><Relationship Id="rId35"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 (1).xlsx]Sheet2!PivotTable4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7629046369206"/>
          <c:y val="0.20207895888014002"/>
          <c:w val="0.73070625546806645"/>
          <c:h val="0.5381142461358996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C0004</c:v>
                </c:pt>
                <c:pt idx="1">
                  <c:v>C0001</c:v>
                </c:pt>
                <c:pt idx="2">
                  <c:v>C0007</c:v>
                </c:pt>
                <c:pt idx="3">
                  <c:v>C0012</c:v>
                </c:pt>
                <c:pt idx="4">
                  <c:v>C0009</c:v>
                </c:pt>
                <c:pt idx="5">
                  <c:v>C0014</c:v>
                </c:pt>
                <c:pt idx="6">
                  <c:v>C0013</c:v>
                </c:pt>
                <c:pt idx="7">
                  <c:v>C0002</c:v>
                </c:pt>
                <c:pt idx="8">
                  <c:v>C0011</c:v>
                </c:pt>
                <c:pt idx="9">
                  <c:v>C0015</c:v>
                </c:pt>
              </c:strCache>
            </c:strRef>
          </c:cat>
          <c:val>
            <c:numRef>
              <c:f>Sheet2!$B$4:$B$14</c:f>
              <c:numCache>
                <c:formatCode>"₹"\ #,##0</c:formatCode>
                <c:ptCount val="10"/>
                <c:pt idx="0">
                  <c:v>1991</c:v>
                </c:pt>
                <c:pt idx="1">
                  <c:v>1655</c:v>
                </c:pt>
                <c:pt idx="2">
                  <c:v>1598</c:v>
                </c:pt>
                <c:pt idx="3">
                  <c:v>1438</c:v>
                </c:pt>
                <c:pt idx="4">
                  <c:v>1415</c:v>
                </c:pt>
                <c:pt idx="5">
                  <c:v>1362</c:v>
                </c:pt>
                <c:pt idx="6">
                  <c:v>1255</c:v>
                </c:pt>
                <c:pt idx="7">
                  <c:v>1233</c:v>
                </c:pt>
                <c:pt idx="8">
                  <c:v>1163</c:v>
                </c:pt>
                <c:pt idx="9">
                  <c:v>1138</c:v>
                </c:pt>
              </c:numCache>
            </c:numRef>
          </c:val>
          <c:extLst>
            <c:ext xmlns:c16="http://schemas.microsoft.com/office/drawing/2014/chart" uri="{C3380CC4-5D6E-409C-BE32-E72D297353CC}">
              <c16:uniqueId val="{00000000-F29E-4856-BA4C-CB2A6ED74EAC}"/>
            </c:ext>
          </c:extLst>
        </c:ser>
        <c:dLbls>
          <c:showLegendKey val="0"/>
          <c:showVal val="0"/>
          <c:showCatName val="0"/>
          <c:showSerName val="0"/>
          <c:showPercent val="0"/>
          <c:showBubbleSize val="0"/>
        </c:dLbls>
        <c:gapWidth val="219"/>
        <c:overlap val="-27"/>
        <c:axId val="209399920"/>
        <c:axId val="2130302528"/>
      </c:barChart>
      <c:catAx>
        <c:axId val="20939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302528"/>
        <c:crosses val="autoZero"/>
        <c:auto val="1"/>
        <c:lblAlgn val="ctr"/>
        <c:lblOffset val="100"/>
        <c:noMultiLvlLbl val="0"/>
      </c:catAx>
      <c:valAx>
        <c:axId val="213030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9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 (1).xlsx]Sheet4!PivotTable2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Sheet4!$B$3</c:f>
              <c:strCache>
                <c:ptCount val="1"/>
                <c:pt idx="0">
                  <c:v>Total</c:v>
                </c:pt>
              </c:strCache>
            </c:strRef>
          </c:tx>
          <c:spPr>
            <a:solidFill>
              <a:schemeClr val="accent1"/>
            </a:solidFill>
            <a:ln w="25400">
              <a:noFill/>
            </a:ln>
            <a:effectLst/>
            <a:sp3d/>
          </c:spP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1889</c:v>
                </c:pt>
                <c:pt idx="1">
                  <c:v>2011</c:v>
                </c:pt>
                <c:pt idx="2">
                  <c:v>3040</c:v>
                </c:pt>
                <c:pt idx="3">
                  <c:v>2302</c:v>
                </c:pt>
                <c:pt idx="4">
                  <c:v>807</c:v>
                </c:pt>
                <c:pt idx="5">
                  <c:v>1031</c:v>
                </c:pt>
                <c:pt idx="6">
                  <c:v>1033</c:v>
                </c:pt>
                <c:pt idx="7">
                  <c:v>815</c:v>
                </c:pt>
                <c:pt idx="8">
                  <c:v>1812</c:v>
                </c:pt>
                <c:pt idx="9">
                  <c:v>2037</c:v>
                </c:pt>
                <c:pt idx="10">
                  <c:v>1885</c:v>
                </c:pt>
                <c:pt idx="11">
                  <c:v>1442</c:v>
                </c:pt>
              </c:numCache>
            </c:numRef>
          </c:val>
          <c:extLst>
            <c:ext xmlns:c16="http://schemas.microsoft.com/office/drawing/2014/chart" uri="{C3380CC4-5D6E-409C-BE32-E72D297353CC}">
              <c16:uniqueId val="{00000000-C5FF-4BE0-9B9E-05A86A6A8F90}"/>
            </c:ext>
          </c:extLst>
        </c:ser>
        <c:dLbls>
          <c:showLegendKey val="0"/>
          <c:showVal val="0"/>
          <c:showCatName val="0"/>
          <c:showSerName val="0"/>
          <c:showPercent val="0"/>
          <c:showBubbleSize val="0"/>
        </c:dLbls>
        <c:axId val="1270724288"/>
        <c:axId val="1270724768"/>
        <c:axId val="1229479712"/>
      </c:area3DChart>
      <c:catAx>
        <c:axId val="1270724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724768"/>
        <c:crosses val="autoZero"/>
        <c:auto val="1"/>
        <c:lblAlgn val="ctr"/>
        <c:lblOffset val="100"/>
        <c:noMultiLvlLbl val="0"/>
      </c:catAx>
      <c:valAx>
        <c:axId val="127072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724288"/>
        <c:crosses val="autoZero"/>
        <c:crossBetween val="midCat"/>
      </c:valAx>
      <c:serAx>
        <c:axId val="122947971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724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 (1).xlsx]Sheet4!PivotTable1</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Sheet4!$B$30</c:f>
              <c:strCache>
                <c:ptCount val="1"/>
                <c:pt idx="0">
                  <c:v>Total</c:v>
                </c:pt>
              </c:strCache>
            </c:strRef>
          </c:tx>
          <c:spPr>
            <a:solidFill>
              <a:schemeClr val="accent1"/>
            </a:solidFill>
            <a:ln>
              <a:noFill/>
            </a:ln>
            <a:effectLst/>
          </c:spPr>
          <c:cat>
            <c:strRef>
              <c:f>Sheet4!$A$31:$A$43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Sheet4!$B$31:$B$43</c:f>
              <c:numCache>
                <c:formatCode>General</c:formatCode>
                <c:ptCount val="12"/>
                <c:pt idx="0">
                  <c:v>1889</c:v>
                </c:pt>
                <c:pt idx="1">
                  <c:v>3900</c:v>
                </c:pt>
                <c:pt idx="2">
                  <c:v>6940</c:v>
                </c:pt>
                <c:pt idx="3">
                  <c:v>9242</c:v>
                </c:pt>
                <c:pt idx="4">
                  <c:v>10049</c:v>
                </c:pt>
                <c:pt idx="5">
                  <c:v>11080</c:v>
                </c:pt>
                <c:pt idx="6">
                  <c:v>12113</c:v>
                </c:pt>
                <c:pt idx="7">
                  <c:v>12928</c:v>
                </c:pt>
                <c:pt idx="8">
                  <c:v>14740</c:v>
                </c:pt>
                <c:pt idx="9">
                  <c:v>16777</c:v>
                </c:pt>
                <c:pt idx="10">
                  <c:v>18662</c:v>
                </c:pt>
                <c:pt idx="11">
                  <c:v>20104</c:v>
                </c:pt>
              </c:numCache>
            </c:numRef>
          </c:val>
          <c:extLst>
            <c:ext xmlns:c16="http://schemas.microsoft.com/office/drawing/2014/chart" uri="{C3380CC4-5D6E-409C-BE32-E72D297353CC}">
              <c16:uniqueId val="{00000000-3553-45B5-8EA7-5253A1A5FED9}"/>
            </c:ext>
          </c:extLst>
        </c:ser>
        <c:dLbls>
          <c:showLegendKey val="0"/>
          <c:showVal val="0"/>
          <c:showCatName val="0"/>
          <c:showSerName val="0"/>
          <c:showPercent val="0"/>
          <c:showBubbleSize val="0"/>
        </c:dLbls>
        <c:axId val="1312095471"/>
        <c:axId val="1312088751"/>
      </c:areaChart>
      <c:catAx>
        <c:axId val="1312095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88751"/>
        <c:crosses val="autoZero"/>
        <c:auto val="1"/>
        <c:lblAlgn val="ctr"/>
        <c:lblOffset val="100"/>
        <c:noMultiLvlLbl val="0"/>
      </c:catAx>
      <c:valAx>
        <c:axId val="131208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954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 (1).xlsx]Sheet4!PivotTable3</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Sheet4!$B$53</c:f>
              <c:strCache>
                <c:ptCount val="1"/>
                <c:pt idx="0">
                  <c:v>Total</c:v>
                </c:pt>
              </c:strCache>
            </c:strRef>
          </c:tx>
          <c:spPr>
            <a:solidFill>
              <a:schemeClr val="accent1"/>
            </a:solidFill>
            <a:ln>
              <a:noFill/>
            </a:ln>
            <a:effectLst/>
          </c:spPr>
          <c:invertIfNegative val="0"/>
          <c:cat>
            <c:strRef>
              <c:f>Sheet4!$A$54:$A$66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Sheet4!$B$54:$B$66</c:f>
              <c:numCache>
                <c:formatCode>General</c:formatCode>
                <c:ptCount val="12"/>
                <c:pt idx="0">
                  <c:v>1889</c:v>
                </c:pt>
                <c:pt idx="1">
                  <c:v>3900</c:v>
                </c:pt>
                <c:pt idx="2">
                  <c:v>6940</c:v>
                </c:pt>
                <c:pt idx="3">
                  <c:v>9242</c:v>
                </c:pt>
                <c:pt idx="4">
                  <c:v>10049</c:v>
                </c:pt>
                <c:pt idx="5">
                  <c:v>11080</c:v>
                </c:pt>
                <c:pt idx="6">
                  <c:v>12113</c:v>
                </c:pt>
                <c:pt idx="7">
                  <c:v>12928</c:v>
                </c:pt>
                <c:pt idx="8">
                  <c:v>14740</c:v>
                </c:pt>
                <c:pt idx="9">
                  <c:v>16777</c:v>
                </c:pt>
                <c:pt idx="10">
                  <c:v>18662</c:v>
                </c:pt>
                <c:pt idx="11">
                  <c:v>20104</c:v>
                </c:pt>
              </c:numCache>
            </c:numRef>
          </c:val>
          <c:extLst>
            <c:ext xmlns:c16="http://schemas.microsoft.com/office/drawing/2014/chart" uri="{C3380CC4-5D6E-409C-BE32-E72D297353CC}">
              <c16:uniqueId val="{00000000-7C4E-49C4-8944-A74BA00D1E65}"/>
            </c:ext>
          </c:extLst>
        </c:ser>
        <c:dLbls>
          <c:showLegendKey val="0"/>
          <c:showVal val="0"/>
          <c:showCatName val="0"/>
          <c:showSerName val="0"/>
          <c:showPercent val="0"/>
          <c:showBubbleSize val="0"/>
        </c:dLbls>
        <c:gapWidth val="219"/>
        <c:overlap val="-27"/>
        <c:axId val="167460527"/>
        <c:axId val="167455727"/>
      </c:barChart>
      <c:catAx>
        <c:axId val="16746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55727"/>
        <c:crosses val="autoZero"/>
        <c:auto val="1"/>
        <c:lblAlgn val="ctr"/>
        <c:lblOffset val="100"/>
        <c:noMultiLvlLbl val="0"/>
      </c:catAx>
      <c:valAx>
        <c:axId val="16745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Data!$M$3</c:f>
              <c:strCache>
                <c:ptCount val="1"/>
                <c:pt idx="0">
                  <c:v>X</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Data!$M$4:$M$1003</c:f>
              <c:numCache>
                <c:formatCode>General</c:formatCode>
                <c:ptCount val="1000"/>
                <c:pt idx="0">
                  <c:v>3</c:v>
                </c:pt>
                <c:pt idx="1">
                  <c:v>3</c:v>
                </c:pt>
                <c:pt idx="2">
                  <c:v>3</c:v>
                </c:pt>
                <c:pt idx="3">
                  <c:v>3</c:v>
                </c:pt>
                <c:pt idx="4">
                  <c:v>4</c:v>
                </c:pt>
                <c:pt idx="5">
                  <c:v>3</c:v>
                </c:pt>
                <c:pt idx="6">
                  <c:v>3</c:v>
                </c:pt>
                <c:pt idx="7">
                  <c:v>3</c:v>
                </c:pt>
                <c:pt idx="8">
                  <c:v>3</c:v>
                </c:pt>
                <c:pt idx="9">
                  <c:v>3</c:v>
                </c:pt>
                <c:pt idx="10">
                  <c:v>3</c:v>
                </c:pt>
                <c:pt idx="11">
                  <c:v>4</c:v>
                </c:pt>
                <c:pt idx="12">
                  <c:v>3</c:v>
                </c:pt>
                <c:pt idx="13">
                  <c:v>4</c:v>
                </c:pt>
                <c:pt idx="14">
                  <c:v>3</c:v>
                </c:pt>
                <c:pt idx="15">
                  <c:v>4</c:v>
                </c:pt>
                <c:pt idx="16">
                  <c:v>3</c:v>
                </c:pt>
                <c:pt idx="17">
                  <c:v>2</c:v>
                </c:pt>
                <c:pt idx="18">
                  <c:v>3</c:v>
                </c:pt>
                <c:pt idx="19">
                  <c:v>3</c:v>
                </c:pt>
                <c:pt idx="20">
                  <c:v>4</c:v>
                </c:pt>
                <c:pt idx="21">
                  <c:v>3</c:v>
                </c:pt>
                <c:pt idx="22">
                  <c:v>3</c:v>
                </c:pt>
                <c:pt idx="23">
                  <c:v>3</c:v>
                </c:pt>
                <c:pt idx="24">
                  <c:v>3</c:v>
                </c:pt>
                <c:pt idx="25">
                  <c:v>2</c:v>
                </c:pt>
                <c:pt idx="26">
                  <c:v>3</c:v>
                </c:pt>
                <c:pt idx="27">
                  <c:v>3</c:v>
                </c:pt>
                <c:pt idx="28">
                  <c:v>3</c:v>
                </c:pt>
                <c:pt idx="29">
                  <c:v>4</c:v>
                </c:pt>
                <c:pt idx="30">
                  <c:v>3</c:v>
                </c:pt>
                <c:pt idx="31">
                  <c:v>3</c:v>
                </c:pt>
                <c:pt idx="32">
                  <c:v>2</c:v>
                </c:pt>
                <c:pt idx="33">
                  <c:v>4</c:v>
                </c:pt>
                <c:pt idx="34">
                  <c:v>3</c:v>
                </c:pt>
                <c:pt idx="35">
                  <c:v>3</c:v>
                </c:pt>
                <c:pt idx="36">
                  <c:v>3</c:v>
                </c:pt>
                <c:pt idx="37">
                  <c:v>3</c:v>
                </c:pt>
                <c:pt idx="38">
                  <c:v>3</c:v>
                </c:pt>
                <c:pt idx="39">
                  <c:v>3</c:v>
                </c:pt>
                <c:pt idx="40">
                  <c:v>3</c:v>
                </c:pt>
                <c:pt idx="41">
                  <c:v>3</c:v>
                </c:pt>
                <c:pt idx="42">
                  <c:v>3</c:v>
                </c:pt>
                <c:pt idx="43">
                  <c:v>4</c:v>
                </c:pt>
                <c:pt idx="44">
                  <c:v>3</c:v>
                </c:pt>
                <c:pt idx="45">
                  <c:v>2</c:v>
                </c:pt>
                <c:pt idx="46">
                  <c:v>4</c:v>
                </c:pt>
                <c:pt idx="47">
                  <c:v>3</c:v>
                </c:pt>
                <c:pt idx="48">
                  <c:v>3</c:v>
                </c:pt>
                <c:pt idx="49">
                  <c:v>3</c:v>
                </c:pt>
                <c:pt idx="50">
                  <c:v>4</c:v>
                </c:pt>
                <c:pt idx="51">
                  <c:v>3</c:v>
                </c:pt>
                <c:pt idx="52">
                  <c:v>3</c:v>
                </c:pt>
                <c:pt idx="53">
                  <c:v>4</c:v>
                </c:pt>
                <c:pt idx="54">
                  <c:v>3</c:v>
                </c:pt>
                <c:pt idx="55">
                  <c:v>3</c:v>
                </c:pt>
                <c:pt idx="56">
                  <c:v>3</c:v>
                </c:pt>
                <c:pt idx="57">
                  <c:v>3</c:v>
                </c:pt>
                <c:pt idx="58">
                  <c:v>3</c:v>
                </c:pt>
                <c:pt idx="59">
                  <c:v>3</c:v>
                </c:pt>
                <c:pt idx="60">
                  <c:v>3</c:v>
                </c:pt>
                <c:pt idx="61">
                  <c:v>4</c:v>
                </c:pt>
                <c:pt idx="62">
                  <c:v>3</c:v>
                </c:pt>
                <c:pt idx="63">
                  <c:v>3</c:v>
                </c:pt>
                <c:pt idx="64">
                  <c:v>4</c:v>
                </c:pt>
                <c:pt idx="65">
                  <c:v>3</c:v>
                </c:pt>
                <c:pt idx="66">
                  <c:v>3</c:v>
                </c:pt>
                <c:pt idx="67">
                  <c:v>4</c:v>
                </c:pt>
                <c:pt idx="68">
                  <c:v>3</c:v>
                </c:pt>
                <c:pt idx="69">
                  <c:v>4</c:v>
                </c:pt>
                <c:pt idx="70">
                  <c:v>4</c:v>
                </c:pt>
                <c:pt idx="71">
                  <c:v>3</c:v>
                </c:pt>
                <c:pt idx="72">
                  <c:v>3</c:v>
                </c:pt>
                <c:pt idx="73">
                  <c:v>3</c:v>
                </c:pt>
                <c:pt idx="74">
                  <c:v>3</c:v>
                </c:pt>
                <c:pt idx="75">
                  <c:v>3</c:v>
                </c:pt>
                <c:pt idx="76">
                  <c:v>4</c:v>
                </c:pt>
                <c:pt idx="77">
                  <c:v>3</c:v>
                </c:pt>
                <c:pt idx="78">
                  <c:v>3</c:v>
                </c:pt>
                <c:pt idx="79">
                  <c:v>3</c:v>
                </c:pt>
                <c:pt idx="80">
                  <c:v>3</c:v>
                </c:pt>
                <c:pt idx="81">
                  <c:v>4</c:v>
                </c:pt>
                <c:pt idx="82">
                  <c:v>3</c:v>
                </c:pt>
                <c:pt idx="83">
                  <c:v>3</c:v>
                </c:pt>
                <c:pt idx="84">
                  <c:v>4</c:v>
                </c:pt>
                <c:pt idx="85">
                  <c:v>3</c:v>
                </c:pt>
                <c:pt idx="86">
                  <c:v>3</c:v>
                </c:pt>
                <c:pt idx="87">
                  <c:v>3</c:v>
                </c:pt>
                <c:pt idx="88">
                  <c:v>3</c:v>
                </c:pt>
                <c:pt idx="89">
                  <c:v>4</c:v>
                </c:pt>
                <c:pt idx="90">
                  <c:v>3</c:v>
                </c:pt>
                <c:pt idx="91">
                  <c:v>3</c:v>
                </c:pt>
                <c:pt idx="92">
                  <c:v>4</c:v>
                </c:pt>
                <c:pt idx="93">
                  <c:v>4</c:v>
                </c:pt>
                <c:pt idx="94">
                  <c:v>4</c:v>
                </c:pt>
                <c:pt idx="95">
                  <c:v>3</c:v>
                </c:pt>
                <c:pt idx="96">
                  <c:v>3</c:v>
                </c:pt>
                <c:pt idx="97">
                  <c:v>3</c:v>
                </c:pt>
                <c:pt idx="98">
                  <c:v>3</c:v>
                </c:pt>
                <c:pt idx="99">
                  <c:v>4</c:v>
                </c:pt>
                <c:pt idx="100">
                  <c:v>3</c:v>
                </c:pt>
                <c:pt idx="101">
                  <c:v>4</c:v>
                </c:pt>
                <c:pt idx="102">
                  <c:v>3</c:v>
                </c:pt>
                <c:pt idx="103">
                  <c:v>3</c:v>
                </c:pt>
                <c:pt idx="104">
                  <c:v>3</c:v>
                </c:pt>
                <c:pt idx="105">
                  <c:v>2</c:v>
                </c:pt>
                <c:pt idx="106">
                  <c:v>4</c:v>
                </c:pt>
                <c:pt idx="107">
                  <c:v>4</c:v>
                </c:pt>
                <c:pt idx="108">
                  <c:v>3</c:v>
                </c:pt>
                <c:pt idx="109">
                  <c:v>3</c:v>
                </c:pt>
                <c:pt idx="110">
                  <c:v>3</c:v>
                </c:pt>
                <c:pt idx="111">
                  <c:v>2</c:v>
                </c:pt>
                <c:pt idx="112">
                  <c:v>2</c:v>
                </c:pt>
                <c:pt idx="113">
                  <c:v>3</c:v>
                </c:pt>
                <c:pt idx="114">
                  <c:v>3</c:v>
                </c:pt>
                <c:pt idx="115">
                  <c:v>2</c:v>
                </c:pt>
                <c:pt idx="116">
                  <c:v>3</c:v>
                </c:pt>
                <c:pt idx="117">
                  <c:v>3</c:v>
                </c:pt>
                <c:pt idx="118">
                  <c:v>3</c:v>
                </c:pt>
                <c:pt idx="119">
                  <c:v>3</c:v>
                </c:pt>
                <c:pt idx="120">
                  <c:v>3</c:v>
                </c:pt>
                <c:pt idx="121">
                  <c:v>4</c:v>
                </c:pt>
                <c:pt idx="122">
                  <c:v>3</c:v>
                </c:pt>
                <c:pt idx="123">
                  <c:v>3</c:v>
                </c:pt>
                <c:pt idx="124">
                  <c:v>3</c:v>
                </c:pt>
                <c:pt idx="125">
                  <c:v>3</c:v>
                </c:pt>
                <c:pt idx="126">
                  <c:v>4</c:v>
                </c:pt>
                <c:pt idx="127">
                  <c:v>3</c:v>
                </c:pt>
                <c:pt idx="128">
                  <c:v>4</c:v>
                </c:pt>
                <c:pt idx="129">
                  <c:v>3</c:v>
                </c:pt>
                <c:pt idx="130">
                  <c:v>3</c:v>
                </c:pt>
                <c:pt idx="131">
                  <c:v>4</c:v>
                </c:pt>
                <c:pt idx="132">
                  <c:v>3</c:v>
                </c:pt>
                <c:pt idx="133">
                  <c:v>4</c:v>
                </c:pt>
                <c:pt idx="134">
                  <c:v>4</c:v>
                </c:pt>
                <c:pt idx="135">
                  <c:v>3</c:v>
                </c:pt>
                <c:pt idx="136">
                  <c:v>3</c:v>
                </c:pt>
                <c:pt idx="137">
                  <c:v>4</c:v>
                </c:pt>
                <c:pt idx="138">
                  <c:v>3</c:v>
                </c:pt>
                <c:pt idx="139">
                  <c:v>3</c:v>
                </c:pt>
                <c:pt idx="140">
                  <c:v>1</c:v>
                </c:pt>
                <c:pt idx="141">
                  <c:v>4</c:v>
                </c:pt>
                <c:pt idx="142">
                  <c:v>3</c:v>
                </c:pt>
                <c:pt idx="143">
                  <c:v>3</c:v>
                </c:pt>
                <c:pt idx="144">
                  <c:v>3</c:v>
                </c:pt>
                <c:pt idx="145">
                  <c:v>4</c:v>
                </c:pt>
                <c:pt idx="146">
                  <c:v>3</c:v>
                </c:pt>
                <c:pt idx="147">
                  <c:v>4</c:v>
                </c:pt>
                <c:pt idx="148">
                  <c:v>3</c:v>
                </c:pt>
                <c:pt idx="149">
                  <c:v>4</c:v>
                </c:pt>
                <c:pt idx="150">
                  <c:v>4</c:v>
                </c:pt>
                <c:pt idx="151">
                  <c:v>3</c:v>
                </c:pt>
                <c:pt idx="152">
                  <c:v>3</c:v>
                </c:pt>
                <c:pt idx="153">
                  <c:v>3</c:v>
                </c:pt>
                <c:pt idx="154">
                  <c:v>3</c:v>
                </c:pt>
                <c:pt idx="155">
                  <c:v>3</c:v>
                </c:pt>
                <c:pt idx="156">
                  <c:v>3</c:v>
                </c:pt>
                <c:pt idx="157">
                  <c:v>3</c:v>
                </c:pt>
                <c:pt idx="158">
                  <c:v>3</c:v>
                </c:pt>
                <c:pt idx="159">
                  <c:v>3</c:v>
                </c:pt>
                <c:pt idx="160">
                  <c:v>3</c:v>
                </c:pt>
                <c:pt idx="161">
                  <c:v>2</c:v>
                </c:pt>
                <c:pt idx="162">
                  <c:v>3</c:v>
                </c:pt>
                <c:pt idx="163">
                  <c:v>4</c:v>
                </c:pt>
                <c:pt idx="164">
                  <c:v>2</c:v>
                </c:pt>
                <c:pt idx="165">
                  <c:v>3</c:v>
                </c:pt>
                <c:pt idx="166">
                  <c:v>2</c:v>
                </c:pt>
                <c:pt idx="167">
                  <c:v>4</c:v>
                </c:pt>
                <c:pt idx="168">
                  <c:v>3</c:v>
                </c:pt>
                <c:pt idx="169">
                  <c:v>3</c:v>
                </c:pt>
                <c:pt idx="170">
                  <c:v>3</c:v>
                </c:pt>
                <c:pt idx="171">
                  <c:v>3</c:v>
                </c:pt>
                <c:pt idx="172">
                  <c:v>3</c:v>
                </c:pt>
                <c:pt idx="173">
                  <c:v>4</c:v>
                </c:pt>
                <c:pt idx="174">
                  <c:v>3</c:v>
                </c:pt>
                <c:pt idx="175">
                  <c:v>3</c:v>
                </c:pt>
                <c:pt idx="176">
                  <c:v>3</c:v>
                </c:pt>
                <c:pt idx="177">
                  <c:v>3</c:v>
                </c:pt>
                <c:pt idx="178">
                  <c:v>4</c:v>
                </c:pt>
                <c:pt idx="179">
                  <c:v>3</c:v>
                </c:pt>
                <c:pt idx="180">
                  <c:v>3</c:v>
                </c:pt>
                <c:pt idx="181">
                  <c:v>3</c:v>
                </c:pt>
                <c:pt idx="182">
                  <c:v>3</c:v>
                </c:pt>
                <c:pt idx="183">
                  <c:v>3</c:v>
                </c:pt>
                <c:pt idx="184">
                  <c:v>3</c:v>
                </c:pt>
                <c:pt idx="185">
                  <c:v>3</c:v>
                </c:pt>
                <c:pt idx="186">
                  <c:v>3</c:v>
                </c:pt>
                <c:pt idx="187">
                  <c:v>4</c:v>
                </c:pt>
                <c:pt idx="188">
                  <c:v>3</c:v>
                </c:pt>
                <c:pt idx="189">
                  <c:v>3</c:v>
                </c:pt>
                <c:pt idx="190">
                  <c:v>2</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4</c:v>
                </c:pt>
                <c:pt idx="205">
                  <c:v>3</c:v>
                </c:pt>
                <c:pt idx="206">
                  <c:v>1</c:v>
                </c:pt>
                <c:pt idx="207">
                  <c:v>3</c:v>
                </c:pt>
                <c:pt idx="208">
                  <c:v>4</c:v>
                </c:pt>
                <c:pt idx="209">
                  <c:v>3</c:v>
                </c:pt>
                <c:pt idx="210">
                  <c:v>4</c:v>
                </c:pt>
                <c:pt idx="211">
                  <c:v>4</c:v>
                </c:pt>
                <c:pt idx="212">
                  <c:v>3</c:v>
                </c:pt>
                <c:pt idx="213">
                  <c:v>2</c:v>
                </c:pt>
                <c:pt idx="214">
                  <c:v>4</c:v>
                </c:pt>
                <c:pt idx="215">
                  <c:v>2</c:v>
                </c:pt>
                <c:pt idx="216">
                  <c:v>3</c:v>
                </c:pt>
                <c:pt idx="217">
                  <c:v>3</c:v>
                </c:pt>
                <c:pt idx="218">
                  <c:v>3</c:v>
                </c:pt>
                <c:pt idx="219">
                  <c:v>3</c:v>
                </c:pt>
                <c:pt idx="220">
                  <c:v>3</c:v>
                </c:pt>
                <c:pt idx="221">
                  <c:v>4</c:v>
                </c:pt>
                <c:pt idx="222">
                  <c:v>3</c:v>
                </c:pt>
                <c:pt idx="223">
                  <c:v>4</c:v>
                </c:pt>
                <c:pt idx="224">
                  <c:v>3</c:v>
                </c:pt>
                <c:pt idx="225">
                  <c:v>3</c:v>
                </c:pt>
                <c:pt idx="226">
                  <c:v>3</c:v>
                </c:pt>
                <c:pt idx="227">
                  <c:v>4</c:v>
                </c:pt>
                <c:pt idx="228">
                  <c:v>3</c:v>
                </c:pt>
                <c:pt idx="229">
                  <c:v>4</c:v>
                </c:pt>
                <c:pt idx="230">
                  <c:v>3</c:v>
                </c:pt>
                <c:pt idx="231">
                  <c:v>3</c:v>
                </c:pt>
                <c:pt idx="232">
                  <c:v>3</c:v>
                </c:pt>
                <c:pt idx="233">
                  <c:v>3</c:v>
                </c:pt>
                <c:pt idx="234">
                  <c:v>3</c:v>
                </c:pt>
                <c:pt idx="235">
                  <c:v>3</c:v>
                </c:pt>
                <c:pt idx="236">
                  <c:v>3</c:v>
                </c:pt>
                <c:pt idx="237">
                  <c:v>3</c:v>
                </c:pt>
                <c:pt idx="238">
                  <c:v>3</c:v>
                </c:pt>
                <c:pt idx="239">
                  <c:v>3</c:v>
                </c:pt>
                <c:pt idx="240">
                  <c:v>3</c:v>
                </c:pt>
                <c:pt idx="241">
                  <c:v>3</c:v>
                </c:pt>
                <c:pt idx="242">
                  <c:v>3</c:v>
                </c:pt>
                <c:pt idx="243">
                  <c:v>3</c:v>
                </c:pt>
                <c:pt idx="244">
                  <c:v>4</c:v>
                </c:pt>
                <c:pt idx="245">
                  <c:v>3</c:v>
                </c:pt>
                <c:pt idx="246">
                  <c:v>4</c:v>
                </c:pt>
                <c:pt idx="247">
                  <c:v>3</c:v>
                </c:pt>
                <c:pt idx="248">
                  <c:v>3</c:v>
                </c:pt>
                <c:pt idx="249">
                  <c:v>3</c:v>
                </c:pt>
                <c:pt idx="250">
                  <c:v>3</c:v>
                </c:pt>
                <c:pt idx="251">
                  <c:v>3</c:v>
                </c:pt>
                <c:pt idx="252">
                  <c:v>3</c:v>
                </c:pt>
                <c:pt idx="253">
                  <c:v>4</c:v>
                </c:pt>
                <c:pt idx="254">
                  <c:v>3</c:v>
                </c:pt>
                <c:pt idx="255">
                  <c:v>3</c:v>
                </c:pt>
                <c:pt idx="256">
                  <c:v>4</c:v>
                </c:pt>
                <c:pt idx="257">
                  <c:v>3</c:v>
                </c:pt>
                <c:pt idx="258">
                  <c:v>4</c:v>
                </c:pt>
                <c:pt idx="259">
                  <c:v>3</c:v>
                </c:pt>
                <c:pt idx="260">
                  <c:v>3</c:v>
                </c:pt>
                <c:pt idx="261">
                  <c:v>3</c:v>
                </c:pt>
                <c:pt idx="262">
                  <c:v>4</c:v>
                </c:pt>
                <c:pt idx="263">
                  <c:v>3</c:v>
                </c:pt>
                <c:pt idx="264">
                  <c:v>4</c:v>
                </c:pt>
                <c:pt idx="265">
                  <c:v>4</c:v>
                </c:pt>
                <c:pt idx="266">
                  <c:v>3</c:v>
                </c:pt>
                <c:pt idx="267">
                  <c:v>4</c:v>
                </c:pt>
                <c:pt idx="268">
                  <c:v>3</c:v>
                </c:pt>
                <c:pt idx="269">
                  <c:v>4</c:v>
                </c:pt>
                <c:pt idx="270">
                  <c:v>3</c:v>
                </c:pt>
                <c:pt idx="271">
                  <c:v>3</c:v>
                </c:pt>
                <c:pt idx="272">
                  <c:v>4</c:v>
                </c:pt>
                <c:pt idx="273">
                  <c:v>3</c:v>
                </c:pt>
                <c:pt idx="274">
                  <c:v>3</c:v>
                </c:pt>
                <c:pt idx="275">
                  <c:v>4</c:v>
                </c:pt>
                <c:pt idx="276">
                  <c:v>4</c:v>
                </c:pt>
                <c:pt idx="277">
                  <c:v>3</c:v>
                </c:pt>
                <c:pt idx="278">
                  <c:v>3</c:v>
                </c:pt>
                <c:pt idx="279">
                  <c:v>3</c:v>
                </c:pt>
                <c:pt idx="280">
                  <c:v>3</c:v>
                </c:pt>
                <c:pt idx="281">
                  <c:v>3</c:v>
                </c:pt>
                <c:pt idx="282">
                  <c:v>3</c:v>
                </c:pt>
                <c:pt idx="283">
                  <c:v>4</c:v>
                </c:pt>
                <c:pt idx="284">
                  <c:v>4</c:v>
                </c:pt>
                <c:pt idx="285">
                  <c:v>3</c:v>
                </c:pt>
                <c:pt idx="286">
                  <c:v>3</c:v>
                </c:pt>
                <c:pt idx="287">
                  <c:v>4</c:v>
                </c:pt>
                <c:pt idx="288">
                  <c:v>3</c:v>
                </c:pt>
                <c:pt idx="289">
                  <c:v>3</c:v>
                </c:pt>
                <c:pt idx="290">
                  <c:v>3</c:v>
                </c:pt>
                <c:pt idx="291">
                  <c:v>3</c:v>
                </c:pt>
                <c:pt idx="292">
                  <c:v>2</c:v>
                </c:pt>
                <c:pt idx="293">
                  <c:v>3</c:v>
                </c:pt>
                <c:pt idx="294">
                  <c:v>3</c:v>
                </c:pt>
                <c:pt idx="295">
                  <c:v>3</c:v>
                </c:pt>
                <c:pt idx="296">
                  <c:v>4</c:v>
                </c:pt>
                <c:pt idx="297">
                  <c:v>3</c:v>
                </c:pt>
                <c:pt idx="298">
                  <c:v>3</c:v>
                </c:pt>
                <c:pt idx="299">
                  <c:v>3</c:v>
                </c:pt>
                <c:pt idx="300">
                  <c:v>3</c:v>
                </c:pt>
                <c:pt idx="301">
                  <c:v>3</c:v>
                </c:pt>
                <c:pt idx="302">
                  <c:v>3</c:v>
                </c:pt>
                <c:pt idx="303">
                  <c:v>2</c:v>
                </c:pt>
                <c:pt idx="304">
                  <c:v>3</c:v>
                </c:pt>
                <c:pt idx="305">
                  <c:v>3</c:v>
                </c:pt>
                <c:pt idx="306">
                  <c:v>3</c:v>
                </c:pt>
                <c:pt idx="307">
                  <c:v>3</c:v>
                </c:pt>
                <c:pt idx="308">
                  <c:v>4</c:v>
                </c:pt>
                <c:pt idx="309">
                  <c:v>3</c:v>
                </c:pt>
                <c:pt idx="310">
                  <c:v>3</c:v>
                </c:pt>
                <c:pt idx="311">
                  <c:v>3</c:v>
                </c:pt>
                <c:pt idx="312">
                  <c:v>4</c:v>
                </c:pt>
                <c:pt idx="313">
                  <c:v>3</c:v>
                </c:pt>
                <c:pt idx="314">
                  <c:v>4</c:v>
                </c:pt>
                <c:pt idx="315">
                  <c:v>2</c:v>
                </c:pt>
                <c:pt idx="316">
                  <c:v>4</c:v>
                </c:pt>
                <c:pt idx="317">
                  <c:v>3</c:v>
                </c:pt>
                <c:pt idx="318">
                  <c:v>3</c:v>
                </c:pt>
                <c:pt idx="319">
                  <c:v>4</c:v>
                </c:pt>
                <c:pt idx="320">
                  <c:v>3</c:v>
                </c:pt>
                <c:pt idx="321">
                  <c:v>3</c:v>
                </c:pt>
                <c:pt idx="322">
                  <c:v>4</c:v>
                </c:pt>
                <c:pt idx="323">
                  <c:v>3</c:v>
                </c:pt>
                <c:pt idx="324">
                  <c:v>3</c:v>
                </c:pt>
                <c:pt idx="325">
                  <c:v>3</c:v>
                </c:pt>
                <c:pt idx="326">
                  <c:v>3</c:v>
                </c:pt>
                <c:pt idx="327">
                  <c:v>2</c:v>
                </c:pt>
                <c:pt idx="328">
                  <c:v>3</c:v>
                </c:pt>
                <c:pt idx="329">
                  <c:v>3</c:v>
                </c:pt>
                <c:pt idx="330">
                  <c:v>3</c:v>
                </c:pt>
                <c:pt idx="331">
                  <c:v>1</c:v>
                </c:pt>
                <c:pt idx="332">
                  <c:v>4</c:v>
                </c:pt>
                <c:pt idx="333">
                  <c:v>3</c:v>
                </c:pt>
                <c:pt idx="334">
                  <c:v>3</c:v>
                </c:pt>
                <c:pt idx="335">
                  <c:v>3</c:v>
                </c:pt>
                <c:pt idx="336">
                  <c:v>2</c:v>
                </c:pt>
                <c:pt idx="337">
                  <c:v>3</c:v>
                </c:pt>
                <c:pt idx="338">
                  <c:v>3</c:v>
                </c:pt>
                <c:pt idx="339">
                  <c:v>3</c:v>
                </c:pt>
                <c:pt idx="340">
                  <c:v>3</c:v>
                </c:pt>
                <c:pt idx="341">
                  <c:v>3</c:v>
                </c:pt>
                <c:pt idx="342">
                  <c:v>3</c:v>
                </c:pt>
                <c:pt idx="343">
                  <c:v>3</c:v>
                </c:pt>
                <c:pt idx="344">
                  <c:v>3</c:v>
                </c:pt>
                <c:pt idx="345">
                  <c:v>4</c:v>
                </c:pt>
                <c:pt idx="346">
                  <c:v>2</c:v>
                </c:pt>
                <c:pt idx="347">
                  <c:v>3</c:v>
                </c:pt>
                <c:pt idx="348">
                  <c:v>3</c:v>
                </c:pt>
                <c:pt idx="349">
                  <c:v>3</c:v>
                </c:pt>
                <c:pt idx="350">
                  <c:v>3</c:v>
                </c:pt>
                <c:pt idx="351">
                  <c:v>3</c:v>
                </c:pt>
                <c:pt idx="352">
                  <c:v>3</c:v>
                </c:pt>
                <c:pt idx="353">
                  <c:v>3</c:v>
                </c:pt>
                <c:pt idx="354">
                  <c:v>3</c:v>
                </c:pt>
                <c:pt idx="355">
                  <c:v>3</c:v>
                </c:pt>
                <c:pt idx="356">
                  <c:v>4</c:v>
                </c:pt>
                <c:pt idx="357">
                  <c:v>3</c:v>
                </c:pt>
                <c:pt idx="358">
                  <c:v>3</c:v>
                </c:pt>
                <c:pt idx="359">
                  <c:v>3</c:v>
                </c:pt>
                <c:pt idx="360">
                  <c:v>3</c:v>
                </c:pt>
                <c:pt idx="361">
                  <c:v>3</c:v>
                </c:pt>
                <c:pt idx="362">
                  <c:v>2</c:v>
                </c:pt>
                <c:pt idx="363">
                  <c:v>4</c:v>
                </c:pt>
                <c:pt idx="364">
                  <c:v>3</c:v>
                </c:pt>
                <c:pt idx="365">
                  <c:v>3</c:v>
                </c:pt>
                <c:pt idx="366">
                  <c:v>3</c:v>
                </c:pt>
                <c:pt idx="367">
                  <c:v>2</c:v>
                </c:pt>
                <c:pt idx="368">
                  <c:v>4</c:v>
                </c:pt>
                <c:pt idx="369">
                  <c:v>4</c:v>
                </c:pt>
                <c:pt idx="370">
                  <c:v>3</c:v>
                </c:pt>
                <c:pt idx="371">
                  <c:v>3</c:v>
                </c:pt>
                <c:pt idx="372">
                  <c:v>3</c:v>
                </c:pt>
                <c:pt idx="373">
                  <c:v>3</c:v>
                </c:pt>
                <c:pt idx="374">
                  <c:v>4</c:v>
                </c:pt>
                <c:pt idx="375">
                  <c:v>4</c:v>
                </c:pt>
                <c:pt idx="376">
                  <c:v>3</c:v>
                </c:pt>
                <c:pt idx="377">
                  <c:v>1</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4</c:v>
                </c:pt>
                <c:pt idx="394">
                  <c:v>2</c:v>
                </c:pt>
                <c:pt idx="395">
                  <c:v>3</c:v>
                </c:pt>
                <c:pt idx="396">
                  <c:v>3</c:v>
                </c:pt>
                <c:pt idx="397">
                  <c:v>3</c:v>
                </c:pt>
                <c:pt idx="398">
                  <c:v>3</c:v>
                </c:pt>
                <c:pt idx="399">
                  <c:v>3</c:v>
                </c:pt>
                <c:pt idx="400">
                  <c:v>3</c:v>
                </c:pt>
                <c:pt idx="401">
                  <c:v>4</c:v>
                </c:pt>
                <c:pt idx="402">
                  <c:v>4</c:v>
                </c:pt>
                <c:pt idx="403">
                  <c:v>4</c:v>
                </c:pt>
                <c:pt idx="404">
                  <c:v>3</c:v>
                </c:pt>
                <c:pt idx="405">
                  <c:v>3</c:v>
                </c:pt>
                <c:pt idx="406">
                  <c:v>4</c:v>
                </c:pt>
                <c:pt idx="407">
                  <c:v>3</c:v>
                </c:pt>
                <c:pt idx="408">
                  <c:v>3</c:v>
                </c:pt>
                <c:pt idx="409">
                  <c:v>2</c:v>
                </c:pt>
                <c:pt idx="410">
                  <c:v>4</c:v>
                </c:pt>
                <c:pt idx="411">
                  <c:v>2</c:v>
                </c:pt>
                <c:pt idx="412">
                  <c:v>3</c:v>
                </c:pt>
                <c:pt idx="413">
                  <c:v>4</c:v>
                </c:pt>
                <c:pt idx="414">
                  <c:v>4</c:v>
                </c:pt>
                <c:pt idx="415">
                  <c:v>4</c:v>
                </c:pt>
                <c:pt idx="416">
                  <c:v>3</c:v>
                </c:pt>
                <c:pt idx="417">
                  <c:v>2</c:v>
                </c:pt>
                <c:pt idx="418">
                  <c:v>3</c:v>
                </c:pt>
                <c:pt idx="419">
                  <c:v>4</c:v>
                </c:pt>
                <c:pt idx="420">
                  <c:v>2</c:v>
                </c:pt>
                <c:pt idx="421">
                  <c:v>3</c:v>
                </c:pt>
                <c:pt idx="422">
                  <c:v>3</c:v>
                </c:pt>
                <c:pt idx="423">
                  <c:v>3</c:v>
                </c:pt>
                <c:pt idx="424">
                  <c:v>3</c:v>
                </c:pt>
                <c:pt idx="425">
                  <c:v>3</c:v>
                </c:pt>
                <c:pt idx="426">
                  <c:v>4</c:v>
                </c:pt>
                <c:pt idx="427">
                  <c:v>4</c:v>
                </c:pt>
                <c:pt idx="428">
                  <c:v>3</c:v>
                </c:pt>
                <c:pt idx="429">
                  <c:v>4</c:v>
                </c:pt>
                <c:pt idx="430">
                  <c:v>3</c:v>
                </c:pt>
                <c:pt idx="431">
                  <c:v>3</c:v>
                </c:pt>
                <c:pt idx="432">
                  <c:v>3</c:v>
                </c:pt>
                <c:pt idx="433">
                  <c:v>2</c:v>
                </c:pt>
                <c:pt idx="434">
                  <c:v>3</c:v>
                </c:pt>
                <c:pt idx="435">
                  <c:v>3</c:v>
                </c:pt>
                <c:pt idx="436">
                  <c:v>3</c:v>
                </c:pt>
                <c:pt idx="437">
                  <c:v>4</c:v>
                </c:pt>
                <c:pt idx="438">
                  <c:v>3</c:v>
                </c:pt>
                <c:pt idx="439">
                  <c:v>3</c:v>
                </c:pt>
                <c:pt idx="440">
                  <c:v>3</c:v>
                </c:pt>
                <c:pt idx="441">
                  <c:v>3</c:v>
                </c:pt>
                <c:pt idx="442">
                  <c:v>4</c:v>
                </c:pt>
                <c:pt idx="443">
                  <c:v>3</c:v>
                </c:pt>
                <c:pt idx="444">
                  <c:v>3</c:v>
                </c:pt>
                <c:pt idx="445">
                  <c:v>3</c:v>
                </c:pt>
                <c:pt idx="446">
                  <c:v>3</c:v>
                </c:pt>
                <c:pt idx="447">
                  <c:v>3</c:v>
                </c:pt>
                <c:pt idx="448">
                  <c:v>2</c:v>
                </c:pt>
                <c:pt idx="449">
                  <c:v>3</c:v>
                </c:pt>
                <c:pt idx="450">
                  <c:v>3</c:v>
                </c:pt>
                <c:pt idx="451">
                  <c:v>3</c:v>
                </c:pt>
                <c:pt idx="452">
                  <c:v>4</c:v>
                </c:pt>
                <c:pt idx="453">
                  <c:v>3</c:v>
                </c:pt>
                <c:pt idx="454">
                  <c:v>4</c:v>
                </c:pt>
                <c:pt idx="455">
                  <c:v>3</c:v>
                </c:pt>
                <c:pt idx="456">
                  <c:v>3</c:v>
                </c:pt>
                <c:pt idx="457">
                  <c:v>3</c:v>
                </c:pt>
                <c:pt idx="458">
                  <c:v>3</c:v>
                </c:pt>
                <c:pt idx="459">
                  <c:v>2</c:v>
                </c:pt>
                <c:pt idx="460">
                  <c:v>3</c:v>
                </c:pt>
                <c:pt idx="461">
                  <c:v>3</c:v>
                </c:pt>
                <c:pt idx="462">
                  <c:v>3</c:v>
                </c:pt>
                <c:pt idx="463">
                  <c:v>3</c:v>
                </c:pt>
                <c:pt idx="464">
                  <c:v>2</c:v>
                </c:pt>
                <c:pt idx="465">
                  <c:v>3</c:v>
                </c:pt>
                <c:pt idx="466">
                  <c:v>4</c:v>
                </c:pt>
                <c:pt idx="467">
                  <c:v>3</c:v>
                </c:pt>
                <c:pt idx="468">
                  <c:v>3</c:v>
                </c:pt>
                <c:pt idx="469">
                  <c:v>3</c:v>
                </c:pt>
                <c:pt idx="470">
                  <c:v>3</c:v>
                </c:pt>
                <c:pt idx="471">
                  <c:v>4</c:v>
                </c:pt>
                <c:pt idx="472">
                  <c:v>3</c:v>
                </c:pt>
                <c:pt idx="473">
                  <c:v>2</c:v>
                </c:pt>
                <c:pt idx="474">
                  <c:v>3</c:v>
                </c:pt>
                <c:pt idx="475">
                  <c:v>4</c:v>
                </c:pt>
                <c:pt idx="476">
                  <c:v>3</c:v>
                </c:pt>
                <c:pt idx="477">
                  <c:v>3</c:v>
                </c:pt>
                <c:pt idx="478">
                  <c:v>2</c:v>
                </c:pt>
                <c:pt idx="479">
                  <c:v>3</c:v>
                </c:pt>
                <c:pt idx="480">
                  <c:v>3</c:v>
                </c:pt>
                <c:pt idx="481">
                  <c:v>3</c:v>
                </c:pt>
                <c:pt idx="482">
                  <c:v>3</c:v>
                </c:pt>
                <c:pt idx="483">
                  <c:v>3</c:v>
                </c:pt>
                <c:pt idx="484">
                  <c:v>3</c:v>
                </c:pt>
                <c:pt idx="485">
                  <c:v>3</c:v>
                </c:pt>
                <c:pt idx="486">
                  <c:v>3</c:v>
                </c:pt>
                <c:pt idx="487">
                  <c:v>3</c:v>
                </c:pt>
                <c:pt idx="488">
                  <c:v>4</c:v>
                </c:pt>
                <c:pt idx="489">
                  <c:v>3</c:v>
                </c:pt>
                <c:pt idx="490">
                  <c:v>3</c:v>
                </c:pt>
                <c:pt idx="491">
                  <c:v>3</c:v>
                </c:pt>
                <c:pt idx="492">
                  <c:v>4</c:v>
                </c:pt>
                <c:pt idx="493">
                  <c:v>3</c:v>
                </c:pt>
                <c:pt idx="494">
                  <c:v>4</c:v>
                </c:pt>
                <c:pt idx="495">
                  <c:v>4</c:v>
                </c:pt>
                <c:pt idx="496">
                  <c:v>4</c:v>
                </c:pt>
                <c:pt idx="497">
                  <c:v>3</c:v>
                </c:pt>
                <c:pt idx="498">
                  <c:v>3</c:v>
                </c:pt>
                <c:pt idx="499">
                  <c:v>3</c:v>
                </c:pt>
                <c:pt idx="500">
                  <c:v>3</c:v>
                </c:pt>
                <c:pt idx="501">
                  <c:v>3</c:v>
                </c:pt>
                <c:pt idx="502">
                  <c:v>3</c:v>
                </c:pt>
                <c:pt idx="503">
                  <c:v>3</c:v>
                </c:pt>
                <c:pt idx="504">
                  <c:v>3</c:v>
                </c:pt>
                <c:pt idx="505">
                  <c:v>3</c:v>
                </c:pt>
                <c:pt idx="506">
                  <c:v>3</c:v>
                </c:pt>
                <c:pt idx="507">
                  <c:v>3</c:v>
                </c:pt>
                <c:pt idx="508">
                  <c:v>3</c:v>
                </c:pt>
                <c:pt idx="509">
                  <c:v>4</c:v>
                </c:pt>
                <c:pt idx="510">
                  <c:v>3</c:v>
                </c:pt>
                <c:pt idx="511">
                  <c:v>3</c:v>
                </c:pt>
                <c:pt idx="512">
                  <c:v>3</c:v>
                </c:pt>
                <c:pt idx="513">
                  <c:v>4</c:v>
                </c:pt>
                <c:pt idx="514">
                  <c:v>3</c:v>
                </c:pt>
                <c:pt idx="515">
                  <c:v>3</c:v>
                </c:pt>
                <c:pt idx="516">
                  <c:v>3</c:v>
                </c:pt>
                <c:pt idx="517">
                  <c:v>3</c:v>
                </c:pt>
                <c:pt idx="518">
                  <c:v>3</c:v>
                </c:pt>
                <c:pt idx="519">
                  <c:v>3</c:v>
                </c:pt>
                <c:pt idx="520">
                  <c:v>3</c:v>
                </c:pt>
                <c:pt idx="521">
                  <c:v>3</c:v>
                </c:pt>
                <c:pt idx="522">
                  <c:v>4</c:v>
                </c:pt>
                <c:pt idx="523">
                  <c:v>4</c:v>
                </c:pt>
                <c:pt idx="524">
                  <c:v>3</c:v>
                </c:pt>
                <c:pt idx="525">
                  <c:v>3</c:v>
                </c:pt>
                <c:pt idx="526">
                  <c:v>3</c:v>
                </c:pt>
                <c:pt idx="527">
                  <c:v>3</c:v>
                </c:pt>
                <c:pt idx="528">
                  <c:v>4</c:v>
                </c:pt>
                <c:pt idx="529">
                  <c:v>4</c:v>
                </c:pt>
                <c:pt idx="530">
                  <c:v>3</c:v>
                </c:pt>
                <c:pt idx="531">
                  <c:v>3</c:v>
                </c:pt>
                <c:pt idx="532">
                  <c:v>3</c:v>
                </c:pt>
                <c:pt idx="533">
                  <c:v>4</c:v>
                </c:pt>
                <c:pt idx="534">
                  <c:v>4</c:v>
                </c:pt>
                <c:pt idx="535">
                  <c:v>3</c:v>
                </c:pt>
                <c:pt idx="536">
                  <c:v>3</c:v>
                </c:pt>
                <c:pt idx="537">
                  <c:v>3</c:v>
                </c:pt>
                <c:pt idx="538">
                  <c:v>4</c:v>
                </c:pt>
                <c:pt idx="539">
                  <c:v>4</c:v>
                </c:pt>
                <c:pt idx="540">
                  <c:v>3</c:v>
                </c:pt>
                <c:pt idx="541">
                  <c:v>4</c:v>
                </c:pt>
                <c:pt idx="542">
                  <c:v>3</c:v>
                </c:pt>
                <c:pt idx="543">
                  <c:v>4</c:v>
                </c:pt>
                <c:pt idx="544">
                  <c:v>4</c:v>
                </c:pt>
                <c:pt idx="545">
                  <c:v>3</c:v>
                </c:pt>
                <c:pt idx="546">
                  <c:v>3</c:v>
                </c:pt>
                <c:pt idx="547">
                  <c:v>3</c:v>
                </c:pt>
                <c:pt idx="548">
                  <c:v>3</c:v>
                </c:pt>
                <c:pt idx="549">
                  <c:v>3</c:v>
                </c:pt>
                <c:pt idx="550">
                  <c:v>4</c:v>
                </c:pt>
                <c:pt idx="551">
                  <c:v>4</c:v>
                </c:pt>
                <c:pt idx="552">
                  <c:v>3</c:v>
                </c:pt>
                <c:pt idx="553">
                  <c:v>3</c:v>
                </c:pt>
                <c:pt idx="554">
                  <c:v>3</c:v>
                </c:pt>
                <c:pt idx="555">
                  <c:v>3</c:v>
                </c:pt>
                <c:pt idx="556">
                  <c:v>3</c:v>
                </c:pt>
                <c:pt idx="557">
                  <c:v>4</c:v>
                </c:pt>
                <c:pt idx="558">
                  <c:v>4</c:v>
                </c:pt>
                <c:pt idx="559">
                  <c:v>3</c:v>
                </c:pt>
                <c:pt idx="560">
                  <c:v>3</c:v>
                </c:pt>
                <c:pt idx="561">
                  <c:v>3</c:v>
                </c:pt>
                <c:pt idx="562">
                  <c:v>3</c:v>
                </c:pt>
                <c:pt idx="563">
                  <c:v>3</c:v>
                </c:pt>
                <c:pt idx="564">
                  <c:v>3</c:v>
                </c:pt>
                <c:pt idx="565">
                  <c:v>3</c:v>
                </c:pt>
                <c:pt idx="566">
                  <c:v>3</c:v>
                </c:pt>
                <c:pt idx="567">
                  <c:v>3</c:v>
                </c:pt>
                <c:pt idx="568">
                  <c:v>4</c:v>
                </c:pt>
                <c:pt idx="569">
                  <c:v>3</c:v>
                </c:pt>
                <c:pt idx="570">
                  <c:v>3</c:v>
                </c:pt>
                <c:pt idx="571">
                  <c:v>4</c:v>
                </c:pt>
                <c:pt idx="572">
                  <c:v>4</c:v>
                </c:pt>
                <c:pt idx="573">
                  <c:v>4</c:v>
                </c:pt>
                <c:pt idx="574">
                  <c:v>3</c:v>
                </c:pt>
                <c:pt idx="575">
                  <c:v>3</c:v>
                </c:pt>
                <c:pt idx="576">
                  <c:v>2</c:v>
                </c:pt>
                <c:pt idx="577">
                  <c:v>4</c:v>
                </c:pt>
                <c:pt idx="578">
                  <c:v>3</c:v>
                </c:pt>
                <c:pt idx="579">
                  <c:v>4</c:v>
                </c:pt>
                <c:pt idx="580">
                  <c:v>3</c:v>
                </c:pt>
                <c:pt idx="581">
                  <c:v>3</c:v>
                </c:pt>
                <c:pt idx="582">
                  <c:v>2</c:v>
                </c:pt>
                <c:pt idx="583">
                  <c:v>3</c:v>
                </c:pt>
                <c:pt idx="584">
                  <c:v>3</c:v>
                </c:pt>
                <c:pt idx="585">
                  <c:v>3</c:v>
                </c:pt>
                <c:pt idx="586">
                  <c:v>3</c:v>
                </c:pt>
                <c:pt idx="587">
                  <c:v>3</c:v>
                </c:pt>
                <c:pt idx="588">
                  <c:v>3</c:v>
                </c:pt>
                <c:pt idx="589">
                  <c:v>4</c:v>
                </c:pt>
                <c:pt idx="590">
                  <c:v>4</c:v>
                </c:pt>
                <c:pt idx="591">
                  <c:v>4</c:v>
                </c:pt>
                <c:pt idx="592">
                  <c:v>3</c:v>
                </c:pt>
                <c:pt idx="593">
                  <c:v>4</c:v>
                </c:pt>
                <c:pt idx="594">
                  <c:v>3</c:v>
                </c:pt>
                <c:pt idx="595">
                  <c:v>3</c:v>
                </c:pt>
                <c:pt idx="596">
                  <c:v>3</c:v>
                </c:pt>
                <c:pt idx="597">
                  <c:v>4</c:v>
                </c:pt>
                <c:pt idx="598">
                  <c:v>3</c:v>
                </c:pt>
                <c:pt idx="599">
                  <c:v>3</c:v>
                </c:pt>
                <c:pt idx="600">
                  <c:v>3</c:v>
                </c:pt>
                <c:pt idx="601">
                  <c:v>3</c:v>
                </c:pt>
                <c:pt idx="602">
                  <c:v>3</c:v>
                </c:pt>
                <c:pt idx="603">
                  <c:v>3</c:v>
                </c:pt>
                <c:pt idx="604">
                  <c:v>3</c:v>
                </c:pt>
                <c:pt idx="605">
                  <c:v>3</c:v>
                </c:pt>
                <c:pt idx="606">
                  <c:v>3</c:v>
                </c:pt>
                <c:pt idx="607">
                  <c:v>3</c:v>
                </c:pt>
                <c:pt idx="608">
                  <c:v>3</c:v>
                </c:pt>
                <c:pt idx="609">
                  <c:v>3</c:v>
                </c:pt>
                <c:pt idx="610">
                  <c:v>4</c:v>
                </c:pt>
                <c:pt idx="611">
                  <c:v>4</c:v>
                </c:pt>
                <c:pt idx="612">
                  <c:v>3</c:v>
                </c:pt>
                <c:pt idx="613">
                  <c:v>3</c:v>
                </c:pt>
                <c:pt idx="614">
                  <c:v>3</c:v>
                </c:pt>
                <c:pt idx="615">
                  <c:v>3</c:v>
                </c:pt>
                <c:pt idx="616">
                  <c:v>3</c:v>
                </c:pt>
                <c:pt idx="617">
                  <c:v>3</c:v>
                </c:pt>
                <c:pt idx="618">
                  <c:v>4</c:v>
                </c:pt>
                <c:pt idx="619">
                  <c:v>3</c:v>
                </c:pt>
                <c:pt idx="620">
                  <c:v>3</c:v>
                </c:pt>
                <c:pt idx="621">
                  <c:v>3</c:v>
                </c:pt>
                <c:pt idx="622">
                  <c:v>4</c:v>
                </c:pt>
                <c:pt idx="623">
                  <c:v>4</c:v>
                </c:pt>
                <c:pt idx="624">
                  <c:v>3</c:v>
                </c:pt>
                <c:pt idx="625">
                  <c:v>3</c:v>
                </c:pt>
                <c:pt idx="626">
                  <c:v>4</c:v>
                </c:pt>
                <c:pt idx="627">
                  <c:v>3</c:v>
                </c:pt>
                <c:pt idx="628">
                  <c:v>4</c:v>
                </c:pt>
                <c:pt idx="629">
                  <c:v>3</c:v>
                </c:pt>
                <c:pt idx="630">
                  <c:v>4</c:v>
                </c:pt>
                <c:pt idx="631">
                  <c:v>3</c:v>
                </c:pt>
                <c:pt idx="632">
                  <c:v>3</c:v>
                </c:pt>
                <c:pt idx="633">
                  <c:v>4</c:v>
                </c:pt>
                <c:pt idx="634">
                  <c:v>3</c:v>
                </c:pt>
                <c:pt idx="635">
                  <c:v>4</c:v>
                </c:pt>
                <c:pt idx="636">
                  <c:v>3</c:v>
                </c:pt>
                <c:pt idx="637">
                  <c:v>1</c:v>
                </c:pt>
                <c:pt idx="638">
                  <c:v>4</c:v>
                </c:pt>
                <c:pt idx="639">
                  <c:v>3</c:v>
                </c:pt>
                <c:pt idx="640">
                  <c:v>3</c:v>
                </c:pt>
                <c:pt idx="641">
                  <c:v>3</c:v>
                </c:pt>
                <c:pt idx="642">
                  <c:v>3</c:v>
                </c:pt>
                <c:pt idx="643">
                  <c:v>3</c:v>
                </c:pt>
                <c:pt idx="644">
                  <c:v>3</c:v>
                </c:pt>
                <c:pt idx="645">
                  <c:v>4</c:v>
                </c:pt>
                <c:pt idx="646">
                  <c:v>3</c:v>
                </c:pt>
                <c:pt idx="647">
                  <c:v>3</c:v>
                </c:pt>
                <c:pt idx="648">
                  <c:v>4</c:v>
                </c:pt>
                <c:pt idx="649">
                  <c:v>4</c:v>
                </c:pt>
                <c:pt idx="650">
                  <c:v>3</c:v>
                </c:pt>
                <c:pt idx="651">
                  <c:v>3</c:v>
                </c:pt>
                <c:pt idx="652">
                  <c:v>3</c:v>
                </c:pt>
                <c:pt idx="653">
                  <c:v>3</c:v>
                </c:pt>
                <c:pt idx="654">
                  <c:v>3</c:v>
                </c:pt>
                <c:pt idx="655">
                  <c:v>4</c:v>
                </c:pt>
                <c:pt idx="656">
                  <c:v>3</c:v>
                </c:pt>
                <c:pt idx="657">
                  <c:v>4</c:v>
                </c:pt>
                <c:pt idx="658">
                  <c:v>3</c:v>
                </c:pt>
                <c:pt idx="659">
                  <c:v>2</c:v>
                </c:pt>
                <c:pt idx="660">
                  <c:v>3</c:v>
                </c:pt>
                <c:pt idx="661">
                  <c:v>4</c:v>
                </c:pt>
                <c:pt idx="662">
                  <c:v>4</c:v>
                </c:pt>
                <c:pt idx="663">
                  <c:v>3</c:v>
                </c:pt>
                <c:pt idx="664">
                  <c:v>3</c:v>
                </c:pt>
                <c:pt idx="665">
                  <c:v>3</c:v>
                </c:pt>
                <c:pt idx="666">
                  <c:v>3</c:v>
                </c:pt>
                <c:pt idx="667">
                  <c:v>4</c:v>
                </c:pt>
                <c:pt idx="668">
                  <c:v>3</c:v>
                </c:pt>
                <c:pt idx="669">
                  <c:v>4</c:v>
                </c:pt>
                <c:pt idx="670">
                  <c:v>4</c:v>
                </c:pt>
                <c:pt idx="671">
                  <c:v>3</c:v>
                </c:pt>
                <c:pt idx="672">
                  <c:v>3</c:v>
                </c:pt>
                <c:pt idx="673">
                  <c:v>3</c:v>
                </c:pt>
                <c:pt idx="674">
                  <c:v>3</c:v>
                </c:pt>
                <c:pt idx="675">
                  <c:v>4</c:v>
                </c:pt>
                <c:pt idx="676">
                  <c:v>2</c:v>
                </c:pt>
                <c:pt idx="677">
                  <c:v>3</c:v>
                </c:pt>
                <c:pt idx="678">
                  <c:v>3</c:v>
                </c:pt>
                <c:pt idx="679">
                  <c:v>4</c:v>
                </c:pt>
                <c:pt idx="680">
                  <c:v>3</c:v>
                </c:pt>
                <c:pt idx="681">
                  <c:v>3</c:v>
                </c:pt>
                <c:pt idx="682">
                  <c:v>2</c:v>
                </c:pt>
                <c:pt idx="683">
                  <c:v>2</c:v>
                </c:pt>
                <c:pt idx="684">
                  <c:v>4</c:v>
                </c:pt>
                <c:pt idx="685">
                  <c:v>3</c:v>
                </c:pt>
                <c:pt idx="686">
                  <c:v>3</c:v>
                </c:pt>
                <c:pt idx="687">
                  <c:v>3</c:v>
                </c:pt>
                <c:pt idx="688">
                  <c:v>4</c:v>
                </c:pt>
                <c:pt idx="689">
                  <c:v>3</c:v>
                </c:pt>
                <c:pt idx="690">
                  <c:v>4</c:v>
                </c:pt>
                <c:pt idx="691">
                  <c:v>3</c:v>
                </c:pt>
                <c:pt idx="692">
                  <c:v>3</c:v>
                </c:pt>
                <c:pt idx="693">
                  <c:v>3</c:v>
                </c:pt>
                <c:pt idx="694">
                  <c:v>3</c:v>
                </c:pt>
                <c:pt idx="695">
                  <c:v>3</c:v>
                </c:pt>
                <c:pt idx="696">
                  <c:v>3</c:v>
                </c:pt>
                <c:pt idx="697">
                  <c:v>3</c:v>
                </c:pt>
                <c:pt idx="698">
                  <c:v>3</c:v>
                </c:pt>
                <c:pt idx="699">
                  <c:v>3</c:v>
                </c:pt>
                <c:pt idx="700">
                  <c:v>4</c:v>
                </c:pt>
                <c:pt idx="701">
                  <c:v>4</c:v>
                </c:pt>
                <c:pt idx="702">
                  <c:v>3</c:v>
                </c:pt>
                <c:pt idx="703">
                  <c:v>3</c:v>
                </c:pt>
                <c:pt idx="704">
                  <c:v>3</c:v>
                </c:pt>
                <c:pt idx="705">
                  <c:v>3</c:v>
                </c:pt>
                <c:pt idx="706">
                  <c:v>3</c:v>
                </c:pt>
                <c:pt idx="707">
                  <c:v>3</c:v>
                </c:pt>
                <c:pt idx="708">
                  <c:v>3</c:v>
                </c:pt>
                <c:pt idx="709">
                  <c:v>4</c:v>
                </c:pt>
                <c:pt idx="710">
                  <c:v>3</c:v>
                </c:pt>
                <c:pt idx="711">
                  <c:v>3</c:v>
                </c:pt>
                <c:pt idx="712">
                  <c:v>3</c:v>
                </c:pt>
                <c:pt idx="713">
                  <c:v>4</c:v>
                </c:pt>
                <c:pt idx="714">
                  <c:v>3</c:v>
                </c:pt>
                <c:pt idx="715">
                  <c:v>3</c:v>
                </c:pt>
                <c:pt idx="716">
                  <c:v>3</c:v>
                </c:pt>
                <c:pt idx="717">
                  <c:v>3</c:v>
                </c:pt>
                <c:pt idx="718">
                  <c:v>3</c:v>
                </c:pt>
                <c:pt idx="719">
                  <c:v>3</c:v>
                </c:pt>
                <c:pt idx="720">
                  <c:v>4</c:v>
                </c:pt>
                <c:pt idx="721">
                  <c:v>3</c:v>
                </c:pt>
                <c:pt idx="722">
                  <c:v>4</c:v>
                </c:pt>
                <c:pt idx="723">
                  <c:v>4</c:v>
                </c:pt>
                <c:pt idx="724">
                  <c:v>3</c:v>
                </c:pt>
                <c:pt idx="725">
                  <c:v>3</c:v>
                </c:pt>
                <c:pt idx="726">
                  <c:v>3</c:v>
                </c:pt>
                <c:pt idx="727">
                  <c:v>3</c:v>
                </c:pt>
                <c:pt idx="728">
                  <c:v>1</c:v>
                </c:pt>
                <c:pt idx="729">
                  <c:v>3</c:v>
                </c:pt>
                <c:pt idx="730">
                  <c:v>3</c:v>
                </c:pt>
                <c:pt idx="731">
                  <c:v>3</c:v>
                </c:pt>
                <c:pt idx="732">
                  <c:v>3</c:v>
                </c:pt>
                <c:pt idx="733">
                  <c:v>3</c:v>
                </c:pt>
                <c:pt idx="734">
                  <c:v>4</c:v>
                </c:pt>
                <c:pt idx="735">
                  <c:v>3</c:v>
                </c:pt>
                <c:pt idx="736">
                  <c:v>3</c:v>
                </c:pt>
                <c:pt idx="737">
                  <c:v>3</c:v>
                </c:pt>
                <c:pt idx="738">
                  <c:v>3</c:v>
                </c:pt>
                <c:pt idx="739">
                  <c:v>3</c:v>
                </c:pt>
                <c:pt idx="740">
                  <c:v>3</c:v>
                </c:pt>
                <c:pt idx="741">
                  <c:v>4</c:v>
                </c:pt>
                <c:pt idx="742">
                  <c:v>4</c:v>
                </c:pt>
                <c:pt idx="743">
                  <c:v>3</c:v>
                </c:pt>
                <c:pt idx="744">
                  <c:v>3</c:v>
                </c:pt>
                <c:pt idx="745">
                  <c:v>3</c:v>
                </c:pt>
                <c:pt idx="746">
                  <c:v>3</c:v>
                </c:pt>
                <c:pt idx="747">
                  <c:v>3</c:v>
                </c:pt>
                <c:pt idx="748">
                  <c:v>3</c:v>
                </c:pt>
                <c:pt idx="749">
                  <c:v>3</c:v>
                </c:pt>
                <c:pt idx="750">
                  <c:v>4</c:v>
                </c:pt>
                <c:pt idx="751">
                  <c:v>3</c:v>
                </c:pt>
                <c:pt idx="752">
                  <c:v>3</c:v>
                </c:pt>
                <c:pt idx="753">
                  <c:v>3</c:v>
                </c:pt>
                <c:pt idx="754">
                  <c:v>3</c:v>
                </c:pt>
                <c:pt idx="755">
                  <c:v>4</c:v>
                </c:pt>
                <c:pt idx="756">
                  <c:v>3</c:v>
                </c:pt>
                <c:pt idx="757">
                  <c:v>4</c:v>
                </c:pt>
                <c:pt idx="758">
                  <c:v>3</c:v>
                </c:pt>
                <c:pt idx="759">
                  <c:v>4</c:v>
                </c:pt>
                <c:pt idx="760">
                  <c:v>4</c:v>
                </c:pt>
                <c:pt idx="761">
                  <c:v>4</c:v>
                </c:pt>
                <c:pt idx="762">
                  <c:v>3</c:v>
                </c:pt>
                <c:pt idx="763">
                  <c:v>3</c:v>
                </c:pt>
                <c:pt idx="764">
                  <c:v>4</c:v>
                </c:pt>
                <c:pt idx="765">
                  <c:v>4</c:v>
                </c:pt>
                <c:pt idx="766">
                  <c:v>4</c:v>
                </c:pt>
                <c:pt idx="767">
                  <c:v>3</c:v>
                </c:pt>
                <c:pt idx="768">
                  <c:v>3</c:v>
                </c:pt>
                <c:pt idx="769">
                  <c:v>3</c:v>
                </c:pt>
                <c:pt idx="770">
                  <c:v>3</c:v>
                </c:pt>
                <c:pt idx="771">
                  <c:v>3</c:v>
                </c:pt>
                <c:pt idx="772">
                  <c:v>3</c:v>
                </c:pt>
                <c:pt idx="773">
                  <c:v>3</c:v>
                </c:pt>
                <c:pt idx="774">
                  <c:v>2</c:v>
                </c:pt>
                <c:pt idx="775">
                  <c:v>4</c:v>
                </c:pt>
                <c:pt idx="776">
                  <c:v>3</c:v>
                </c:pt>
                <c:pt idx="777">
                  <c:v>2</c:v>
                </c:pt>
                <c:pt idx="778">
                  <c:v>3</c:v>
                </c:pt>
                <c:pt idx="779">
                  <c:v>3</c:v>
                </c:pt>
                <c:pt idx="780">
                  <c:v>4</c:v>
                </c:pt>
                <c:pt idx="781">
                  <c:v>3</c:v>
                </c:pt>
                <c:pt idx="782">
                  <c:v>3</c:v>
                </c:pt>
                <c:pt idx="783">
                  <c:v>4</c:v>
                </c:pt>
                <c:pt idx="784">
                  <c:v>3</c:v>
                </c:pt>
                <c:pt idx="785">
                  <c:v>4</c:v>
                </c:pt>
                <c:pt idx="786">
                  <c:v>3</c:v>
                </c:pt>
                <c:pt idx="787">
                  <c:v>3</c:v>
                </c:pt>
                <c:pt idx="788">
                  <c:v>3</c:v>
                </c:pt>
                <c:pt idx="789">
                  <c:v>3</c:v>
                </c:pt>
                <c:pt idx="790">
                  <c:v>3</c:v>
                </c:pt>
                <c:pt idx="791">
                  <c:v>3</c:v>
                </c:pt>
                <c:pt idx="792">
                  <c:v>3</c:v>
                </c:pt>
                <c:pt idx="793">
                  <c:v>3</c:v>
                </c:pt>
                <c:pt idx="794">
                  <c:v>3</c:v>
                </c:pt>
                <c:pt idx="795">
                  <c:v>4</c:v>
                </c:pt>
                <c:pt idx="796">
                  <c:v>3</c:v>
                </c:pt>
                <c:pt idx="797">
                  <c:v>3</c:v>
                </c:pt>
                <c:pt idx="798">
                  <c:v>1</c:v>
                </c:pt>
                <c:pt idx="799">
                  <c:v>3</c:v>
                </c:pt>
                <c:pt idx="800">
                  <c:v>3</c:v>
                </c:pt>
                <c:pt idx="801">
                  <c:v>3</c:v>
                </c:pt>
                <c:pt idx="802">
                  <c:v>4</c:v>
                </c:pt>
                <c:pt idx="803">
                  <c:v>3</c:v>
                </c:pt>
                <c:pt idx="804">
                  <c:v>3</c:v>
                </c:pt>
                <c:pt idx="805">
                  <c:v>3</c:v>
                </c:pt>
                <c:pt idx="806">
                  <c:v>3</c:v>
                </c:pt>
                <c:pt idx="807">
                  <c:v>4</c:v>
                </c:pt>
                <c:pt idx="808">
                  <c:v>2</c:v>
                </c:pt>
                <c:pt idx="809">
                  <c:v>3</c:v>
                </c:pt>
                <c:pt idx="810">
                  <c:v>3</c:v>
                </c:pt>
                <c:pt idx="811">
                  <c:v>3</c:v>
                </c:pt>
                <c:pt idx="812">
                  <c:v>3</c:v>
                </c:pt>
                <c:pt idx="813">
                  <c:v>3</c:v>
                </c:pt>
                <c:pt idx="814">
                  <c:v>3</c:v>
                </c:pt>
                <c:pt idx="815">
                  <c:v>3</c:v>
                </c:pt>
                <c:pt idx="816">
                  <c:v>3</c:v>
                </c:pt>
                <c:pt idx="817">
                  <c:v>3</c:v>
                </c:pt>
                <c:pt idx="818">
                  <c:v>3</c:v>
                </c:pt>
                <c:pt idx="819">
                  <c:v>3</c:v>
                </c:pt>
                <c:pt idx="820">
                  <c:v>4</c:v>
                </c:pt>
                <c:pt idx="821">
                  <c:v>3</c:v>
                </c:pt>
                <c:pt idx="822">
                  <c:v>3</c:v>
                </c:pt>
                <c:pt idx="823">
                  <c:v>4</c:v>
                </c:pt>
                <c:pt idx="824">
                  <c:v>3</c:v>
                </c:pt>
                <c:pt idx="825">
                  <c:v>4</c:v>
                </c:pt>
                <c:pt idx="826">
                  <c:v>4</c:v>
                </c:pt>
                <c:pt idx="827">
                  <c:v>3</c:v>
                </c:pt>
                <c:pt idx="828">
                  <c:v>4</c:v>
                </c:pt>
                <c:pt idx="829">
                  <c:v>3</c:v>
                </c:pt>
                <c:pt idx="830">
                  <c:v>4</c:v>
                </c:pt>
                <c:pt idx="831">
                  <c:v>2</c:v>
                </c:pt>
                <c:pt idx="832">
                  <c:v>4</c:v>
                </c:pt>
                <c:pt idx="833">
                  <c:v>3</c:v>
                </c:pt>
                <c:pt idx="834">
                  <c:v>3</c:v>
                </c:pt>
                <c:pt idx="835">
                  <c:v>3</c:v>
                </c:pt>
                <c:pt idx="836">
                  <c:v>3</c:v>
                </c:pt>
                <c:pt idx="837">
                  <c:v>4</c:v>
                </c:pt>
                <c:pt idx="838">
                  <c:v>3</c:v>
                </c:pt>
                <c:pt idx="839">
                  <c:v>3</c:v>
                </c:pt>
                <c:pt idx="840">
                  <c:v>3</c:v>
                </c:pt>
                <c:pt idx="841">
                  <c:v>2</c:v>
                </c:pt>
                <c:pt idx="842">
                  <c:v>3</c:v>
                </c:pt>
                <c:pt idx="843">
                  <c:v>4</c:v>
                </c:pt>
                <c:pt idx="844">
                  <c:v>3</c:v>
                </c:pt>
                <c:pt idx="845">
                  <c:v>4</c:v>
                </c:pt>
                <c:pt idx="846">
                  <c:v>4</c:v>
                </c:pt>
                <c:pt idx="847">
                  <c:v>4</c:v>
                </c:pt>
                <c:pt idx="848">
                  <c:v>3</c:v>
                </c:pt>
                <c:pt idx="849">
                  <c:v>4</c:v>
                </c:pt>
                <c:pt idx="850">
                  <c:v>4</c:v>
                </c:pt>
                <c:pt idx="851">
                  <c:v>3</c:v>
                </c:pt>
                <c:pt idx="852">
                  <c:v>3</c:v>
                </c:pt>
                <c:pt idx="853">
                  <c:v>4</c:v>
                </c:pt>
                <c:pt idx="854">
                  <c:v>3</c:v>
                </c:pt>
                <c:pt idx="855">
                  <c:v>4</c:v>
                </c:pt>
                <c:pt idx="856">
                  <c:v>3</c:v>
                </c:pt>
                <c:pt idx="857">
                  <c:v>3</c:v>
                </c:pt>
                <c:pt idx="858">
                  <c:v>3</c:v>
                </c:pt>
                <c:pt idx="859">
                  <c:v>3</c:v>
                </c:pt>
                <c:pt idx="860">
                  <c:v>3</c:v>
                </c:pt>
                <c:pt idx="861">
                  <c:v>3</c:v>
                </c:pt>
                <c:pt idx="862">
                  <c:v>3</c:v>
                </c:pt>
                <c:pt idx="863">
                  <c:v>3</c:v>
                </c:pt>
                <c:pt idx="864">
                  <c:v>3</c:v>
                </c:pt>
                <c:pt idx="865">
                  <c:v>2</c:v>
                </c:pt>
                <c:pt idx="866">
                  <c:v>3</c:v>
                </c:pt>
                <c:pt idx="867">
                  <c:v>3</c:v>
                </c:pt>
                <c:pt idx="868">
                  <c:v>3</c:v>
                </c:pt>
                <c:pt idx="869">
                  <c:v>3</c:v>
                </c:pt>
                <c:pt idx="870">
                  <c:v>3</c:v>
                </c:pt>
                <c:pt idx="871">
                  <c:v>3</c:v>
                </c:pt>
                <c:pt idx="872">
                  <c:v>3</c:v>
                </c:pt>
                <c:pt idx="873">
                  <c:v>4</c:v>
                </c:pt>
                <c:pt idx="874">
                  <c:v>2</c:v>
                </c:pt>
                <c:pt idx="875">
                  <c:v>3</c:v>
                </c:pt>
                <c:pt idx="876">
                  <c:v>3</c:v>
                </c:pt>
                <c:pt idx="877">
                  <c:v>3</c:v>
                </c:pt>
                <c:pt idx="878">
                  <c:v>4</c:v>
                </c:pt>
                <c:pt idx="879">
                  <c:v>3</c:v>
                </c:pt>
                <c:pt idx="880">
                  <c:v>3</c:v>
                </c:pt>
                <c:pt idx="881">
                  <c:v>2</c:v>
                </c:pt>
                <c:pt idx="882">
                  <c:v>3</c:v>
                </c:pt>
                <c:pt idx="883">
                  <c:v>3</c:v>
                </c:pt>
                <c:pt idx="884">
                  <c:v>3</c:v>
                </c:pt>
                <c:pt idx="885">
                  <c:v>4</c:v>
                </c:pt>
                <c:pt idx="886">
                  <c:v>3</c:v>
                </c:pt>
                <c:pt idx="887">
                  <c:v>4</c:v>
                </c:pt>
                <c:pt idx="888">
                  <c:v>3</c:v>
                </c:pt>
                <c:pt idx="889">
                  <c:v>3</c:v>
                </c:pt>
                <c:pt idx="890">
                  <c:v>4</c:v>
                </c:pt>
                <c:pt idx="891">
                  <c:v>3</c:v>
                </c:pt>
                <c:pt idx="892">
                  <c:v>3</c:v>
                </c:pt>
                <c:pt idx="893">
                  <c:v>3</c:v>
                </c:pt>
                <c:pt idx="894">
                  <c:v>3</c:v>
                </c:pt>
                <c:pt idx="895">
                  <c:v>3</c:v>
                </c:pt>
                <c:pt idx="896">
                  <c:v>3</c:v>
                </c:pt>
                <c:pt idx="897">
                  <c:v>3</c:v>
                </c:pt>
                <c:pt idx="898">
                  <c:v>3</c:v>
                </c:pt>
                <c:pt idx="899">
                  <c:v>3</c:v>
                </c:pt>
                <c:pt idx="900">
                  <c:v>2</c:v>
                </c:pt>
                <c:pt idx="901">
                  <c:v>3</c:v>
                </c:pt>
                <c:pt idx="902">
                  <c:v>4</c:v>
                </c:pt>
                <c:pt idx="903">
                  <c:v>3</c:v>
                </c:pt>
                <c:pt idx="904">
                  <c:v>4</c:v>
                </c:pt>
                <c:pt idx="905">
                  <c:v>3</c:v>
                </c:pt>
                <c:pt idx="906">
                  <c:v>3</c:v>
                </c:pt>
                <c:pt idx="907">
                  <c:v>3</c:v>
                </c:pt>
                <c:pt idx="908">
                  <c:v>3</c:v>
                </c:pt>
                <c:pt idx="909">
                  <c:v>3</c:v>
                </c:pt>
                <c:pt idx="910">
                  <c:v>4</c:v>
                </c:pt>
                <c:pt idx="911">
                  <c:v>3</c:v>
                </c:pt>
                <c:pt idx="912">
                  <c:v>3</c:v>
                </c:pt>
                <c:pt idx="913">
                  <c:v>3</c:v>
                </c:pt>
                <c:pt idx="914">
                  <c:v>3</c:v>
                </c:pt>
                <c:pt idx="915">
                  <c:v>4</c:v>
                </c:pt>
                <c:pt idx="916">
                  <c:v>4</c:v>
                </c:pt>
                <c:pt idx="917">
                  <c:v>3</c:v>
                </c:pt>
                <c:pt idx="918">
                  <c:v>3</c:v>
                </c:pt>
                <c:pt idx="919">
                  <c:v>3</c:v>
                </c:pt>
                <c:pt idx="920">
                  <c:v>3</c:v>
                </c:pt>
                <c:pt idx="921">
                  <c:v>3</c:v>
                </c:pt>
                <c:pt idx="922">
                  <c:v>3</c:v>
                </c:pt>
                <c:pt idx="923">
                  <c:v>3</c:v>
                </c:pt>
                <c:pt idx="924">
                  <c:v>3</c:v>
                </c:pt>
                <c:pt idx="925">
                  <c:v>3</c:v>
                </c:pt>
                <c:pt idx="926">
                  <c:v>3</c:v>
                </c:pt>
                <c:pt idx="927">
                  <c:v>3</c:v>
                </c:pt>
                <c:pt idx="928">
                  <c:v>3</c:v>
                </c:pt>
                <c:pt idx="929">
                  <c:v>3</c:v>
                </c:pt>
                <c:pt idx="930">
                  <c:v>3</c:v>
                </c:pt>
                <c:pt idx="931">
                  <c:v>2</c:v>
                </c:pt>
                <c:pt idx="932">
                  <c:v>4</c:v>
                </c:pt>
                <c:pt idx="933">
                  <c:v>3</c:v>
                </c:pt>
                <c:pt idx="934">
                  <c:v>3</c:v>
                </c:pt>
                <c:pt idx="935">
                  <c:v>3</c:v>
                </c:pt>
                <c:pt idx="936">
                  <c:v>4</c:v>
                </c:pt>
                <c:pt idx="937">
                  <c:v>3</c:v>
                </c:pt>
                <c:pt idx="938">
                  <c:v>2</c:v>
                </c:pt>
                <c:pt idx="939">
                  <c:v>3</c:v>
                </c:pt>
                <c:pt idx="940">
                  <c:v>3</c:v>
                </c:pt>
                <c:pt idx="941">
                  <c:v>3</c:v>
                </c:pt>
                <c:pt idx="942">
                  <c:v>3</c:v>
                </c:pt>
                <c:pt idx="943">
                  <c:v>4</c:v>
                </c:pt>
                <c:pt idx="944">
                  <c:v>3</c:v>
                </c:pt>
                <c:pt idx="945">
                  <c:v>1</c:v>
                </c:pt>
                <c:pt idx="946">
                  <c:v>4</c:v>
                </c:pt>
                <c:pt idx="947">
                  <c:v>4</c:v>
                </c:pt>
                <c:pt idx="948">
                  <c:v>3</c:v>
                </c:pt>
                <c:pt idx="949">
                  <c:v>4</c:v>
                </c:pt>
                <c:pt idx="950">
                  <c:v>3</c:v>
                </c:pt>
                <c:pt idx="951">
                  <c:v>3</c:v>
                </c:pt>
                <c:pt idx="952">
                  <c:v>3</c:v>
                </c:pt>
                <c:pt idx="953">
                  <c:v>4</c:v>
                </c:pt>
                <c:pt idx="954">
                  <c:v>4</c:v>
                </c:pt>
                <c:pt idx="955">
                  <c:v>3</c:v>
                </c:pt>
                <c:pt idx="956">
                  <c:v>3</c:v>
                </c:pt>
                <c:pt idx="957">
                  <c:v>3</c:v>
                </c:pt>
                <c:pt idx="958">
                  <c:v>3</c:v>
                </c:pt>
                <c:pt idx="959">
                  <c:v>2</c:v>
                </c:pt>
                <c:pt idx="960">
                  <c:v>3</c:v>
                </c:pt>
                <c:pt idx="961">
                  <c:v>3</c:v>
                </c:pt>
                <c:pt idx="962">
                  <c:v>3</c:v>
                </c:pt>
                <c:pt idx="963">
                  <c:v>3</c:v>
                </c:pt>
                <c:pt idx="964">
                  <c:v>3</c:v>
                </c:pt>
                <c:pt idx="965">
                  <c:v>3</c:v>
                </c:pt>
                <c:pt idx="966">
                  <c:v>4</c:v>
                </c:pt>
                <c:pt idx="967">
                  <c:v>3</c:v>
                </c:pt>
                <c:pt idx="968">
                  <c:v>4</c:v>
                </c:pt>
                <c:pt idx="969">
                  <c:v>4</c:v>
                </c:pt>
                <c:pt idx="970">
                  <c:v>3</c:v>
                </c:pt>
                <c:pt idx="971">
                  <c:v>4</c:v>
                </c:pt>
                <c:pt idx="972">
                  <c:v>4</c:v>
                </c:pt>
                <c:pt idx="973">
                  <c:v>4</c:v>
                </c:pt>
                <c:pt idx="974">
                  <c:v>4</c:v>
                </c:pt>
                <c:pt idx="975">
                  <c:v>3</c:v>
                </c:pt>
                <c:pt idx="976">
                  <c:v>3</c:v>
                </c:pt>
                <c:pt idx="977">
                  <c:v>3</c:v>
                </c:pt>
                <c:pt idx="978">
                  <c:v>3</c:v>
                </c:pt>
                <c:pt idx="979">
                  <c:v>3</c:v>
                </c:pt>
                <c:pt idx="980">
                  <c:v>3</c:v>
                </c:pt>
                <c:pt idx="981">
                  <c:v>3</c:v>
                </c:pt>
                <c:pt idx="982">
                  <c:v>1</c:v>
                </c:pt>
                <c:pt idx="983">
                  <c:v>4</c:v>
                </c:pt>
                <c:pt idx="984">
                  <c:v>3</c:v>
                </c:pt>
                <c:pt idx="985">
                  <c:v>3</c:v>
                </c:pt>
                <c:pt idx="986">
                  <c:v>3</c:v>
                </c:pt>
                <c:pt idx="987">
                  <c:v>3</c:v>
                </c:pt>
                <c:pt idx="988">
                  <c:v>4</c:v>
                </c:pt>
                <c:pt idx="989">
                  <c:v>3</c:v>
                </c:pt>
                <c:pt idx="990">
                  <c:v>4</c:v>
                </c:pt>
                <c:pt idx="991">
                  <c:v>3</c:v>
                </c:pt>
                <c:pt idx="992">
                  <c:v>3</c:v>
                </c:pt>
                <c:pt idx="993">
                  <c:v>3</c:v>
                </c:pt>
                <c:pt idx="994">
                  <c:v>3</c:v>
                </c:pt>
                <c:pt idx="995">
                  <c:v>3</c:v>
                </c:pt>
                <c:pt idx="996">
                  <c:v>4</c:v>
                </c:pt>
                <c:pt idx="997">
                  <c:v>4</c:v>
                </c:pt>
                <c:pt idx="998">
                  <c:v>4</c:v>
                </c:pt>
                <c:pt idx="999">
                  <c:v>3</c:v>
                </c:pt>
              </c:numCache>
            </c:numRef>
          </c:yVal>
          <c:smooth val="0"/>
          <c:extLst>
            <c:ext xmlns:c16="http://schemas.microsoft.com/office/drawing/2014/chart" uri="{C3380CC4-5D6E-409C-BE32-E72D297353CC}">
              <c16:uniqueId val="{00000000-81BE-424C-92F3-135F3707B0A2}"/>
            </c:ext>
          </c:extLst>
        </c:ser>
        <c:ser>
          <c:idx val="1"/>
          <c:order val="1"/>
          <c:tx>
            <c:strRef>
              <c:f>Data!$L$4</c:f>
              <c:strCache>
                <c:ptCount val="1"/>
                <c:pt idx="0">
                  <c:v>5</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yVal>
            <c:numRef>
              <c:f>Data!$L$5:$L$1003</c:f>
              <c:numCache>
                <c:formatCode>General</c:formatCode>
                <c:ptCount val="999"/>
                <c:pt idx="0">
                  <c:v>3</c:v>
                </c:pt>
                <c:pt idx="1">
                  <c:v>5</c:v>
                </c:pt>
                <c:pt idx="2">
                  <c:v>3</c:v>
                </c:pt>
                <c:pt idx="3">
                  <c:v>3</c:v>
                </c:pt>
                <c:pt idx="4">
                  <c:v>5</c:v>
                </c:pt>
                <c:pt idx="5">
                  <c:v>5</c:v>
                </c:pt>
                <c:pt idx="6">
                  <c:v>4</c:v>
                </c:pt>
                <c:pt idx="7">
                  <c:v>4</c:v>
                </c:pt>
                <c:pt idx="8">
                  <c:v>3</c:v>
                </c:pt>
                <c:pt idx="9">
                  <c:v>5</c:v>
                </c:pt>
                <c:pt idx="10">
                  <c:v>3</c:v>
                </c:pt>
                <c:pt idx="11">
                  <c:v>4</c:v>
                </c:pt>
                <c:pt idx="12">
                  <c:v>4</c:v>
                </c:pt>
                <c:pt idx="13">
                  <c:v>5</c:v>
                </c:pt>
                <c:pt idx="14">
                  <c:v>5</c:v>
                </c:pt>
                <c:pt idx="15">
                  <c:v>4</c:v>
                </c:pt>
                <c:pt idx="16">
                  <c:v>4</c:v>
                </c:pt>
                <c:pt idx="17">
                  <c:v>4</c:v>
                </c:pt>
                <c:pt idx="18">
                  <c:v>4</c:v>
                </c:pt>
                <c:pt idx="19">
                  <c:v>5</c:v>
                </c:pt>
                <c:pt idx="20">
                  <c:v>5</c:v>
                </c:pt>
                <c:pt idx="21">
                  <c:v>5</c:v>
                </c:pt>
                <c:pt idx="22">
                  <c:v>2</c:v>
                </c:pt>
                <c:pt idx="23">
                  <c:v>3</c:v>
                </c:pt>
                <c:pt idx="24">
                  <c:v>4</c:v>
                </c:pt>
                <c:pt idx="25">
                  <c:v>4</c:v>
                </c:pt>
                <c:pt idx="26">
                  <c:v>5</c:v>
                </c:pt>
                <c:pt idx="27">
                  <c:v>3</c:v>
                </c:pt>
                <c:pt idx="28">
                  <c:v>5</c:v>
                </c:pt>
                <c:pt idx="29">
                  <c:v>4</c:v>
                </c:pt>
                <c:pt idx="30">
                  <c:v>4</c:v>
                </c:pt>
                <c:pt idx="31">
                  <c:v>5</c:v>
                </c:pt>
                <c:pt idx="32">
                  <c:v>5</c:v>
                </c:pt>
                <c:pt idx="33">
                  <c:v>5</c:v>
                </c:pt>
                <c:pt idx="34">
                  <c:v>2</c:v>
                </c:pt>
                <c:pt idx="35">
                  <c:v>3</c:v>
                </c:pt>
                <c:pt idx="36">
                  <c:v>3</c:v>
                </c:pt>
                <c:pt idx="37">
                  <c:v>2</c:v>
                </c:pt>
                <c:pt idx="38">
                  <c:v>5</c:v>
                </c:pt>
                <c:pt idx="39">
                  <c:v>5</c:v>
                </c:pt>
                <c:pt idx="40">
                  <c:v>5</c:v>
                </c:pt>
                <c:pt idx="41">
                  <c:v>4</c:v>
                </c:pt>
                <c:pt idx="42">
                  <c:v>4</c:v>
                </c:pt>
                <c:pt idx="43">
                  <c:v>4</c:v>
                </c:pt>
                <c:pt idx="44">
                  <c:v>4</c:v>
                </c:pt>
                <c:pt idx="45">
                  <c:v>4</c:v>
                </c:pt>
                <c:pt idx="46">
                  <c:v>4</c:v>
                </c:pt>
                <c:pt idx="47">
                  <c:v>4</c:v>
                </c:pt>
                <c:pt idx="48">
                  <c:v>4</c:v>
                </c:pt>
                <c:pt idx="49">
                  <c:v>4</c:v>
                </c:pt>
                <c:pt idx="50">
                  <c:v>4</c:v>
                </c:pt>
                <c:pt idx="51">
                  <c:v>5</c:v>
                </c:pt>
                <c:pt idx="52">
                  <c:v>5</c:v>
                </c:pt>
                <c:pt idx="53">
                  <c:v>5</c:v>
                </c:pt>
                <c:pt idx="54">
                  <c:v>5</c:v>
                </c:pt>
                <c:pt idx="55">
                  <c:v>3</c:v>
                </c:pt>
                <c:pt idx="56">
                  <c:v>2</c:v>
                </c:pt>
                <c:pt idx="57">
                  <c:v>4</c:v>
                </c:pt>
                <c:pt idx="58">
                  <c:v>5</c:v>
                </c:pt>
                <c:pt idx="59">
                  <c:v>4</c:v>
                </c:pt>
                <c:pt idx="60">
                  <c:v>3</c:v>
                </c:pt>
                <c:pt idx="61">
                  <c:v>5</c:v>
                </c:pt>
                <c:pt idx="62">
                  <c:v>4</c:v>
                </c:pt>
                <c:pt idx="63">
                  <c:v>4</c:v>
                </c:pt>
                <c:pt idx="64">
                  <c:v>4</c:v>
                </c:pt>
                <c:pt idx="65">
                  <c:v>2</c:v>
                </c:pt>
                <c:pt idx="66">
                  <c:v>4</c:v>
                </c:pt>
                <c:pt idx="67">
                  <c:v>3</c:v>
                </c:pt>
                <c:pt idx="68">
                  <c:v>0</c:v>
                </c:pt>
                <c:pt idx="69">
                  <c:v>4</c:v>
                </c:pt>
                <c:pt idx="70">
                  <c:v>5</c:v>
                </c:pt>
                <c:pt idx="71">
                  <c:v>3</c:v>
                </c:pt>
                <c:pt idx="72">
                  <c:v>3</c:v>
                </c:pt>
                <c:pt idx="73">
                  <c:v>4</c:v>
                </c:pt>
                <c:pt idx="74">
                  <c:v>3</c:v>
                </c:pt>
                <c:pt idx="75">
                  <c:v>2</c:v>
                </c:pt>
                <c:pt idx="76">
                  <c:v>5</c:v>
                </c:pt>
                <c:pt idx="77">
                  <c:v>4</c:v>
                </c:pt>
                <c:pt idx="78">
                  <c:v>5</c:v>
                </c:pt>
                <c:pt idx="79">
                  <c:v>4</c:v>
                </c:pt>
                <c:pt idx="80">
                  <c:v>5</c:v>
                </c:pt>
                <c:pt idx="81">
                  <c:v>3</c:v>
                </c:pt>
                <c:pt idx="82">
                  <c:v>3</c:v>
                </c:pt>
                <c:pt idx="83">
                  <c:v>4</c:v>
                </c:pt>
                <c:pt idx="84">
                  <c:v>5</c:v>
                </c:pt>
                <c:pt idx="85">
                  <c:v>4</c:v>
                </c:pt>
                <c:pt idx="86">
                  <c:v>2</c:v>
                </c:pt>
                <c:pt idx="87">
                  <c:v>5</c:v>
                </c:pt>
                <c:pt idx="88">
                  <c:v>5</c:v>
                </c:pt>
                <c:pt idx="89">
                  <c:v>4</c:v>
                </c:pt>
                <c:pt idx="90">
                  <c:v>5</c:v>
                </c:pt>
                <c:pt idx="91">
                  <c:v>5</c:v>
                </c:pt>
                <c:pt idx="92">
                  <c:v>5</c:v>
                </c:pt>
                <c:pt idx="93">
                  <c:v>5</c:v>
                </c:pt>
                <c:pt idx="94">
                  <c:v>4</c:v>
                </c:pt>
                <c:pt idx="95">
                  <c:v>5</c:v>
                </c:pt>
                <c:pt idx="96">
                  <c:v>4</c:v>
                </c:pt>
                <c:pt idx="97">
                  <c:v>5</c:v>
                </c:pt>
                <c:pt idx="98">
                  <c:v>5</c:v>
                </c:pt>
                <c:pt idx="99">
                  <c:v>5</c:v>
                </c:pt>
                <c:pt idx="100">
                  <c:v>3</c:v>
                </c:pt>
                <c:pt idx="101">
                  <c:v>4</c:v>
                </c:pt>
                <c:pt idx="102">
                  <c:v>4</c:v>
                </c:pt>
                <c:pt idx="103">
                  <c:v>5</c:v>
                </c:pt>
                <c:pt idx="104">
                  <c:v>4</c:v>
                </c:pt>
                <c:pt idx="105">
                  <c:v>5</c:v>
                </c:pt>
                <c:pt idx="106">
                  <c:v>3</c:v>
                </c:pt>
                <c:pt idx="107">
                  <c:v>3</c:v>
                </c:pt>
                <c:pt idx="108">
                  <c:v>3</c:v>
                </c:pt>
                <c:pt idx="109">
                  <c:v>5</c:v>
                </c:pt>
                <c:pt idx="110">
                  <c:v>4</c:v>
                </c:pt>
                <c:pt idx="111">
                  <c:v>5</c:v>
                </c:pt>
                <c:pt idx="112">
                  <c:v>5</c:v>
                </c:pt>
                <c:pt idx="113">
                  <c:v>4</c:v>
                </c:pt>
                <c:pt idx="114">
                  <c:v>4</c:v>
                </c:pt>
                <c:pt idx="115">
                  <c:v>2</c:v>
                </c:pt>
                <c:pt idx="116">
                  <c:v>4</c:v>
                </c:pt>
                <c:pt idx="117">
                  <c:v>4</c:v>
                </c:pt>
                <c:pt idx="118">
                  <c:v>4</c:v>
                </c:pt>
                <c:pt idx="119">
                  <c:v>4</c:v>
                </c:pt>
                <c:pt idx="120">
                  <c:v>2</c:v>
                </c:pt>
                <c:pt idx="121">
                  <c:v>3</c:v>
                </c:pt>
                <c:pt idx="122">
                  <c:v>5</c:v>
                </c:pt>
                <c:pt idx="123">
                  <c:v>4</c:v>
                </c:pt>
                <c:pt idx="124">
                  <c:v>1</c:v>
                </c:pt>
                <c:pt idx="125">
                  <c:v>4</c:v>
                </c:pt>
                <c:pt idx="126">
                  <c:v>2</c:v>
                </c:pt>
                <c:pt idx="127">
                  <c:v>1</c:v>
                </c:pt>
                <c:pt idx="128">
                  <c:v>4</c:v>
                </c:pt>
                <c:pt idx="129">
                  <c:v>3</c:v>
                </c:pt>
                <c:pt idx="130">
                  <c:v>3</c:v>
                </c:pt>
                <c:pt idx="131">
                  <c:v>4</c:v>
                </c:pt>
                <c:pt idx="132">
                  <c:v>5</c:v>
                </c:pt>
                <c:pt idx="133">
                  <c:v>2</c:v>
                </c:pt>
                <c:pt idx="134">
                  <c:v>5</c:v>
                </c:pt>
                <c:pt idx="135">
                  <c:v>3</c:v>
                </c:pt>
                <c:pt idx="136">
                  <c:v>5</c:v>
                </c:pt>
                <c:pt idx="137">
                  <c:v>3</c:v>
                </c:pt>
                <c:pt idx="138">
                  <c:v>4</c:v>
                </c:pt>
                <c:pt idx="139">
                  <c:v>4</c:v>
                </c:pt>
                <c:pt idx="140">
                  <c:v>5</c:v>
                </c:pt>
                <c:pt idx="141">
                  <c:v>3</c:v>
                </c:pt>
                <c:pt idx="142">
                  <c:v>3</c:v>
                </c:pt>
                <c:pt idx="143">
                  <c:v>3</c:v>
                </c:pt>
                <c:pt idx="144">
                  <c:v>5</c:v>
                </c:pt>
                <c:pt idx="145">
                  <c:v>4</c:v>
                </c:pt>
                <c:pt idx="146">
                  <c:v>4</c:v>
                </c:pt>
                <c:pt idx="147">
                  <c:v>4</c:v>
                </c:pt>
                <c:pt idx="148">
                  <c:v>4</c:v>
                </c:pt>
                <c:pt idx="149">
                  <c:v>3</c:v>
                </c:pt>
                <c:pt idx="150">
                  <c:v>5</c:v>
                </c:pt>
                <c:pt idx="151">
                  <c:v>5</c:v>
                </c:pt>
                <c:pt idx="152">
                  <c:v>3</c:v>
                </c:pt>
                <c:pt idx="153">
                  <c:v>4</c:v>
                </c:pt>
                <c:pt idx="154">
                  <c:v>4</c:v>
                </c:pt>
                <c:pt idx="155">
                  <c:v>5</c:v>
                </c:pt>
                <c:pt idx="156">
                  <c:v>5</c:v>
                </c:pt>
                <c:pt idx="157">
                  <c:v>5</c:v>
                </c:pt>
                <c:pt idx="158">
                  <c:v>4</c:v>
                </c:pt>
                <c:pt idx="159">
                  <c:v>4</c:v>
                </c:pt>
                <c:pt idx="160">
                  <c:v>3</c:v>
                </c:pt>
                <c:pt idx="161">
                  <c:v>4</c:v>
                </c:pt>
                <c:pt idx="162">
                  <c:v>2</c:v>
                </c:pt>
                <c:pt idx="163">
                  <c:v>2</c:v>
                </c:pt>
                <c:pt idx="164">
                  <c:v>3</c:v>
                </c:pt>
                <c:pt idx="165">
                  <c:v>3</c:v>
                </c:pt>
                <c:pt idx="166">
                  <c:v>3</c:v>
                </c:pt>
                <c:pt idx="167">
                  <c:v>3</c:v>
                </c:pt>
                <c:pt idx="168">
                  <c:v>5</c:v>
                </c:pt>
                <c:pt idx="169">
                  <c:v>3</c:v>
                </c:pt>
                <c:pt idx="170">
                  <c:v>5</c:v>
                </c:pt>
                <c:pt idx="171">
                  <c:v>5</c:v>
                </c:pt>
                <c:pt idx="172">
                  <c:v>4</c:v>
                </c:pt>
                <c:pt idx="173">
                  <c:v>5</c:v>
                </c:pt>
                <c:pt idx="174">
                  <c:v>5</c:v>
                </c:pt>
                <c:pt idx="175">
                  <c:v>4</c:v>
                </c:pt>
                <c:pt idx="176">
                  <c:v>4</c:v>
                </c:pt>
                <c:pt idx="177">
                  <c:v>3</c:v>
                </c:pt>
                <c:pt idx="178">
                  <c:v>4</c:v>
                </c:pt>
                <c:pt idx="179">
                  <c:v>1</c:v>
                </c:pt>
                <c:pt idx="180">
                  <c:v>5</c:v>
                </c:pt>
                <c:pt idx="181">
                  <c:v>5</c:v>
                </c:pt>
                <c:pt idx="182">
                  <c:v>4</c:v>
                </c:pt>
                <c:pt idx="183">
                  <c:v>3</c:v>
                </c:pt>
                <c:pt idx="184">
                  <c:v>4</c:v>
                </c:pt>
                <c:pt idx="185">
                  <c:v>4</c:v>
                </c:pt>
                <c:pt idx="186">
                  <c:v>5</c:v>
                </c:pt>
                <c:pt idx="187">
                  <c:v>3</c:v>
                </c:pt>
                <c:pt idx="188">
                  <c:v>3</c:v>
                </c:pt>
                <c:pt idx="189">
                  <c:v>2</c:v>
                </c:pt>
                <c:pt idx="190">
                  <c:v>3</c:v>
                </c:pt>
                <c:pt idx="191">
                  <c:v>4</c:v>
                </c:pt>
                <c:pt idx="192">
                  <c:v>5</c:v>
                </c:pt>
                <c:pt idx="193">
                  <c:v>3</c:v>
                </c:pt>
                <c:pt idx="194">
                  <c:v>5</c:v>
                </c:pt>
                <c:pt idx="195">
                  <c:v>5</c:v>
                </c:pt>
                <c:pt idx="196">
                  <c:v>4</c:v>
                </c:pt>
                <c:pt idx="197">
                  <c:v>4</c:v>
                </c:pt>
                <c:pt idx="198">
                  <c:v>4</c:v>
                </c:pt>
                <c:pt idx="199">
                  <c:v>4</c:v>
                </c:pt>
                <c:pt idx="200">
                  <c:v>2</c:v>
                </c:pt>
                <c:pt idx="201">
                  <c:v>4</c:v>
                </c:pt>
                <c:pt idx="202">
                  <c:v>4</c:v>
                </c:pt>
                <c:pt idx="203">
                  <c:v>3</c:v>
                </c:pt>
                <c:pt idx="204">
                  <c:v>5</c:v>
                </c:pt>
                <c:pt idx="205">
                  <c:v>5</c:v>
                </c:pt>
                <c:pt idx="206">
                  <c:v>3</c:v>
                </c:pt>
                <c:pt idx="207">
                  <c:v>4</c:v>
                </c:pt>
                <c:pt idx="208">
                  <c:v>5</c:v>
                </c:pt>
                <c:pt idx="209">
                  <c:v>4</c:v>
                </c:pt>
                <c:pt idx="210">
                  <c:v>4</c:v>
                </c:pt>
                <c:pt idx="211">
                  <c:v>3</c:v>
                </c:pt>
                <c:pt idx="212">
                  <c:v>4</c:v>
                </c:pt>
                <c:pt idx="213">
                  <c:v>4</c:v>
                </c:pt>
                <c:pt idx="214">
                  <c:v>4</c:v>
                </c:pt>
                <c:pt idx="215">
                  <c:v>4</c:v>
                </c:pt>
                <c:pt idx="216">
                  <c:v>3</c:v>
                </c:pt>
                <c:pt idx="217">
                  <c:v>5</c:v>
                </c:pt>
                <c:pt idx="218">
                  <c:v>3</c:v>
                </c:pt>
                <c:pt idx="219">
                  <c:v>3</c:v>
                </c:pt>
                <c:pt idx="220">
                  <c:v>5</c:v>
                </c:pt>
                <c:pt idx="221">
                  <c:v>4</c:v>
                </c:pt>
                <c:pt idx="222">
                  <c:v>4</c:v>
                </c:pt>
                <c:pt idx="223">
                  <c:v>3</c:v>
                </c:pt>
                <c:pt idx="224">
                  <c:v>5</c:v>
                </c:pt>
                <c:pt idx="225">
                  <c:v>3</c:v>
                </c:pt>
                <c:pt idx="226">
                  <c:v>4</c:v>
                </c:pt>
                <c:pt idx="227">
                  <c:v>5</c:v>
                </c:pt>
                <c:pt idx="228">
                  <c:v>4</c:v>
                </c:pt>
                <c:pt idx="229">
                  <c:v>4</c:v>
                </c:pt>
                <c:pt idx="230">
                  <c:v>5</c:v>
                </c:pt>
                <c:pt idx="231">
                  <c:v>5</c:v>
                </c:pt>
                <c:pt idx="232">
                  <c:v>3</c:v>
                </c:pt>
                <c:pt idx="233">
                  <c:v>3</c:v>
                </c:pt>
                <c:pt idx="234">
                  <c:v>4</c:v>
                </c:pt>
                <c:pt idx="235">
                  <c:v>5</c:v>
                </c:pt>
                <c:pt idx="236">
                  <c:v>4</c:v>
                </c:pt>
                <c:pt idx="237">
                  <c:v>5</c:v>
                </c:pt>
                <c:pt idx="238">
                  <c:v>4</c:v>
                </c:pt>
                <c:pt idx="239">
                  <c:v>4</c:v>
                </c:pt>
                <c:pt idx="240">
                  <c:v>4</c:v>
                </c:pt>
                <c:pt idx="241">
                  <c:v>5</c:v>
                </c:pt>
                <c:pt idx="242">
                  <c:v>4</c:v>
                </c:pt>
                <c:pt idx="243">
                  <c:v>4</c:v>
                </c:pt>
                <c:pt idx="244">
                  <c:v>4</c:v>
                </c:pt>
                <c:pt idx="245">
                  <c:v>4</c:v>
                </c:pt>
                <c:pt idx="246">
                  <c:v>3</c:v>
                </c:pt>
                <c:pt idx="247">
                  <c:v>4</c:v>
                </c:pt>
                <c:pt idx="248">
                  <c:v>4</c:v>
                </c:pt>
                <c:pt idx="249">
                  <c:v>3</c:v>
                </c:pt>
                <c:pt idx="250">
                  <c:v>3</c:v>
                </c:pt>
                <c:pt idx="251">
                  <c:v>4</c:v>
                </c:pt>
                <c:pt idx="252">
                  <c:v>4</c:v>
                </c:pt>
                <c:pt idx="253">
                  <c:v>5</c:v>
                </c:pt>
                <c:pt idx="254">
                  <c:v>4</c:v>
                </c:pt>
                <c:pt idx="255">
                  <c:v>4</c:v>
                </c:pt>
                <c:pt idx="256">
                  <c:v>4</c:v>
                </c:pt>
                <c:pt idx="257">
                  <c:v>5</c:v>
                </c:pt>
                <c:pt idx="258">
                  <c:v>4</c:v>
                </c:pt>
                <c:pt idx="259">
                  <c:v>5</c:v>
                </c:pt>
                <c:pt idx="260">
                  <c:v>5</c:v>
                </c:pt>
                <c:pt idx="261">
                  <c:v>4</c:v>
                </c:pt>
                <c:pt idx="262">
                  <c:v>5</c:v>
                </c:pt>
                <c:pt idx="263">
                  <c:v>3</c:v>
                </c:pt>
                <c:pt idx="264">
                  <c:v>5</c:v>
                </c:pt>
                <c:pt idx="265">
                  <c:v>4</c:v>
                </c:pt>
                <c:pt idx="266">
                  <c:v>4</c:v>
                </c:pt>
                <c:pt idx="267">
                  <c:v>4</c:v>
                </c:pt>
                <c:pt idx="268">
                  <c:v>3</c:v>
                </c:pt>
                <c:pt idx="269">
                  <c:v>4</c:v>
                </c:pt>
                <c:pt idx="270">
                  <c:v>4</c:v>
                </c:pt>
                <c:pt idx="271">
                  <c:v>4</c:v>
                </c:pt>
                <c:pt idx="272">
                  <c:v>4</c:v>
                </c:pt>
                <c:pt idx="273">
                  <c:v>4</c:v>
                </c:pt>
                <c:pt idx="274">
                  <c:v>3</c:v>
                </c:pt>
                <c:pt idx="275">
                  <c:v>5</c:v>
                </c:pt>
                <c:pt idx="276">
                  <c:v>4</c:v>
                </c:pt>
                <c:pt idx="277">
                  <c:v>5</c:v>
                </c:pt>
                <c:pt idx="278">
                  <c:v>5</c:v>
                </c:pt>
                <c:pt idx="279">
                  <c:v>3</c:v>
                </c:pt>
                <c:pt idx="280">
                  <c:v>3</c:v>
                </c:pt>
                <c:pt idx="281">
                  <c:v>2</c:v>
                </c:pt>
                <c:pt idx="282">
                  <c:v>4</c:v>
                </c:pt>
                <c:pt idx="283">
                  <c:v>4</c:v>
                </c:pt>
                <c:pt idx="284">
                  <c:v>3</c:v>
                </c:pt>
                <c:pt idx="285">
                  <c:v>5</c:v>
                </c:pt>
                <c:pt idx="286">
                  <c:v>4</c:v>
                </c:pt>
                <c:pt idx="287">
                  <c:v>4</c:v>
                </c:pt>
                <c:pt idx="288">
                  <c:v>5</c:v>
                </c:pt>
                <c:pt idx="289">
                  <c:v>5</c:v>
                </c:pt>
                <c:pt idx="290">
                  <c:v>5</c:v>
                </c:pt>
                <c:pt idx="291">
                  <c:v>4</c:v>
                </c:pt>
                <c:pt idx="292">
                  <c:v>5</c:v>
                </c:pt>
                <c:pt idx="293">
                  <c:v>4</c:v>
                </c:pt>
                <c:pt idx="294">
                  <c:v>3</c:v>
                </c:pt>
                <c:pt idx="295">
                  <c:v>4</c:v>
                </c:pt>
                <c:pt idx="296">
                  <c:v>3</c:v>
                </c:pt>
                <c:pt idx="297">
                  <c:v>5</c:v>
                </c:pt>
                <c:pt idx="298">
                  <c:v>3</c:v>
                </c:pt>
                <c:pt idx="299">
                  <c:v>3</c:v>
                </c:pt>
                <c:pt idx="300">
                  <c:v>2</c:v>
                </c:pt>
                <c:pt idx="301">
                  <c:v>4</c:v>
                </c:pt>
                <c:pt idx="302">
                  <c:v>4</c:v>
                </c:pt>
                <c:pt idx="303">
                  <c:v>4</c:v>
                </c:pt>
                <c:pt idx="304">
                  <c:v>5</c:v>
                </c:pt>
                <c:pt idx="305">
                  <c:v>1</c:v>
                </c:pt>
                <c:pt idx="306">
                  <c:v>5</c:v>
                </c:pt>
                <c:pt idx="307">
                  <c:v>5</c:v>
                </c:pt>
                <c:pt idx="308">
                  <c:v>5</c:v>
                </c:pt>
                <c:pt idx="309">
                  <c:v>4</c:v>
                </c:pt>
                <c:pt idx="310">
                  <c:v>4</c:v>
                </c:pt>
                <c:pt idx="311">
                  <c:v>4</c:v>
                </c:pt>
                <c:pt idx="312">
                  <c:v>4</c:v>
                </c:pt>
                <c:pt idx="313">
                  <c:v>4</c:v>
                </c:pt>
                <c:pt idx="314">
                  <c:v>5</c:v>
                </c:pt>
                <c:pt idx="315">
                  <c:v>4</c:v>
                </c:pt>
                <c:pt idx="316">
                  <c:v>4</c:v>
                </c:pt>
                <c:pt idx="317">
                  <c:v>4</c:v>
                </c:pt>
                <c:pt idx="318">
                  <c:v>4</c:v>
                </c:pt>
                <c:pt idx="319">
                  <c:v>2</c:v>
                </c:pt>
                <c:pt idx="320">
                  <c:v>5</c:v>
                </c:pt>
                <c:pt idx="321">
                  <c:v>4</c:v>
                </c:pt>
                <c:pt idx="322">
                  <c:v>5</c:v>
                </c:pt>
                <c:pt idx="323">
                  <c:v>4</c:v>
                </c:pt>
                <c:pt idx="324">
                  <c:v>3</c:v>
                </c:pt>
                <c:pt idx="325">
                  <c:v>4</c:v>
                </c:pt>
                <c:pt idx="326">
                  <c:v>2</c:v>
                </c:pt>
                <c:pt idx="327">
                  <c:v>4</c:v>
                </c:pt>
                <c:pt idx="328">
                  <c:v>4</c:v>
                </c:pt>
                <c:pt idx="329">
                  <c:v>3</c:v>
                </c:pt>
                <c:pt idx="330">
                  <c:v>5</c:v>
                </c:pt>
                <c:pt idx="331">
                  <c:v>4</c:v>
                </c:pt>
                <c:pt idx="332">
                  <c:v>5</c:v>
                </c:pt>
                <c:pt idx="333">
                  <c:v>3</c:v>
                </c:pt>
                <c:pt idx="334">
                  <c:v>5</c:v>
                </c:pt>
                <c:pt idx="335">
                  <c:v>2</c:v>
                </c:pt>
                <c:pt idx="336">
                  <c:v>5</c:v>
                </c:pt>
                <c:pt idx="337">
                  <c:v>3</c:v>
                </c:pt>
                <c:pt idx="338">
                  <c:v>4</c:v>
                </c:pt>
                <c:pt idx="339">
                  <c:v>4</c:v>
                </c:pt>
                <c:pt idx="340">
                  <c:v>4</c:v>
                </c:pt>
                <c:pt idx="341">
                  <c:v>5</c:v>
                </c:pt>
                <c:pt idx="342">
                  <c:v>3</c:v>
                </c:pt>
                <c:pt idx="343">
                  <c:v>3</c:v>
                </c:pt>
                <c:pt idx="344">
                  <c:v>5</c:v>
                </c:pt>
                <c:pt idx="345">
                  <c:v>4</c:v>
                </c:pt>
                <c:pt idx="346">
                  <c:v>5</c:v>
                </c:pt>
                <c:pt idx="347">
                  <c:v>5</c:v>
                </c:pt>
                <c:pt idx="348">
                  <c:v>4</c:v>
                </c:pt>
                <c:pt idx="349">
                  <c:v>4</c:v>
                </c:pt>
                <c:pt idx="350">
                  <c:v>4</c:v>
                </c:pt>
                <c:pt idx="351">
                  <c:v>4</c:v>
                </c:pt>
                <c:pt idx="352">
                  <c:v>3</c:v>
                </c:pt>
                <c:pt idx="353">
                  <c:v>5</c:v>
                </c:pt>
                <c:pt idx="354">
                  <c:v>5</c:v>
                </c:pt>
                <c:pt idx="355">
                  <c:v>4</c:v>
                </c:pt>
                <c:pt idx="356">
                  <c:v>4</c:v>
                </c:pt>
                <c:pt idx="357">
                  <c:v>3</c:v>
                </c:pt>
                <c:pt idx="358">
                  <c:v>4</c:v>
                </c:pt>
                <c:pt idx="359">
                  <c:v>4</c:v>
                </c:pt>
                <c:pt idx="360">
                  <c:v>4</c:v>
                </c:pt>
                <c:pt idx="361">
                  <c:v>5</c:v>
                </c:pt>
                <c:pt idx="362">
                  <c:v>3</c:v>
                </c:pt>
                <c:pt idx="363">
                  <c:v>3</c:v>
                </c:pt>
                <c:pt idx="364">
                  <c:v>3</c:v>
                </c:pt>
                <c:pt idx="365">
                  <c:v>3</c:v>
                </c:pt>
                <c:pt idx="366">
                  <c:v>5</c:v>
                </c:pt>
                <c:pt idx="367">
                  <c:v>4</c:v>
                </c:pt>
                <c:pt idx="368">
                  <c:v>5</c:v>
                </c:pt>
                <c:pt idx="369">
                  <c:v>2</c:v>
                </c:pt>
                <c:pt idx="370">
                  <c:v>3</c:v>
                </c:pt>
                <c:pt idx="371">
                  <c:v>4</c:v>
                </c:pt>
                <c:pt idx="372">
                  <c:v>4</c:v>
                </c:pt>
                <c:pt idx="373">
                  <c:v>4</c:v>
                </c:pt>
                <c:pt idx="374">
                  <c:v>5</c:v>
                </c:pt>
                <c:pt idx="375">
                  <c:v>4</c:v>
                </c:pt>
                <c:pt idx="376">
                  <c:v>4</c:v>
                </c:pt>
                <c:pt idx="377">
                  <c:v>4</c:v>
                </c:pt>
                <c:pt idx="378">
                  <c:v>4</c:v>
                </c:pt>
                <c:pt idx="379">
                  <c:v>5</c:v>
                </c:pt>
                <c:pt idx="380">
                  <c:v>4</c:v>
                </c:pt>
                <c:pt idx="381">
                  <c:v>4</c:v>
                </c:pt>
                <c:pt idx="382">
                  <c:v>5</c:v>
                </c:pt>
                <c:pt idx="383">
                  <c:v>2</c:v>
                </c:pt>
                <c:pt idx="384">
                  <c:v>4</c:v>
                </c:pt>
                <c:pt idx="385">
                  <c:v>4</c:v>
                </c:pt>
                <c:pt idx="386">
                  <c:v>5</c:v>
                </c:pt>
                <c:pt idx="387">
                  <c:v>3</c:v>
                </c:pt>
                <c:pt idx="388">
                  <c:v>5</c:v>
                </c:pt>
                <c:pt idx="389">
                  <c:v>2</c:v>
                </c:pt>
                <c:pt idx="390">
                  <c:v>5</c:v>
                </c:pt>
                <c:pt idx="391">
                  <c:v>4</c:v>
                </c:pt>
                <c:pt idx="392">
                  <c:v>4</c:v>
                </c:pt>
                <c:pt idx="393">
                  <c:v>5</c:v>
                </c:pt>
                <c:pt idx="394">
                  <c:v>5</c:v>
                </c:pt>
                <c:pt idx="395">
                  <c:v>4</c:v>
                </c:pt>
                <c:pt idx="396">
                  <c:v>4</c:v>
                </c:pt>
                <c:pt idx="397">
                  <c:v>4</c:v>
                </c:pt>
                <c:pt idx="398">
                  <c:v>4</c:v>
                </c:pt>
                <c:pt idx="399">
                  <c:v>3</c:v>
                </c:pt>
                <c:pt idx="400">
                  <c:v>4</c:v>
                </c:pt>
                <c:pt idx="401">
                  <c:v>3</c:v>
                </c:pt>
                <c:pt idx="402">
                  <c:v>3</c:v>
                </c:pt>
                <c:pt idx="403">
                  <c:v>5</c:v>
                </c:pt>
                <c:pt idx="404">
                  <c:v>4</c:v>
                </c:pt>
                <c:pt idx="405">
                  <c:v>5</c:v>
                </c:pt>
                <c:pt idx="406">
                  <c:v>4</c:v>
                </c:pt>
                <c:pt idx="407">
                  <c:v>4</c:v>
                </c:pt>
                <c:pt idx="408">
                  <c:v>4</c:v>
                </c:pt>
                <c:pt idx="409">
                  <c:v>5</c:v>
                </c:pt>
                <c:pt idx="410">
                  <c:v>4</c:v>
                </c:pt>
                <c:pt idx="411">
                  <c:v>5</c:v>
                </c:pt>
                <c:pt idx="412">
                  <c:v>4</c:v>
                </c:pt>
                <c:pt idx="413">
                  <c:v>4</c:v>
                </c:pt>
                <c:pt idx="414">
                  <c:v>5</c:v>
                </c:pt>
                <c:pt idx="415">
                  <c:v>4</c:v>
                </c:pt>
                <c:pt idx="416">
                  <c:v>4</c:v>
                </c:pt>
                <c:pt idx="417">
                  <c:v>4</c:v>
                </c:pt>
                <c:pt idx="418">
                  <c:v>5</c:v>
                </c:pt>
                <c:pt idx="419">
                  <c:v>5</c:v>
                </c:pt>
                <c:pt idx="420">
                  <c:v>4</c:v>
                </c:pt>
                <c:pt idx="421">
                  <c:v>3</c:v>
                </c:pt>
                <c:pt idx="422">
                  <c:v>3</c:v>
                </c:pt>
                <c:pt idx="423">
                  <c:v>5</c:v>
                </c:pt>
                <c:pt idx="424">
                  <c:v>2</c:v>
                </c:pt>
                <c:pt idx="425">
                  <c:v>3</c:v>
                </c:pt>
                <c:pt idx="426">
                  <c:v>3</c:v>
                </c:pt>
                <c:pt idx="427">
                  <c:v>5</c:v>
                </c:pt>
                <c:pt idx="428">
                  <c:v>3</c:v>
                </c:pt>
                <c:pt idx="429">
                  <c:v>3</c:v>
                </c:pt>
                <c:pt idx="430">
                  <c:v>2</c:v>
                </c:pt>
                <c:pt idx="431">
                  <c:v>5</c:v>
                </c:pt>
                <c:pt idx="432">
                  <c:v>5</c:v>
                </c:pt>
                <c:pt idx="433">
                  <c:v>5</c:v>
                </c:pt>
                <c:pt idx="434">
                  <c:v>4</c:v>
                </c:pt>
                <c:pt idx="435">
                  <c:v>5</c:v>
                </c:pt>
                <c:pt idx="436">
                  <c:v>4</c:v>
                </c:pt>
                <c:pt idx="437">
                  <c:v>3</c:v>
                </c:pt>
                <c:pt idx="438">
                  <c:v>4</c:v>
                </c:pt>
                <c:pt idx="439">
                  <c:v>5</c:v>
                </c:pt>
                <c:pt idx="440">
                  <c:v>5</c:v>
                </c:pt>
                <c:pt idx="441">
                  <c:v>4</c:v>
                </c:pt>
                <c:pt idx="442">
                  <c:v>3</c:v>
                </c:pt>
                <c:pt idx="443">
                  <c:v>4</c:v>
                </c:pt>
                <c:pt idx="444">
                  <c:v>1</c:v>
                </c:pt>
                <c:pt idx="445">
                  <c:v>4</c:v>
                </c:pt>
                <c:pt idx="446">
                  <c:v>4</c:v>
                </c:pt>
                <c:pt idx="447">
                  <c:v>5</c:v>
                </c:pt>
                <c:pt idx="448">
                  <c:v>3</c:v>
                </c:pt>
                <c:pt idx="449">
                  <c:v>5</c:v>
                </c:pt>
                <c:pt idx="450">
                  <c:v>4</c:v>
                </c:pt>
                <c:pt idx="451">
                  <c:v>4</c:v>
                </c:pt>
                <c:pt idx="452">
                  <c:v>4</c:v>
                </c:pt>
                <c:pt idx="453">
                  <c:v>5</c:v>
                </c:pt>
                <c:pt idx="454">
                  <c:v>5</c:v>
                </c:pt>
                <c:pt idx="455">
                  <c:v>5</c:v>
                </c:pt>
                <c:pt idx="456">
                  <c:v>5</c:v>
                </c:pt>
                <c:pt idx="457">
                  <c:v>4</c:v>
                </c:pt>
                <c:pt idx="458">
                  <c:v>4</c:v>
                </c:pt>
                <c:pt idx="459">
                  <c:v>4</c:v>
                </c:pt>
                <c:pt idx="460">
                  <c:v>5</c:v>
                </c:pt>
                <c:pt idx="461">
                  <c:v>5</c:v>
                </c:pt>
                <c:pt idx="462">
                  <c:v>3</c:v>
                </c:pt>
                <c:pt idx="463">
                  <c:v>3</c:v>
                </c:pt>
                <c:pt idx="464">
                  <c:v>5</c:v>
                </c:pt>
                <c:pt idx="465">
                  <c:v>5</c:v>
                </c:pt>
                <c:pt idx="466">
                  <c:v>1</c:v>
                </c:pt>
                <c:pt idx="467">
                  <c:v>3</c:v>
                </c:pt>
                <c:pt idx="468">
                  <c:v>3</c:v>
                </c:pt>
                <c:pt idx="469">
                  <c:v>5</c:v>
                </c:pt>
                <c:pt idx="470">
                  <c:v>4</c:v>
                </c:pt>
                <c:pt idx="471">
                  <c:v>3</c:v>
                </c:pt>
                <c:pt idx="472">
                  <c:v>4</c:v>
                </c:pt>
                <c:pt idx="473">
                  <c:v>5</c:v>
                </c:pt>
                <c:pt idx="474">
                  <c:v>3</c:v>
                </c:pt>
                <c:pt idx="475">
                  <c:v>5</c:v>
                </c:pt>
                <c:pt idx="476">
                  <c:v>4</c:v>
                </c:pt>
                <c:pt idx="477">
                  <c:v>4</c:v>
                </c:pt>
                <c:pt idx="478">
                  <c:v>4</c:v>
                </c:pt>
                <c:pt idx="479">
                  <c:v>5</c:v>
                </c:pt>
                <c:pt idx="480">
                  <c:v>5</c:v>
                </c:pt>
                <c:pt idx="481">
                  <c:v>4</c:v>
                </c:pt>
                <c:pt idx="482">
                  <c:v>5</c:v>
                </c:pt>
                <c:pt idx="483">
                  <c:v>5</c:v>
                </c:pt>
                <c:pt idx="484">
                  <c:v>3</c:v>
                </c:pt>
                <c:pt idx="485">
                  <c:v>4</c:v>
                </c:pt>
                <c:pt idx="486">
                  <c:v>5</c:v>
                </c:pt>
                <c:pt idx="487">
                  <c:v>4</c:v>
                </c:pt>
                <c:pt idx="488">
                  <c:v>5</c:v>
                </c:pt>
                <c:pt idx="489">
                  <c:v>3</c:v>
                </c:pt>
                <c:pt idx="490">
                  <c:v>4</c:v>
                </c:pt>
                <c:pt idx="491">
                  <c:v>4</c:v>
                </c:pt>
                <c:pt idx="492">
                  <c:v>4</c:v>
                </c:pt>
                <c:pt idx="493">
                  <c:v>4</c:v>
                </c:pt>
                <c:pt idx="494">
                  <c:v>4</c:v>
                </c:pt>
                <c:pt idx="495">
                  <c:v>3</c:v>
                </c:pt>
                <c:pt idx="496">
                  <c:v>4</c:v>
                </c:pt>
                <c:pt idx="497">
                  <c:v>5</c:v>
                </c:pt>
                <c:pt idx="498">
                  <c:v>4</c:v>
                </c:pt>
                <c:pt idx="499">
                  <c:v>4</c:v>
                </c:pt>
                <c:pt idx="500">
                  <c:v>3</c:v>
                </c:pt>
                <c:pt idx="501">
                  <c:v>4</c:v>
                </c:pt>
                <c:pt idx="502">
                  <c:v>2</c:v>
                </c:pt>
                <c:pt idx="503">
                  <c:v>5</c:v>
                </c:pt>
                <c:pt idx="504">
                  <c:v>3</c:v>
                </c:pt>
                <c:pt idx="505">
                  <c:v>5</c:v>
                </c:pt>
                <c:pt idx="506">
                  <c:v>5</c:v>
                </c:pt>
                <c:pt idx="507">
                  <c:v>3</c:v>
                </c:pt>
                <c:pt idx="508">
                  <c:v>4</c:v>
                </c:pt>
                <c:pt idx="509">
                  <c:v>5</c:v>
                </c:pt>
                <c:pt idx="510">
                  <c:v>4</c:v>
                </c:pt>
                <c:pt idx="511">
                  <c:v>4</c:v>
                </c:pt>
                <c:pt idx="512">
                  <c:v>3</c:v>
                </c:pt>
                <c:pt idx="513">
                  <c:v>5</c:v>
                </c:pt>
                <c:pt idx="514">
                  <c:v>3</c:v>
                </c:pt>
                <c:pt idx="515">
                  <c:v>4</c:v>
                </c:pt>
                <c:pt idx="516">
                  <c:v>4</c:v>
                </c:pt>
                <c:pt idx="517">
                  <c:v>4</c:v>
                </c:pt>
                <c:pt idx="518">
                  <c:v>5</c:v>
                </c:pt>
                <c:pt idx="519">
                  <c:v>5</c:v>
                </c:pt>
                <c:pt idx="520">
                  <c:v>4</c:v>
                </c:pt>
                <c:pt idx="521">
                  <c:v>5</c:v>
                </c:pt>
                <c:pt idx="522">
                  <c:v>5</c:v>
                </c:pt>
                <c:pt idx="523">
                  <c:v>2</c:v>
                </c:pt>
                <c:pt idx="524">
                  <c:v>4</c:v>
                </c:pt>
                <c:pt idx="525">
                  <c:v>4</c:v>
                </c:pt>
                <c:pt idx="526">
                  <c:v>4</c:v>
                </c:pt>
                <c:pt idx="527">
                  <c:v>4</c:v>
                </c:pt>
                <c:pt idx="528">
                  <c:v>4</c:v>
                </c:pt>
                <c:pt idx="529">
                  <c:v>4</c:v>
                </c:pt>
                <c:pt idx="530">
                  <c:v>4</c:v>
                </c:pt>
                <c:pt idx="531">
                  <c:v>4</c:v>
                </c:pt>
                <c:pt idx="532">
                  <c:v>4</c:v>
                </c:pt>
                <c:pt idx="533">
                  <c:v>4</c:v>
                </c:pt>
                <c:pt idx="534">
                  <c:v>5</c:v>
                </c:pt>
                <c:pt idx="535">
                  <c:v>4</c:v>
                </c:pt>
                <c:pt idx="536">
                  <c:v>4</c:v>
                </c:pt>
                <c:pt idx="537">
                  <c:v>4</c:v>
                </c:pt>
                <c:pt idx="538">
                  <c:v>5</c:v>
                </c:pt>
                <c:pt idx="539">
                  <c:v>3</c:v>
                </c:pt>
                <c:pt idx="540">
                  <c:v>5</c:v>
                </c:pt>
                <c:pt idx="541">
                  <c:v>4</c:v>
                </c:pt>
                <c:pt idx="542">
                  <c:v>4</c:v>
                </c:pt>
                <c:pt idx="543">
                  <c:v>3</c:v>
                </c:pt>
                <c:pt idx="544">
                  <c:v>3</c:v>
                </c:pt>
                <c:pt idx="545">
                  <c:v>4</c:v>
                </c:pt>
                <c:pt idx="546">
                  <c:v>5</c:v>
                </c:pt>
                <c:pt idx="547">
                  <c:v>4</c:v>
                </c:pt>
                <c:pt idx="548">
                  <c:v>4</c:v>
                </c:pt>
                <c:pt idx="549">
                  <c:v>5</c:v>
                </c:pt>
                <c:pt idx="550">
                  <c:v>4</c:v>
                </c:pt>
                <c:pt idx="551">
                  <c:v>4</c:v>
                </c:pt>
                <c:pt idx="552">
                  <c:v>5</c:v>
                </c:pt>
                <c:pt idx="553">
                  <c:v>5</c:v>
                </c:pt>
                <c:pt idx="554">
                  <c:v>3</c:v>
                </c:pt>
                <c:pt idx="555">
                  <c:v>4</c:v>
                </c:pt>
                <c:pt idx="556">
                  <c:v>1</c:v>
                </c:pt>
                <c:pt idx="557">
                  <c:v>3</c:v>
                </c:pt>
                <c:pt idx="558">
                  <c:v>3</c:v>
                </c:pt>
                <c:pt idx="559">
                  <c:v>5</c:v>
                </c:pt>
                <c:pt idx="560">
                  <c:v>3</c:v>
                </c:pt>
                <c:pt idx="561">
                  <c:v>4</c:v>
                </c:pt>
                <c:pt idx="562">
                  <c:v>5</c:v>
                </c:pt>
                <c:pt idx="563">
                  <c:v>4</c:v>
                </c:pt>
                <c:pt idx="564">
                  <c:v>3</c:v>
                </c:pt>
                <c:pt idx="565">
                  <c:v>3</c:v>
                </c:pt>
                <c:pt idx="566">
                  <c:v>5</c:v>
                </c:pt>
                <c:pt idx="567">
                  <c:v>5</c:v>
                </c:pt>
                <c:pt idx="568">
                  <c:v>3</c:v>
                </c:pt>
                <c:pt idx="569">
                  <c:v>5</c:v>
                </c:pt>
                <c:pt idx="570">
                  <c:v>5</c:v>
                </c:pt>
                <c:pt idx="571">
                  <c:v>4</c:v>
                </c:pt>
                <c:pt idx="572">
                  <c:v>2</c:v>
                </c:pt>
                <c:pt idx="573">
                  <c:v>4</c:v>
                </c:pt>
                <c:pt idx="574">
                  <c:v>4</c:v>
                </c:pt>
                <c:pt idx="575">
                  <c:v>5</c:v>
                </c:pt>
                <c:pt idx="576">
                  <c:v>5</c:v>
                </c:pt>
                <c:pt idx="577">
                  <c:v>2</c:v>
                </c:pt>
                <c:pt idx="578">
                  <c:v>4</c:v>
                </c:pt>
                <c:pt idx="579">
                  <c:v>4</c:v>
                </c:pt>
                <c:pt idx="580">
                  <c:v>3</c:v>
                </c:pt>
                <c:pt idx="581">
                  <c:v>3</c:v>
                </c:pt>
                <c:pt idx="582">
                  <c:v>3</c:v>
                </c:pt>
                <c:pt idx="583">
                  <c:v>3</c:v>
                </c:pt>
                <c:pt idx="584">
                  <c:v>5</c:v>
                </c:pt>
                <c:pt idx="585">
                  <c:v>4</c:v>
                </c:pt>
                <c:pt idx="586">
                  <c:v>4</c:v>
                </c:pt>
                <c:pt idx="587">
                  <c:v>2</c:v>
                </c:pt>
                <c:pt idx="588">
                  <c:v>4</c:v>
                </c:pt>
                <c:pt idx="589">
                  <c:v>3</c:v>
                </c:pt>
                <c:pt idx="590">
                  <c:v>4</c:v>
                </c:pt>
                <c:pt idx="591">
                  <c:v>4</c:v>
                </c:pt>
                <c:pt idx="592">
                  <c:v>4</c:v>
                </c:pt>
                <c:pt idx="593">
                  <c:v>2</c:v>
                </c:pt>
                <c:pt idx="594">
                  <c:v>4</c:v>
                </c:pt>
                <c:pt idx="595">
                  <c:v>3</c:v>
                </c:pt>
                <c:pt idx="596">
                  <c:v>2</c:v>
                </c:pt>
                <c:pt idx="597">
                  <c:v>3</c:v>
                </c:pt>
                <c:pt idx="598">
                  <c:v>5</c:v>
                </c:pt>
                <c:pt idx="599">
                  <c:v>5</c:v>
                </c:pt>
                <c:pt idx="600">
                  <c:v>5</c:v>
                </c:pt>
                <c:pt idx="601">
                  <c:v>5</c:v>
                </c:pt>
                <c:pt idx="602">
                  <c:v>5</c:v>
                </c:pt>
                <c:pt idx="603">
                  <c:v>5</c:v>
                </c:pt>
                <c:pt idx="604">
                  <c:v>5</c:v>
                </c:pt>
                <c:pt idx="605">
                  <c:v>5</c:v>
                </c:pt>
                <c:pt idx="606">
                  <c:v>4</c:v>
                </c:pt>
                <c:pt idx="607">
                  <c:v>3</c:v>
                </c:pt>
                <c:pt idx="608">
                  <c:v>3</c:v>
                </c:pt>
                <c:pt idx="609">
                  <c:v>5</c:v>
                </c:pt>
                <c:pt idx="610">
                  <c:v>5</c:v>
                </c:pt>
                <c:pt idx="611">
                  <c:v>5</c:v>
                </c:pt>
                <c:pt idx="612">
                  <c:v>5</c:v>
                </c:pt>
                <c:pt idx="613">
                  <c:v>4</c:v>
                </c:pt>
                <c:pt idx="614">
                  <c:v>4</c:v>
                </c:pt>
                <c:pt idx="615">
                  <c:v>4</c:v>
                </c:pt>
                <c:pt idx="616">
                  <c:v>5</c:v>
                </c:pt>
                <c:pt idx="617">
                  <c:v>4</c:v>
                </c:pt>
                <c:pt idx="618">
                  <c:v>4</c:v>
                </c:pt>
                <c:pt idx="619">
                  <c:v>5</c:v>
                </c:pt>
                <c:pt idx="620">
                  <c:v>5</c:v>
                </c:pt>
                <c:pt idx="621">
                  <c:v>3</c:v>
                </c:pt>
                <c:pt idx="622">
                  <c:v>3</c:v>
                </c:pt>
                <c:pt idx="623">
                  <c:v>5</c:v>
                </c:pt>
                <c:pt idx="624">
                  <c:v>4</c:v>
                </c:pt>
                <c:pt idx="625">
                  <c:v>3</c:v>
                </c:pt>
                <c:pt idx="626">
                  <c:v>3</c:v>
                </c:pt>
                <c:pt idx="627">
                  <c:v>4</c:v>
                </c:pt>
                <c:pt idx="628">
                  <c:v>4</c:v>
                </c:pt>
                <c:pt idx="629">
                  <c:v>3</c:v>
                </c:pt>
                <c:pt idx="630">
                  <c:v>2</c:v>
                </c:pt>
                <c:pt idx="631">
                  <c:v>2</c:v>
                </c:pt>
                <c:pt idx="632">
                  <c:v>3</c:v>
                </c:pt>
                <c:pt idx="633">
                  <c:v>4</c:v>
                </c:pt>
                <c:pt idx="634">
                  <c:v>5</c:v>
                </c:pt>
                <c:pt idx="635">
                  <c:v>5</c:v>
                </c:pt>
                <c:pt idx="636">
                  <c:v>4</c:v>
                </c:pt>
                <c:pt idx="637">
                  <c:v>4</c:v>
                </c:pt>
                <c:pt idx="638">
                  <c:v>3</c:v>
                </c:pt>
                <c:pt idx="639">
                  <c:v>3</c:v>
                </c:pt>
                <c:pt idx="640">
                  <c:v>4</c:v>
                </c:pt>
                <c:pt idx="641">
                  <c:v>4</c:v>
                </c:pt>
                <c:pt idx="642">
                  <c:v>3</c:v>
                </c:pt>
                <c:pt idx="643">
                  <c:v>4</c:v>
                </c:pt>
                <c:pt idx="644">
                  <c:v>3</c:v>
                </c:pt>
                <c:pt idx="645">
                  <c:v>5</c:v>
                </c:pt>
                <c:pt idx="646">
                  <c:v>2</c:v>
                </c:pt>
                <c:pt idx="647">
                  <c:v>5</c:v>
                </c:pt>
                <c:pt idx="648">
                  <c:v>4</c:v>
                </c:pt>
                <c:pt idx="649">
                  <c:v>4</c:v>
                </c:pt>
                <c:pt idx="650">
                  <c:v>5</c:v>
                </c:pt>
                <c:pt idx="651">
                  <c:v>4</c:v>
                </c:pt>
                <c:pt idx="652">
                  <c:v>4</c:v>
                </c:pt>
                <c:pt idx="653">
                  <c:v>3</c:v>
                </c:pt>
                <c:pt idx="654">
                  <c:v>3</c:v>
                </c:pt>
                <c:pt idx="655">
                  <c:v>5</c:v>
                </c:pt>
                <c:pt idx="656">
                  <c:v>5</c:v>
                </c:pt>
                <c:pt idx="657">
                  <c:v>4</c:v>
                </c:pt>
                <c:pt idx="658">
                  <c:v>4</c:v>
                </c:pt>
                <c:pt idx="659">
                  <c:v>3</c:v>
                </c:pt>
                <c:pt idx="660">
                  <c:v>4</c:v>
                </c:pt>
                <c:pt idx="661">
                  <c:v>3</c:v>
                </c:pt>
                <c:pt idx="662">
                  <c:v>5</c:v>
                </c:pt>
                <c:pt idx="663">
                  <c:v>5</c:v>
                </c:pt>
                <c:pt idx="664">
                  <c:v>4</c:v>
                </c:pt>
                <c:pt idx="665">
                  <c:v>4</c:v>
                </c:pt>
                <c:pt idx="666">
                  <c:v>5</c:v>
                </c:pt>
                <c:pt idx="667">
                  <c:v>5</c:v>
                </c:pt>
                <c:pt idx="668">
                  <c:v>5</c:v>
                </c:pt>
                <c:pt idx="669">
                  <c:v>2</c:v>
                </c:pt>
                <c:pt idx="670">
                  <c:v>5</c:v>
                </c:pt>
                <c:pt idx="671">
                  <c:v>5</c:v>
                </c:pt>
                <c:pt idx="672">
                  <c:v>5</c:v>
                </c:pt>
                <c:pt idx="673">
                  <c:v>3</c:v>
                </c:pt>
                <c:pt idx="674">
                  <c:v>2</c:v>
                </c:pt>
                <c:pt idx="675">
                  <c:v>4</c:v>
                </c:pt>
                <c:pt idx="676">
                  <c:v>5</c:v>
                </c:pt>
                <c:pt idx="677">
                  <c:v>4</c:v>
                </c:pt>
                <c:pt idx="678">
                  <c:v>4</c:v>
                </c:pt>
                <c:pt idx="679">
                  <c:v>4</c:v>
                </c:pt>
                <c:pt idx="680">
                  <c:v>2</c:v>
                </c:pt>
                <c:pt idx="681">
                  <c:v>4</c:v>
                </c:pt>
                <c:pt idx="682">
                  <c:v>4</c:v>
                </c:pt>
                <c:pt idx="683">
                  <c:v>4</c:v>
                </c:pt>
                <c:pt idx="684">
                  <c:v>4</c:v>
                </c:pt>
                <c:pt idx="685">
                  <c:v>4</c:v>
                </c:pt>
                <c:pt idx="686">
                  <c:v>5</c:v>
                </c:pt>
                <c:pt idx="687">
                  <c:v>3</c:v>
                </c:pt>
                <c:pt idx="688">
                  <c:v>5</c:v>
                </c:pt>
                <c:pt idx="689">
                  <c:v>5</c:v>
                </c:pt>
                <c:pt idx="690">
                  <c:v>5</c:v>
                </c:pt>
                <c:pt idx="691">
                  <c:v>3</c:v>
                </c:pt>
                <c:pt idx="692">
                  <c:v>3</c:v>
                </c:pt>
                <c:pt idx="693">
                  <c:v>4</c:v>
                </c:pt>
                <c:pt idx="694">
                  <c:v>4</c:v>
                </c:pt>
                <c:pt idx="695">
                  <c:v>2</c:v>
                </c:pt>
                <c:pt idx="696">
                  <c:v>4</c:v>
                </c:pt>
                <c:pt idx="697">
                  <c:v>4</c:v>
                </c:pt>
                <c:pt idx="698">
                  <c:v>5</c:v>
                </c:pt>
                <c:pt idx="699">
                  <c:v>4</c:v>
                </c:pt>
                <c:pt idx="700">
                  <c:v>5</c:v>
                </c:pt>
                <c:pt idx="701">
                  <c:v>3</c:v>
                </c:pt>
                <c:pt idx="702">
                  <c:v>4</c:v>
                </c:pt>
                <c:pt idx="703">
                  <c:v>5</c:v>
                </c:pt>
                <c:pt idx="704">
                  <c:v>5</c:v>
                </c:pt>
                <c:pt idx="705">
                  <c:v>5</c:v>
                </c:pt>
                <c:pt idx="706">
                  <c:v>4</c:v>
                </c:pt>
                <c:pt idx="707">
                  <c:v>3</c:v>
                </c:pt>
                <c:pt idx="708">
                  <c:v>4</c:v>
                </c:pt>
                <c:pt idx="709">
                  <c:v>4</c:v>
                </c:pt>
                <c:pt idx="710">
                  <c:v>5</c:v>
                </c:pt>
                <c:pt idx="711">
                  <c:v>3</c:v>
                </c:pt>
                <c:pt idx="712">
                  <c:v>2</c:v>
                </c:pt>
                <c:pt idx="713">
                  <c:v>4</c:v>
                </c:pt>
                <c:pt idx="714">
                  <c:v>5</c:v>
                </c:pt>
                <c:pt idx="715">
                  <c:v>4</c:v>
                </c:pt>
                <c:pt idx="716">
                  <c:v>5</c:v>
                </c:pt>
                <c:pt idx="717">
                  <c:v>4</c:v>
                </c:pt>
                <c:pt idx="718">
                  <c:v>3</c:v>
                </c:pt>
                <c:pt idx="719">
                  <c:v>4</c:v>
                </c:pt>
                <c:pt idx="720">
                  <c:v>4</c:v>
                </c:pt>
                <c:pt idx="721">
                  <c:v>3</c:v>
                </c:pt>
                <c:pt idx="722">
                  <c:v>3</c:v>
                </c:pt>
                <c:pt idx="723">
                  <c:v>5</c:v>
                </c:pt>
                <c:pt idx="724">
                  <c:v>4</c:v>
                </c:pt>
                <c:pt idx="725">
                  <c:v>4</c:v>
                </c:pt>
                <c:pt idx="726">
                  <c:v>4</c:v>
                </c:pt>
                <c:pt idx="727">
                  <c:v>4</c:v>
                </c:pt>
                <c:pt idx="728">
                  <c:v>5</c:v>
                </c:pt>
                <c:pt idx="729">
                  <c:v>4</c:v>
                </c:pt>
                <c:pt idx="730">
                  <c:v>4</c:v>
                </c:pt>
                <c:pt idx="731">
                  <c:v>4</c:v>
                </c:pt>
                <c:pt idx="732">
                  <c:v>5</c:v>
                </c:pt>
                <c:pt idx="733">
                  <c:v>1</c:v>
                </c:pt>
                <c:pt idx="734">
                  <c:v>4</c:v>
                </c:pt>
                <c:pt idx="735">
                  <c:v>5</c:v>
                </c:pt>
                <c:pt idx="736">
                  <c:v>4</c:v>
                </c:pt>
                <c:pt idx="737">
                  <c:v>5</c:v>
                </c:pt>
                <c:pt idx="738">
                  <c:v>4</c:v>
                </c:pt>
                <c:pt idx="739">
                  <c:v>4</c:v>
                </c:pt>
                <c:pt idx="740">
                  <c:v>3</c:v>
                </c:pt>
                <c:pt idx="741">
                  <c:v>5</c:v>
                </c:pt>
                <c:pt idx="742">
                  <c:v>4</c:v>
                </c:pt>
                <c:pt idx="743">
                  <c:v>4</c:v>
                </c:pt>
                <c:pt idx="744">
                  <c:v>5</c:v>
                </c:pt>
                <c:pt idx="745">
                  <c:v>4</c:v>
                </c:pt>
                <c:pt idx="746">
                  <c:v>4</c:v>
                </c:pt>
                <c:pt idx="747">
                  <c:v>5</c:v>
                </c:pt>
                <c:pt idx="748">
                  <c:v>2</c:v>
                </c:pt>
                <c:pt idx="749">
                  <c:v>4</c:v>
                </c:pt>
                <c:pt idx="750">
                  <c:v>4</c:v>
                </c:pt>
                <c:pt idx="751">
                  <c:v>4</c:v>
                </c:pt>
                <c:pt idx="752">
                  <c:v>4</c:v>
                </c:pt>
                <c:pt idx="753">
                  <c:v>5</c:v>
                </c:pt>
                <c:pt idx="754">
                  <c:v>4</c:v>
                </c:pt>
                <c:pt idx="755">
                  <c:v>4</c:v>
                </c:pt>
                <c:pt idx="756">
                  <c:v>5</c:v>
                </c:pt>
                <c:pt idx="757">
                  <c:v>3</c:v>
                </c:pt>
                <c:pt idx="758">
                  <c:v>5</c:v>
                </c:pt>
                <c:pt idx="759">
                  <c:v>4</c:v>
                </c:pt>
                <c:pt idx="760">
                  <c:v>4</c:v>
                </c:pt>
                <c:pt idx="761">
                  <c:v>3</c:v>
                </c:pt>
                <c:pt idx="762">
                  <c:v>2</c:v>
                </c:pt>
                <c:pt idx="763">
                  <c:v>5</c:v>
                </c:pt>
                <c:pt idx="764">
                  <c:v>4</c:v>
                </c:pt>
                <c:pt idx="765">
                  <c:v>4</c:v>
                </c:pt>
                <c:pt idx="766">
                  <c:v>2</c:v>
                </c:pt>
                <c:pt idx="767">
                  <c:v>2</c:v>
                </c:pt>
                <c:pt idx="768">
                  <c:v>3</c:v>
                </c:pt>
                <c:pt idx="769">
                  <c:v>3</c:v>
                </c:pt>
                <c:pt idx="770">
                  <c:v>4</c:v>
                </c:pt>
                <c:pt idx="771">
                  <c:v>3</c:v>
                </c:pt>
                <c:pt idx="772">
                  <c:v>4</c:v>
                </c:pt>
                <c:pt idx="773">
                  <c:v>5</c:v>
                </c:pt>
                <c:pt idx="774">
                  <c:v>4</c:v>
                </c:pt>
                <c:pt idx="775">
                  <c:v>3</c:v>
                </c:pt>
                <c:pt idx="776">
                  <c:v>5</c:v>
                </c:pt>
                <c:pt idx="777">
                  <c:v>4</c:v>
                </c:pt>
                <c:pt idx="778">
                  <c:v>4</c:v>
                </c:pt>
                <c:pt idx="779">
                  <c:v>3</c:v>
                </c:pt>
                <c:pt idx="780">
                  <c:v>5</c:v>
                </c:pt>
                <c:pt idx="781">
                  <c:v>4</c:v>
                </c:pt>
                <c:pt idx="782">
                  <c:v>5</c:v>
                </c:pt>
                <c:pt idx="783">
                  <c:v>5</c:v>
                </c:pt>
                <c:pt idx="784">
                  <c:v>5</c:v>
                </c:pt>
                <c:pt idx="785">
                  <c:v>2</c:v>
                </c:pt>
                <c:pt idx="786">
                  <c:v>4</c:v>
                </c:pt>
                <c:pt idx="787">
                  <c:v>3</c:v>
                </c:pt>
                <c:pt idx="788">
                  <c:v>5</c:v>
                </c:pt>
                <c:pt idx="789">
                  <c:v>4</c:v>
                </c:pt>
                <c:pt idx="790">
                  <c:v>4</c:v>
                </c:pt>
                <c:pt idx="791">
                  <c:v>2</c:v>
                </c:pt>
                <c:pt idx="792">
                  <c:v>5</c:v>
                </c:pt>
                <c:pt idx="793">
                  <c:v>5</c:v>
                </c:pt>
                <c:pt idx="794">
                  <c:v>3</c:v>
                </c:pt>
                <c:pt idx="795">
                  <c:v>5</c:v>
                </c:pt>
                <c:pt idx="796">
                  <c:v>4</c:v>
                </c:pt>
                <c:pt idx="797">
                  <c:v>4</c:v>
                </c:pt>
                <c:pt idx="798">
                  <c:v>4</c:v>
                </c:pt>
                <c:pt idx="799">
                  <c:v>3</c:v>
                </c:pt>
                <c:pt idx="800">
                  <c:v>4</c:v>
                </c:pt>
                <c:pt idx="801">
                  <c:v>3</c:v>
                </c:pt>
                <c:pt idx="802">
                  <c:v>5</c:v>
                </c:pt>
                <c:pt idx="803">
                  <c:v>4</c:v>
                </c:pt>
                <c:pt idx="804">
                  <c:v>4</c:v>
                </c:pt>
                <c:pt idx="805">
                  <c:v>5</c:v>
                </c:pt>
                <c:pt idx="806">
                  <c:v>4</c:v>
                </c:pt>
                <c:pt idx="807">
                  <c:v>5</c:v>
                </c:pt>
                <c:pt idx="808">
                  <c:v>4</c:v>
                </c:pt>
                <c:pt idx="809">
                  <c:v>3</c:v>
                </c:pt>
                <c:pt idx="810">
                  <c:v>3</c:v>
                </c:pt>
                <c:pt idx="811">
                  <c:v>4</c:v>
                </c:pt>
                <c:pt idx="812">
                  <c:v>4</c:v>
                </c:pt>
                <c:pt idx="813">
                  <c:v>3</c:v>
                </c:pt>
                <c:pt idx="814">
                  <c:v>5</c:v>
                </c:pt>
                <c:pt idx="815">
                  <c:v>5</c:v>
                </c:pt>
                <c:pt idx="816">
                  <c:v>5</c:v>
                </c:pt>
                <c:pt idx="817">
                  <c:v>5</c:v>
                </c:pt>
                <c:pt idx="818">
                  <c:v>3</c:v>
                </c:pt>
                <c:pt idx="819">
                  <c:v>5</c:v>
                </c:pt>
                <c:pt idx="820">
                  <c:v>5</c:v>
                </c:pt>
                <c:pt idx="821">
                  <c:v>5</c:v>
                </c:pt>
                <c:pt idx="822">
                  <c:v>5</c:v>
                </c:pt>
                <c:pt idx="823">
                  <c:v>4</c:v>
                </c:pt>
                <c:pt idx="824">
                  <c:v>5</c:v>
                </c:pt>
                <c:pt idx="825">
                  <c:v>5</c:v>
                </c:pt>
                <c:pt idx="826">
                  <c:v>5</c:v>
                </c:pt>
                <c:pt idx="827">
                  <c:v>4</c:v>
                </c:pt>
                <c:pt idx="828">
                  <c:v>4</c:v>
                </c:pt>
                <c:pt idx="829">
                  <c:v>5</c:v>
                </c:pt>
                <c:pt idx="830">
                  <c:v>3</c:v>
                </c:pt>
                <c:pt idx="831">
                  <c:v>5</c:v>
                </c:pt>
                <c:pt idx="832">
                  <c:v>5</c:v>
                </c:pt>
                <c:pt idx="833">
                  <c:v>3</c:v>
                </c:pt>
                <c:pt idx="834">
                  <c:v>4</c:v>
                </c:pt>
                <c:pt idx="835">
                  <c:v>4</c:v>
                </c:pt>
                <c:pt idx="836">
                  <c:v>4</c:v>
                </c:pt>
                <c:pt idx="837">
                  <c:v>2</c:v>
                </c:pt>
                <c:pt idx="838">
                  <c:v>3</c:v>
                </c:pt>
                <c:pt idx="839">
                  <c:v>4</c:v>
                </c:pt>
                <c:pt idx="840">
                  <c:v>4</c:v>
                </c:pt>
                <c:pt idx="841">
                  <c:v>4</c:v>
                </c:pt>
                <c:pt idx="842">
                  <c:v>4</c:v>
                </c:pt>
                <c:pt idx="843">
                  <c:v>4</c:v>
                </c:pt>
                <c:pt idx="844">
                  <c:v>5</c:v>
                </c:pt>
                <c:pt idx="845">
                  <c:v>3</c:v>
                </c:pt>
                <c:pt idx="846">
                  <c:v>3</c:v>
                </c:pt>
                <c:pt idx="847">
                  <c:v>3</c:v>
                </c:pt>
                <c:pt idx="848">
                  <c:v>5</c:v>
                </c:pt>
                <c:pt idx="849">
                  <c:v>4</c:v>
                </c:pt>
                <c:pt idx="850">
                  <c:v>5</c:v>
                </c:pt>
                <c:pt idx="851">
                  <c:v>4</c:v>
                </c:pt>
                <c:pt idx="852">
                  <c:v>4</c:v>
                </c:pt>
                <c:pt idx="853">
                  <c:v>4</c:v>
                </c:pt>
                <c:pt idx="854">
                  <c:v>5</c:v>
                </c:pt>
                <c:pt idx="855">
                  <c:v>4</c:v>
                </c:pt>
                <c:pt idx="856">
                  <c:v>4</c:v>
                </c:pt>
                <c:pt idx="857">
                  <c:v>5</c:v>
                </c:pt>
                <c:pt idx="858">
                  <c:v>4</c:v>
                </c:pt>
                <c:pt idx="859">
                  <c:v>5</c:v>
                </c:pt>
                <c:pt idx="860">
                  <c:v>4</c:v>
                </c:pt>
                <c:pt idx="861">
                  <c:v>5</c:v>
                </c:pt>
                <c:pt idx="862">
                  <c:v>4</c:v>
                </c:pt>
                <c:pt idx="863">
                  <c:v>5</c:v>
                </c:pt>
                <c:pt idx="864">
                  <c:v>4</c:v>
                </c:pt>
                <c:pt idx="865">
                  <c:v>4</c:v>
                </c:pt>
                <c:pt idx="866">
                  <c:v>4</c:v>
                </c:pt>
                <c:pt idx="867">
                  <c:v>4</c:v>
                </c:pt>
                <c:pt idx="868">
                  <c:v>4</c:v>
                </c:pt>
                <c:pt idx="869">
                  <c:v>4</c:v>
                </c:pt>
                <c:pt idx="870">
                  <c:v>4</c:v>
                </c:pt>
                <c:pt idx="871">
                  <c:v>4</c:v>
                </c:pt>
                <c:pt idx="872">
                  <c:v>4</c:v>
                </c:pt>
                <c:pt idx="873">
                  <c:v>5</c:v>
                </c:pt>
                <c:pt idx="874">
                  <c:v>4</c:v>
                </c:pt>
                <c:pt idx="875">
                  <c:v>2</c:v>
                </c:pt>
                <c:pt idx="876">
                  <c:v>5</c:v>
                </c:pt>
                <c:pt idx="877">
                  <c:v>4</c:v>
                </c:pt>
                <c:pt idx="878">
                  <c:v>2</c:v>
                </c:pt>
                <c:pt idx="879">
                  <c:v>5</c:v>
                </c:pt>
                <c:pt idx="880">
                  <c:v>3</c:v>
                </c:pt>
                <c:pt idx="881">
                  <c:v>3</c:v>
                </c:pt>
                <c:pt idx="882">
                  <c:v>3</c:v>
                </c:pt>
                <c:pt idx="883">
                  <c:v>4</c:v>
                </c:pt>
                <c:pt idx="884">
                  <c:v>2</c:v>
                </c:pt>
                <c:pt idx="885">
                  <c:v>4</c:v>
                </c:pt>
                <c:pt idx="886">
                  <c:v>4</c:v>
                </c:pt>
                <c:pt idx="887">
                  <c:v>3</c:v>
                </c:pt>
                <c:pt idx="888">
                  <c:v>4</c:v>
                </c:pt>
                <c:pt idx="889">
                  <c:v>5</c:v>
                </c:pt>
                <c:pt idx="890">
                  <c:v>4</c:v>
                </c:pt>
                <c:pt idx="891">
                  <c:v>4</c:v>
                </c:pt>
                <c:pt idx="892">
                  <c:v>4</c:v>
                </c:pt>
                <c:pt idx="893">
                  <c:v>4</c:v>
                </c:pt>
                <c:pt idx="894">
                  <c:v>5</c:v>
                </c:pt>
                <c:pt idx="895">
                  <c:v>5</c:v>
                </c:pt>
                <c:pt idx="896">
                  <c:v>3</c:v>
                </c:pt>
                <c:pt idx="897">
                  <c:v>4</c:v>
                </c:pt>
                <c:pt idx="898">
                  <c:v>3</c:v>
                </c:pt>
                <c:pt idx="899">
                  <c:v>4</c:v>
                </c:pt>
                <c:pt idx="900">
                  <c:v>3</c:v>
                </c:pt>
                <c:pt idx="901">
                  <c:v>5</c:v>
                </c:pt>
                <c:pt idx="902">
                  <c:v>3</c:v>
                </c:pt>
                <c:pt idx="903">
                  <c:v>4</c:v>
                </c:pt>
                <c:pt idx="904">
                  <c:v>4</c:v>
                </c:pt>
                <c:pt idx="905">
                  <c:v>5</c:v>
                </c:pt>
                <c:pt idx="906">
                  <c:v>4</c:v>
                </c:pt>
                <c:pt idx="907">
                  <c:v>5</c:v>
                </c:pt>
                <c:pt idx="908">
                  <c:v>5</c:v>
                </c:pt>
                <c:pt idx="909">
                  <c:v>5</c:v>
                </c:pt>
                <c:pt idx="910">
                  <c:v>4</c:v>
                </c:pt>
                <c:pt idx="911">
                  <c:v>4</c:v>
                </c:pt>
                <c:pt idx="912">
                  <c:v>4</c:v>
                </c:pt>
                <c:pt idx="913">
                  <c:v>4</c:v>
                </c:pt>
                <c:pt idx="914">
                  <c:v>2</c:v>
                </c:pt>
                <c:pt idx="915">
                  <c:v>4</c:v>
                </c:pt>
                <c:pt idx="916">
                  <c:v>4</c:v>
                </c:pt>
                <c:pt idx="917">
                  <c:v>4</c:v>
                </c:pt>
                <c:pt idx="918">
                  <c:v>5</c:v>
                </c:pt>
                <c:pt idx="919">
                  <c:v>4</c:v>
                </c:pt>
                <c:pt idx="920">
                  <c:v>5</c:v>
                </c:pt>
                <c:pt idx="921">
                  <c:v>3</c:v>
                </c:pt>
                <c:pt idx="922">
                  <c:v>3</c:v>
                </c:pt>
                <c:pt idx="923">
                  <c:v>4</c:v>
                </c:pt>
                <c:pt idx="924">
                  <c:v>4</c:v>
                </c:pt>
                <c:pt idx="925">
                  <c:v>3</c:v>
                </c:pt>
                <c:pt idx="926">
                  <c:v>3</c:v>
                </c:pt>
                <c:pt idx="927">
                  <c:v>3</c:v>
                </c:pt>
                <c:pt idx="928">
                  <c:v>2</c:v>
                </c:pt>
                <c:pt idx="929">
                  <c:v>4</c:v>
                </c:pt>
                <c:pt idx="930">
                  <c:v>4</c:v>
                </c:pt>
                <c:pt idx="931">
                  <c:v>3</c:v>
                </c:pt>
                <c:pt idx="932">
                  <c:v>4</c:v>
                </c:pt>
                <c:pt idx="933">
                  <c:v>4</c:v>
                </c:pt>
                <c:pt idx="934">
                  <c:v>5</c:v>
                </c:pt>
                <c:pt idx="935">
                  <c:v>4</c:v>
                </c:pt>
                <c:pt idx="936">
                  <c:v>4</c:v>
                </c:pt>
                <c:pt idx="937">
                  <c:v>5</c:v>
                </c:pt>
                <c:pt idx="938">
                  <c:v>5</c:v>
                </c:pt>
                <c:pt idx="939">
                  <c:v>5</c:v>
                </c:pt>
                <c:pt idx="940">
                  <c:v>2</c:v>
                </c:pt>
                <c:pt idx="941">
                  <c:v>4</c:v>
                </c:pt>
                <c:pt idx="942">
                  <c:v>4</c:v>
                </c:pt>
                <c:pt idx="943">
                  <c:v>4</c:v>
                </c:pt>
                <c:pt idx="944">
                  <c:v>3</c:v>
                </c:pt>
                <c:pt idx="945">
                  <c:v>5</c:v>
                </c:pt>
                <c:pt idx="946">
                  <c:v>5</c:v>
                </c:pt>
                <c:pt idx="947">
                  <c:v>2</c:v>
                </c:pt>
                <c:pt idx="948">
                  <c:v>3</c:v>
                </c:pt>
                <c:pt idx="949">
                  <c:v>5</c:v>
                </c:pt>
                <c:pt idx="950">
                  <c:v>4</c:v>
                </c:pt>
                <c:pt idx="951">
                  <c:v>4</c:v>
                </c:pt>
                <c:pt idx="952">
                  <c:v>3</c:v>
                </c:pt>
                <c:pt idx="953">
                  <c:v>4</c:v>
                </c:pt>
                <c:pt idx="954">
                  <c:v>4</c:v>
                </c:pt>
                <c:pt idx="955">
                  <c:v>4</c:v>
                </c:pt>
                <c:pt idx="956">
                  <c:v>3</c:v>
                </c:pt>
                <c:pt idx="957">
                  <c:v>2</c:v>
                </c:pt>
                <c:pt idx="958">
                  <c:v>4</c:v>
                </c:pt>
                <c:pt idx="959">
                  <c:v>4</c:v>
                </c:pt>
                <c:pt idx="960">
                  <c:v>3</c:v>
                </c:pt>
                <c:pt idx="961">
                  <c:v>4</c:v>
                </c:pt>
                <c:pt idx="962">
                  <c:v>5</c:v>
                </c:pt>
                <c:pt idx="963">
                  <c:v>3</c:v>
                </c:pt>
                <c:pt idx="964">
                  <c:v>4</c:v>
                </c:pt>
                <c:pt idx="965">
                  <c:v>3</c:v>
                </c:pt>
                <c:pt idx="966">
                  <c:v>5</c:v>
                </c:pt>
                <c:pt idx="967">
                  <c:v>2</c:v>
                </c:pt>
                <c:pt idx="968">
                  <c:v>5</c:v>
                </c:pt>
                <c:pt idx="969">
                  <c:v>3</c:v>
                </c:pt>
                <c:pt idx="970">
                  <c:v>3</c:v>
                </c:pt>
                <c:pt idx="971">
                  <c:v>5</c:v>
                </c:pt>
                <c:pt idx="972">
                  <c:v>5</c:v>
                </c:pt>
                <c:pt idx="973">
                  <c:v>5</c:v>
                </c:pt>
                <c:pt idx="974">
                  <c:v>4</c:v>
                </c:pt>
                <c:pt idx="975">
                  <c:v>5</c:v>
                </c:pt>
                <c:pt idx="976">
                  <c:v>4</c:v>
                </c:pt>
                <c:pt idx="977">
                  <c:v>5</c:v>
                </c:pt>
                <c:pt idx="978">
                  <c:v>2</c:v>
                </c:pt>
                <c:pt idx="979">
                  <c:v>3</c:v>
                </c:pt>
                <c:pt idx="980">
                  <c:v>4</c:v>
                </c:pt>
                <c:pt idx="981">
                  <c:v>3</c:v>
                </c:pt>
                <c:pt idx="982">
                  <c:v>2</c:v>
                </c:pt>
                <c:pt idx="983">
                  <c:v>4</c:v>
                </c:pt>
                <c:pt idx="984">
                  <c:v>4</c:v>
                </c:pt>
                <c:pt idx="985">
                  <c:v>5</c:v>
                </c:pt>
                <c:pt idx="986">
                  <c:v>5</c:v>
                </c:pt>
                <c:pt idx="987">
                  <c:v>5</c:v>
                </c:pt>
                <c:pt idx="988">
                  <c:v>5</c:v>
                </c:pt>
                <c:pt idx="989">
                  <c:v>5</c:v>
                </c:pt>
                <c:pt idx="990">
                  <c:v>5</c:v>
                </c:pt>
                <c:pt idx="991">
                  <c:v>4</c:v>
                </c:pt>
                <c:pt idx="992">
                  <c:v>3</c:v>
                </c:pt>
                <c:pt idx="993">
                  <c:v>5</c:v>
                </c:pt>
                <c:pt idx="994">
                  <c:v>4</c:v>
                </c:pt>
                <c:pt idx="995">
                  <c:v>4</c:v>
                </c:pt>
                <c:pt idx="996">
                  <c:v>2</c:v>
                </c:pt>
                <c:pt idx="997">
                  <c:v>4</c:v>
                </c:pt>
                <c:pt idx="998">
                  <c:v>4</c:v>
                </c:pt>
              </c:numCache>
            </c:numRef>
          </c:yVal>
          <c:smooth val="0"/>
          <c:extLst>
            <c:ext xmlns:c16="http://schemas.microsoft.com/office/drawing/2014/chart" uri="{C3380CC4-5D6E-409C-BE32-E72D297353CC}">
              <c16:uniqueId val="{00000001-81BE-424C-92F3-135F3707B0A2}"/>
            </c:ext>
          </c:extLst>
        </c:ser>
        <c:dLbls>
          <c:showLegendKey val="0"/>
          <c:showVal val="0"/>
          <c:showCatName val="0"/>
          <c:showSerName val="0"/>
          <c:showPercent val="0"/>
          <c:showBubbleSize val="0"/>
        </c:dLbls>
        <c:axId val="685754784"/>
        <c:axId val="685756224"/>
      </c:scatterChart>
      <c:valAx>
        <c:axId val="685754784"/>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756224"/>
        <c:crosses val="autoZero"/>
        <c:crossBetween val="midCat"/>
      </c:valAx>
      <c:valAx>
        <c:axId val="68575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7547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 (1).xlsx]new pivot!monthly trend</c:name>
    <c:fmtId val="13"/>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Bell MT" panose="02020503060305020303" pitchFamily="18" charset="0"/>
                <a:ea typeface="+mn-ea"/>
                <a:cs typeface="+mn-cs"/>
              </a:defRPr>
            </a:pPr>
            <a:r>
              <a:rPr lang="en-IN" sz="2000" b="1">
                <a:solidFill>
                  <a:srgbClr val="FF0000"/>
                </a:solidFill>
                <a:latin typeface="Bell MT" panose="02020503060305020303" pitchFamily="18" charset="0"/>
              </a:rPr>
              <a:t>CALL</a:t>
            </a:r>
            <a:r>
              <a:rPr lang="en-IN" sz="2000" b="1" baseline="0">
                <a:solidFill>
                  <a:srgbClr val="FF0000"/>
                </a:solidFill>
                <a:latin typeface="Bell MT" panose="02020503060305020303" pitchFamily="18" charset="0"/>
              </a:rPr>
              <a:t> TRENDS</a:t>
            </a:r>
            <a:endParaRPr lang="en-IN" sz="2000" b="1">
              <a:solidFill>
                <a:srgbClr val="FF0000"/>
              </a:solidFill>
              <a:latin typeface="Bell MT" panose="02020503060305020303" pitchFamily="18" charset="0"/>
            </a:endParaRPr>
          </a:p>
        </c:rich>
      </c:tx>
      <c:layout>
        <c:manualLayout>
          <c:xMode val="edge"/>
          <c:yMode val="edge"/>
          <c:x val="3.3000065584159091E-2"/>
          <c:y val="5.843658747294587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Bell MT" panose="02020503060305020303" pitchFamily="18" charset="0"/>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bg1">
                  <a:lumMod val="95000"/>
                </a:schemeClr>
              </a:gs>
              <a:gs pos="50000">
                <a:srgbClr val="F9A1A1"/>
              </a:gs>
              <a:gs pos="100000">
                <a:srgbClr val="FF5050"/>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6794850044297"/>
          <c:y val="0.23566259682214483"/>
          <c:w val="0.81328828884206317"/>
          <c:h val="0.52629985607229002"/>
        </c:manualLayout>
      </c:layout>
      <c:areaChart>
        <c:grouping val="stacked"/>
        <c:varyColors val="0"/>
        <c:ser>
          <c:idx val="1"/>
          <c:order val="1"/>
          <c:tx>
            <c:strRef>
              <c:f>'new pivot'!$C$25</c:f>
              <c:strCache>
                <c:ptCount val="1"/>
                <c:pt idx="0">
                  <c:v>CALL COUNT2</c:v>
                </c:pt>
              </c:strCache>
            </c:strRef>
          </c:tx>
          <c:spPr>
            <a:gradFill flip="none" rotWithShape="1">
              <a:gsLst>
                <a:gs pos="0">
                  <a:schemeClr val="bg1">
                    <a:lumMod val="95000"/>
                  </a:schemeClr>
                </a:gs>
                <a:gs pos="50000">
                  <a:srgbClr val="F9A1A1"/>
                </a:gs>
                <a:gs pos="100000">
                  <a:srgbClr val="FF5050"/>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'new pivot'!$A$26:$A$38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pivot'!$C$26:$C$38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96AF-4ED7-BB51-33B323E4DA41}"/>
            </c:ext>
          </c:extLst>
        </c:ser>
        <c:dLbls>
          <c:showLegendKey val="0"/>
          <c:showVal val="0"/>
          <c:showCatName val="0"/>
          <c:showSerName val="0"/>
          <c:showPercent val="0"/>
          <c:showBubbleSize val="0"/>
        </c:dLbls>
        <c:axId val="1115615455"/>
        <c:axId val="1115607775"/>
      </c:areaChart>
      <c:lineChart>
        <c:grouping val="standard"/>
        <c:varyColors val="0"/>
        <c:ser>
          <c:idx val="0"/>
          <c:order val="0"/>
          <c:tx>
            <c:strRef>
              <c:f>'new pivot'!$B$25</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'new pivot'!$A$26:$A$38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 pivot'!$B$26:$B$38</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96AF-4ED7-BB51-33B323E4DA41}"/>
            </c:ext>
          </c:extLst>
        </c:ser>
        <c:dLbls>
          <c:showLegendKey val="0"/>
          <c:showVal val="0"/>
          <c:showCatName val="0"/>
          <c:showSerName val="0"/>
          <c:showPercent val="0"/>
          <c:showBubbleSize val="0"/>
        </c:dLbls>
        <c:marker val="1"/>
        <c:smooth val="0"/>
        <c:axId val="1115615455"/>
        <c:axId val="1115607775"/>
      </c:lineChart>
      <c:catAx>
        <c:axId val="1115615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07775"/>
        <c:crosses val="autoZero"/>
        <c:auto val="1"/>
        <c:lblAlgn val="ctr"/>
        <c:lblOffset val="100"/>
        <c:noMultiLvlLbl val="0"/>
      </c:catAx>
      <c:valAx>
        <c:axId val="1115607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61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 (1).xlsx]new pivot!reps pivot</c:name>
    <c:fmtId val="4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90000">
                <a:srgbClr val="FFC000"/>
              </a:gs>
              <a:gs pos="3000">
                <a:srgbClr val="F4905E"/>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66463080505959"/>
          <c:y val="0.17712262045166574"/>
          <c:w val="0.69220532739167273"/>
          <c:h val="0.67178904684605623"/>
        </c:manualLayout>
      </c:layout>
      <c:barChart>
        <c:barDir val="bar"/>
        <c:grouping val="clustered"/>
        <c:varyColors val="0"/>
        <c:ser>
          <c:idx val="0"/>
          <c:order val="0"/>
          <c:tx>
            <c:strRef>
              <c:f>'new pivot'!$B$51</c:f>
              <c:strCache>
                <c:ptCount val="1"/>
                <c:pt idx="0">
                  <c:v>CALL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pivot'!$A$52:$A$57</c:f>
              <c:strCache>
                <c:ptCount val="5"/>
                <c:pt idx="0">
                  <c:v>R01</c:v>
                </c:pt>
                <c:pt idx="1">
                  <c:v>R02</c:v>
                </c:pt>
                <c:pt idx="2">
                  <c:v>R03</c:v>
                </c:pt>
                <c:pt idx="3">
                  <c:v>R04</c:v>
                </c:pt>
                <c:pt idx="4">
                  <c:v>R05</c:v>
                </c:pt>
              </c:strCache>
            </c:strRef>
          </c:cat>
          <c:val>
            <c:numRef>
              <c:f>'new pivot'!$B$52:$B$57</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E12-4DE9-A305-7E2D9E78416E}"/>
            </c:ext>
          </c:extLst>
        </c:ser>
        <c:ser>
          <c:idx val="1"/>
          <c:order val="1"/>
          <c:tx>
            <c:strRef>
              <c:f>'new pivot'!$C$51</c:f>
              <c:strCache>
                <c:ptCount val="1"/>
                <c:pt idx="0">
                  <c:v>TOTAL REQUIRED</c:v>
                </c:pt>
              </c:strCache>
            </c:strRef>
          </c:tx>
          <c:spPr>
            <a:gradFill>
              <a:gsLst>
                <a:gs pos="90000">
                  <a:srgbClr val="FFC000"/>
                </a:gs>
                <a:gs pos="3000">
                  <a:srgbClr val="F4905E"/>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pivot'!$A$52:$A$57</c:f>
              <c:strCache>
                <c:ptCount val="5"/>
                <c:pt idx="0">
                  <c:v>R01</c:v>
                </c:pt>
                <c:pt idx="1">
                  <c:v>R02</c:v>
                </c:pt>
                <c:pt idx="2">
                  <c:v>R03</c:v>
                </c:pt>
                <c:pt idx="3">
                  <c:v>R04</c:v>
                </c:pt>
                <c:pt idx="4">
                  <c:v>R05</c:v>
                </c:pt>
              </c:strCache>
            </c:strRef>
          </c:cat>
          <c:val>
            <c:numRef>
              <c:f>'new pivot'!$C$52:$C$57</c:f>
              <c:numCache>
                <c:formatCode>"₹"\ #,##0;#,##0\ \-"₹";"₹"\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1-AE12-4DE9-A305-7E2D9E78416E}"/>
            </c:ext>
          </c:extLst>
        </c:ser>
        <c:dLbls>
          <c:dLblPos val="outEnd"/>
          <c:showLegendKey val="0"/>
          <c:showVal val="1"/>
          <c:showCatName val="0"/>
          <c:showSerName val="0"/>
          <c:showPercent val="0"/>
          <c:showBubbleSize val="0"/>
        </c:dLbls>
        <c:gapWidth val="25"/>
        <c:axId val="1958614688"/>
        <c:axId val="1958615648"/>
      </c:barChart>
      <c:catAx>
        <c:axId val="1958614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615648"/>
        <c:crosses val="autoZero"/>
        <c:auto val="1"/>
        <c:lblAlgn val="ctr"/>
        <c:lblOffset val="100"/>
        <c:noMultiLvlLbl val="0"/>
      </c:catAx>
      <c:valAx>
        <c:axId val="1958615648"/>
        <c:scaling>
          <c:orientation val="minMax"/>
        </c:scaling>
        <c:delete val="1"/>
        <c:axPos val="b"/>
        <c:numFmt formatCode="#,##0" sourceLinked="1"/>
        <c:majorTickMark val="out"/>
        <c:minorTickMark val="none"/>
        <c:tickLblPos val="nextTo"/>
        <c:crossAx val="195861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lgn="ctr" rtl="0">
              <a:defRPr lang="en-IN" sz="2400" b="1" i="0" u="none" strike="noStrike" kern="1200" spc="0" baseline="0">
                <a:solidFill>
                  <a:srgbClr val="FF9933"/>
                </a:solidFill>
                <a:latin typeface="Bell MT" panose="02020503060305020303" pitchFamily="18" charset="0"/>
                <a:ea typeface="+mn-ea"/>
                <a:cs typeface="+mn-cs"/>
              </a:defRPr>
            </a:pPr>
            <a:r>
              <a:rPr lang="en-IN" sz="2400" b="1" i="0" u="none" strike="noStrike" kern="1200" spc="0" baseline="0">
                <a:solidFill>
                  <a:srgbClr val="FF9933"/>
                </a:solidFill>
                <a:latin typeface="Bell MT" panose="02020503060305020303" pitchFamily="18" charset="0"/>
                <a:ea typeface="+mn-ea"/>
                <a:cs typeface="+mn-cs"/>
              </a:rPr>
              <a:t>CALLS</a:t>
            </a:r>
          </a:p>
        </c:rich>
      </c:tx>
      <c:layout>
        <c:manualLayout>
          <c:xMode val="edge"/>
          <c:yMode val="edge"/>
          <c:x val="5.8390018840371719E-2"/>
          <c:y val="1.2797798214394761E-2"/>
        </c:manualLayout>
      </c:layout>
      <c:overlay val="0"/>
      <c:spPr>
        <a:noFill/>
        <a:ln>
          <a:noFill/>
        </a:ln>
        <a:effectLst/>
      </c:spPr>
      <c:txPr>
        <a:bodyPr rot="0" spcFirstLastPara="1" vertOverflow="ellipsis" vert="horz" wrap="square" anchor="ctr" anchorCtr="1"/>
        <a:lstStyle/>
        <a:p>
          <a:pPr algn="ctr" rtl="0">
            <a:defRPr lang="en-IN" sz="2400" b="1" i="0" u="none" strike="noStrike" kern="1200" spc="0" baseline="0">
              <a:solidFill>
                <a:srgbClr val="FF9933"/>
              </a:solidFill>
              <a:latin typeface="Bell MT" panose="02020503060305020303" pitchFamily="18" charset="0"/>
              <a:ea typeface="+mn-ea"/>
              <a:cs typeface="+mn-cs"/>
            </a:defRPr>
          </a:pPr>
          <a:endParaRPr lang="en-US"/>
        </a:p>
      </c:txPr>
    </c:title>
    <c:autoTitleDeleted val="0"/>
    <c:plotArea>
      <c:layout/>
      <c:barChart>
        <c:barDir val="bar"/>
        <c:grouping val="stack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pivot'!$E$53:$E$57</c:f>
              <c:strCache>
                <c:ptCount val="5"/>
                <c:pt idx="0">
                  <c:v>R01</c:v>
                </c:pt>
                <c:pt idx="1">
                  <c:v>R02</c:v>
                </c:pt>
                <c:pt idx="2">
                  <c:v>R03</c:v>
                </c:pt>
                <c:pt idx="3">
                  <c:v>R04</c:v>
                </c:pt>
                <c:pt idx="4">
                  <c:v>R05</c:v>
                </c:pt>
              </c:strCache>
            </c:strRef>
          </c:cat>
          <c:val>
            <c:numRef>
              <c:f>'new pivot'!$F$53:$F$57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00F-438F-A643-DDAF707188EC}"/>
            </c:ext>
          </c:extLst>
        </c:ser>
        <c:ser>
          <c:idx val="1"/>
          <c:order val="1"/>
          <c:tx>
            <c:strRef>
              <c:f>'new pivot'!$H$52</c:f>
              <c:strCache>
                <c:ptCount val="1"/>
                <c:pt idx="0">
                  <c:v>SEL.CALLS</c:v>
                </c:pt>
              </c:strCache>
            </c:strRef>
          </c:tx>
          <c:spPr>
            <a:gradFill>
              <a:gsLst>
                <a:gs pos="95000">
                  <a:srgbClr val="FFC000"/>
                </a:gs>
                <a:gs pos="3000">
                  <a:srgbClr val="F4905E"/>
                </a:gs>
              </a:gsLst>
              <a:lin ang="0" scaled="1"/>
            </a:gradFill>
            <a:ln>
              <a:noFill/>
            </a:ln>
            <a:effectLst/>
          </c:spPr>
          <c:invertIfNegative val="0"/>
          <c:val>
            <c:numRef>
              <c:f>'new pivot'!$H$53:$H$57</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D00F-438F-A643-DDAF707188EC}"/>
            </c:ext>
          </c:extLst>
        </c:ser>
        <c:dLbls>
          <c:showLegendKey val="0"/>
          <c:showVal val="0"/>
          <c:showCatName val="0"/>
          <c:showSerName val="0"/>
          <c:showPercent val="0"/>
          <c:showBubbleSize val="0"/>
        </c:dLbls>
        <c:gapWidth val="25"/>
        <c:overlap val="100"/>
        <c:axId val="591280160"/>
        <c:axId val="591281120"/>
      </c:barChart>
      <c:catAx>
        <c:axId val="591280160"/>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81120"/>
        <c:crosses val="autoZero"/>
        <c:auto val="1"/>
        <c:lblAlgn val="ctr"/>
        <c:lblOffset val="100"/>
        <c:noMultiLvlLbl val="0"/>
      </c:catAx>
      <c:valAx>
        <c:axId val="591281120"/>
        <c:scaling>
          <c:orientation val="minMax"/>
          <c:min val="0"/>
        </c:scaling>
        <c:delete val="0"/>
        <c:axPos val="t"/>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8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a:solidFill>
                  <a:srgbClr val="FF0000"/>
                </a:solidFill>
                <a:latin typeface="Bell MT" panose="02020503060305020303" pitchFamily="18" charset="0"/>
              </a:rPr>
              <a:t>AMOUNT</a:t>
            </a:r>
          </a:p>
        </c:rich>
      </c:tx>
      <c:layout>
        <c:manualLayout>
          <c:xMode val="edge"/>
          <c:yMode val="edge"/>
          <c:x val="9.6012546714388428E-2"/>
          <c:y val="6.84680987349069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734276757372634"/>
          <c:y val="0.1781207020691136"/>
          <c:w val="0.84753215223097111"/>
          <c:h val="0.72195939049285507"/>
        </c:manualLayout>
      </c:layout>
      <c:barChart>
        <c:barDir val="bar"/>
        <c:grouping val="stacked"/>
        <c:varyColors val="0"/>
        <c:ser>
          <c:idx val="0"/>
          <c:order val="0"/>
          <c:tx>
            <c:v>Series1</c:v>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 1</c:v>
              </c:pt>
              <c:pt idx="1">
                <c:v>₹ 2</c:v>
              </c:pt>
              <c:pt idx="2">
                <c:v>₹ 3</c:v>
              </c:pt>
              <c:pt idx="3">
                <c:v>₹ 4</c:v>
              </c:pt>
              <c:pt idx="4">
                <c:v>₹ 5</c:v>
              </c:pt>
            </c:strLit>
          </c:cat>
          <c:val>
            <c:numLit>
              <c:formatCode>General</c:formatCode>
              <c:ptCount val="5"/>
              <c:pt idx="0">
                <c:v>18415</c:v>
              </c:pt>
              <c:pt idx="1">
                <c:v>20581</c:v>
              </c:pt>
              <c:pt idx="2">
                <c:v>20872</c:v>
              </c:pt>
              <c:pt idx="3">
                <c:v>16651</c:v>
              </c:pt>
              <c:pt idx="4">
                <c:v>20104</c:v>
              </c:pt>
            </c:numLit>
          </c:val>
          <c:extLst>
            <c:ext xmlns:c16="http://schemas.microsoft.com/office/drawing/2014/chart" uri="{C3380CC4-5D6E-409C-BE32-E72D297353CC}">
              <c16:uniqueId val="{00000005-9D28-4938-8DD9-46AB18CE2E6E}"/>
            </c:ext>
          </c:extLst>
        </c:ser>
        <c:ser>
          <c:idx val="1"/>
          <c:order val="1"/>
          <c:tx>
            <c:v>Series2</c:v>
          </c:tx>
          <c:spPr>
            <a:gradFill>
              <a:gsLst>
                <a:gs pos="0">
                  <a:srgbClr val="FF5050">
                    <a:alpha val="98824"/>
                  </a:srgbClr>
                </a:gs>
                <a:gs pos="61000">
                  <a:srgbClr val="FF5050"/>
                </a:gs>
                <a:gs pos="100000">
                  <a:srgbClr val="FF0000"/>
                </a:gs>
                <a:gs pos="76000">
                  <a:srgbClr val="FF0000"/>
                </a:gs>
              </a:gsLst>
              <a:lin ang="0" scaled="1"/>
            </a:gradFill>
            <a:ln>
              <a:noFill/>
            </a:ln>
            <a:effectLst/>
          </c:spPr>
          <c:invertIfNegative val="0"/>
          <c:dPt>
            <c:idx val="1"/>
            <c:invertIfNegative val="0"/>
            <c:bubble3D val="0"/>
            <c:spPr>
              <a:gradFill flip="none" rotWithShape="1">
                <a:gsLst>
                  <a:gs pos="0">
                    <a:srgbClr val="FF5050">
                      <a:alpha val="98824"/>
                    </a:srgbClr>
                  </a:gs>
                  <a:gs pos="61000">
                    <a:srgbClr val="FF5050"/>
                  </a:gs>
                  <a:gs pos="100000">
                    <a:srgbClr val="FF0000"/>
                  </a:gs>
                  <a:gs pos="76000">
                    <a:srgbClr val="FF0000"/>
                  </a:gs>
                </a:gsLst>
                <a:lin ang="0" scaled="1"/>
                <a:tileRect/>
              </a:gradFill>
              <a:ln>
                <a:noFill/>
              </a:ln>
              <a:effectLst/>
            </c:spPr>
            <c:extLst>
              <c:ext xmlns:c16="http://schemas.microsoft.com/office/drawing/2014/chart" uri="{C3380CC4-5D6E-409C-BE32-E72D297353CC}">
                <c16:uniqueId val="{00000007-9D28-4938-8DD9-46AB18CE2E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1</c:v>
              </c:pt>
              <c:pt idx="1">
                <c:v>2</c:v>
              </c:pt>
              <c:pt idx="2">
                <c:v>3</c:v>
              </c:pt>
              <c:pt idx="3">
                <c:v>4</c:v>
              </c:pt>
              <c:pt idx="4">
                <c:v>5</c:v>
              </c:pt>
            </c:strLit>
          </c:cat>
          <c:val>
            <c:numLit>
              <c:formatCode>General</c:formatCode>
              <c:ptCount val="5"/>
              <c:pt idx="0">
                <c:v>0</c:v>
              </c:pt>
              <c:pt idx="1">
                <c:v>0</c:v>
              </c:pt>
              <c:pt idx="2">
                <c:v>20872</c:v>
              </c:pt>
              <c:pt idx="3">
                <c:v>0</c:v>
              </c:pt>
              <c:pt idx="4">
                <c:v>0</c:v>
              </c:pt>
            </c:numLit>
          </c:val>
          <c:extLst>
            <c:ext xmlns:c16="http://schemas.microsoft.com/office/drawing/2014/chart" uri="{C3380CC4-5D6E-409C-BE32-E72D297353CC}">
              <c16:uniqueId val="{00000008-9D28-4938-8DD9-46AB18CE2E6E}"/>
            </c:ext>
          </c:extLst>
        </c:ser>
        <c:dLbls>
          <c:dLblPos val="inEnd"/>
          <c:showLegendKey val="0"/>
          <c:showVal val="1"/>
          <c:showCatName val="0"/>
          <c:showSerName val="0"/>
          <c:showPercent val="0"/>
          <c:showBubbleSize val="0"/>
        </c:dLbls>
        <c:gapWidth val="25"/>
        <c:overlap val="100"/>
        <c:axId val="163715168"/>
        <c:axId val="163715648"/>
      </c:barChart>
      <c:catAx>
        <c:axId val="163715168"/>
        <c:scaling>
          <c:orientation val="maxMin"/>
        </c:scaling>
        <c:delete val="1"/>
        <c:axPos val="l"/>
        <c:numFmt formatCode="General" sourceLinked="1"/>
        <c:majorTickMark val="out"/>
        <c:minorTickMark val="none"/>
        <c:tickLblPos val="nextTo"/>
        <c:crossAx val="163715648"/>
        <c:crosses val="autoZero"/>
        <c:auto val="1"/>
        <c:lblAlgn val="ctr"/>
        <c:lblOffset val="100"/>
        <c:noMultiLvlLbl val="0"/>
      </c:catAx>
      <c:valAx>
        <c:axId val="163715648"/>
        <c:scaling>
          <c:orientation val="minMax"/>
        </c:scaling>
        <c:delete val="1"/>
        <c:axPos val="t"/>
        <c:numFmt formatCode="General" sourceLinked="1"/>
        <c:majorTickMark val="out"/>
        <c:minorTickMark val="none"/>
        <c:tickLblPos val="nextTo"/>
        <c:crossAx val="16371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[05.sample-data-pivots-blank (1).xlsx]new pivot!PivotTable4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400">
                <a:solidFill>
                  <a:srgbClr val="FF9933"/>
                </a:solidFill>
              </a:rPr>
              <a:t>female</a:t>
            </a:r>
            <a:r>
              <a:rPr lang="en-IN" sz="1400" baseline="0"/>
              <a:t> vs.</a:t>
            </a:r>
            <a:r>
              <a:rPr lang="en-IN" sz="1400" baseline="0">
                <a:solidFill>
                  <a:srgbClr val="79F78B"/>
                </a:solidFill>
              </a:rPr>
              <a:t>male </a:t>
            </a:r>
            <a:r>
              <a:rPr lang="en-IN" sz="1400" baseline="0"/>
              <a:t>callers</a:t>
            </a:r>
            <a:endParaRPr lang="en-IN" sz="1400"/>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9F7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'new pivot'!$B$75:$B$76</c:f>
              <c:strCache>
                <c:ptCount val="1"/>
                <c:pt idx="0">
                  <c:v>Female</c:v>
                </c:pt>
              </c:strCache>
            </c:strRef>
          </c:tx>
          <c:spPr>
            <a:solidFill>
              <a:srgbClr val="FF99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'new pivot'!$A$77:$A$80</c:f>
              <c:strCache>
                <c:ptCount val="3"/>
                <c:pt idx="0">
                  <c:v>Cincinnati</c:v>
                </c:pt>
                <c:pt idx="1">
                  <c:v>Cleveland</c:v>
                </c:pt>
                <c:pt idx="2">
                  <c:v>Columbus</c:v>
                </c:pt>
              </c:strCache>
            </c:strRef>
          </c:cat>
          <c:val>
            <c:numRef>
              <c:f>'new pivot'!$B$77:$B$80</c:f>
              <c:numCache>
                <c:formatCode>#,##0</c:formatCode>
                <c:ptCount val="3"/>
                <c:pt idx="0">
                  <c:v>144</c:v>
                </c:pt>
                <c:pt idx="1">
                  <c:v>326</c:v>
                </c:pt>
                <c:pt idx="2">
                  <c:v>129</c:v>
                </c:pt>
              </c:numCache>
            </c:numRef>
          </c:val>
          <c:extLst>
            <c:ext xmlns:c16="http://schemas.microsoft.com/office/drawing/2014/chart" uri="{C3380CC4-5D6E-409C-BE32-E72D297353CC}">
              <c16:uniqueId val="{00000000-2529-4CBC-90E7-D83B84DC645D}"/>
            </c:ext>
          </c:extLst>
        </c:ser>
        <c:ser>
          <c:idx val="1"/>
          <c:order val="1"/>
          <c:tx>
            <c:strRef>
              <c:f>'new pivot'!$C$75:$C$76</c:f>
              <c:strCache>
                <c:ptCount val="1"/>
                <c:pt idx="0">
                  <c:v>Male</c:v>
                </c:pt>
              </c:strCache>
            </c:strRef>
          </c:tx>
          <c:spPr>
            <a:solidFill>
              <a:srgbClr val="79F7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'new pivot'!$A$77:$A$80</c:f>
              <c:strCache>
                <c:ptCount val="3"/>
                <c:pt idx="0">
                  <c:v>Cincinnati</c:v>
                </c:pt>
                <c:pt idx="1">
                  <c:v>Cleveland</c:v>
                </c:pt>
                <c:pt idx="2">
                  <c:v>Columbus</c:v>
                </c:pt>
              </c:strCache>
            </c:strRef>
          </c:cat>
          <c:val>
            <c:numRef>
              <c:f>'new pivot'!$C$77:$C$80</c:f>
              <c:numCache>
                <c:formatCode>#,##0</c:formatCode>
                <c:ptCount val="3"/>
                <c:pt idx="0">
                  <c:v>132</c:v>
                </c:pt>
                <c:pt idx="1">
                  <c:v>63</c:v>
                </c:pt>
                <c:pt idx="2">
                  <c:v>206</c:v>
                </c:pt>
              </c:numCache>
            </c:numRef>
          </c:val>
          <c:extLst>
            <c:ext xmlns:c16="http://schemas.microsoft.com/office/drawing/2014/chart" uri="{C3380CC4-5D6E-409C-BE32-E72D297353CC}">
              <c16:uniqueId val="{00000001-2529-4CBC-90E7-D83B84DC645D}"/>
            </c:ext>
          </c:extLst>
        </c:ser>
        <c:dLbls>
          <c:dLblPos val="ctr"/>
          <c:showLegendKey val="0"/>
          <c:showVal val="1"/>
          <c:showCatName val="0"/>
          <c:showSerName val="0"/>
          <c:showPercent val="0"/>
          <c:showBubbleSize val="0"/>
        </c:dLbls>
        <c:gapWidth val="25"/>
        <c:overlap val="100"/>
        <c:axId val="1894035808"/>
        <c:axId val="1894028128"/>
      </c:barChart>
      <c:catAx>
        <c:axId val="189403580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28128"/>
        <c:crosses val="autoZero"/>
        <c:auto val="1"/>
        <c:lblAlgn val="ctr"/>
        <c:lblOffset val="100"/>
        <c:noMultiLvlLbl val="0"/>
      </c:catAx>
      <c:valAx>
        <c:axId val="18940281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03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 (1).xlsx]new pivot!rep satisfaction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solidFill>
                  <a:schemeClr val="tx2">
                    <a:lumMod val="60000"/>
                    <a:lumOff val="4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pivot'!$B$87</c:f>
              <c:strCache>
                <c:ptCount val="1"/>
                <c:pt idx="0">
                  <c:v>Total</c:v>
                </c:pt>
              </c:strCache>
            </c:strRef>
          </c:tx>
          <c:spPr>
            <a:solidFill>
              <a:schemeClr val="accent1"/>
            </a:solidFill>
            <a:ln>
              <a:noFill/>
            </a:ln>
            <a:effectLst/>
          </c:spPr>
          <c:invertIfNegative val="0"/>
          <c:cat>
            <c:strRef>
              <c:f>'new pivot'!$A$88:$A$92</c:f>
              <c:strCache>
                <c:ptCount val="4"/>
                <c:pt idx="0">
                  <c:v>2</c:v>
                </c:pt>
                <c:pt idx="1">
                  <c:v>3</c:v>
                </c:pt>
                <c:pt idx="2">
                  <c:v>4</c:v>
                </c:pt>
                <c:pt idx="3">
                  <c:v>5</c:v>
                </c:pt>
              </c:strCache>
            </c:strRef>
          </c:cat>
          <c:val>
            <c:numRef>
              <c:f>'new pivot'!$B$88:$B$92</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58F7-420F-B946-823E90197C42}"/>
            </c:ext>
          </c:extLst>
        </c:ser>
        <c:dLbls>
          <c:showLegendKey val="0"/>
          <c:showVal val="0"/>
          <c:showCatName val="0"/>
          <c:showSerName val="0"/>
          <c:showPercent val="0"/>
          <c:showBubbleSize val="0"/>
        </c:dLbls>
        <c:gapWidth val="25"/>
        <c:overlap val="-27"/>
        <c:axId val="684249232"/>
        <c:axId val="684238192"/>
      </c:barChart>
      <c:catAx>
        <c:axId val="68424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38192"/>
        <c:crosses val="autoZero"/>
        <c:auto val="1"/>
        <c:lblAlgn val="ctr"/>
        <c:lblOffset val="100"/>
        <c:noMultiLvlLbl val="0"/>
      </c:catAx>
      <c:valAx>
        <c:axId val="684238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24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3" Type="http://schemas.openxmlformats.org/officeDocument/2006/relationships/image" Target="../media/image4.jpeg"/><Relationship Id="rId7" Type="http://schemas.openxmlformats.org/officeDocument/2006/relationships/image" Target="../media/image8.svg"/><Relationship Id="rId12" Type="http://schemas.openxmlformats.org/officeDocument/2006/relationships/image" Target="../media/image13.pn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image" Target="../media/image6.jpeg"/><Relationship Id="rId15" Type="http://schemas.openxmlformats.org/officeDocument/2006/relationships/image" Target="../media/image16.svg"/><Relationship Id="rId10" Type="http://schemas.openxmlformats.org/officeDocument/2006/relationships/image" Target="../media/image11.png"/><Relationship Id="rId4" Type="http://schemas.openxmlformats.org/officeDocument/2006/relationships/image" Target="../media/image5.jpeg"/><Relationship Id="rId9" Type="http://schemas.openxmlformats.org/officeDocument/2006/relationships/image" Target="../media/image10.svg"/><Relationship Id="rId14" Type="http://schemas.openxmlformats.org/officeDocument/2006/relationships/image" Target="../media/image15.png"/></Relationships>
</file>

<file path=xl/drawings/_rels/drawing6.xml.rels><?xml version="1.0" encoding="UTF-8" standalone="yes"?>
<Relationships xmlns="http://schemas.openxmlformats.org/package/2006/relationships"><Relationship Id="rId8" Type="http://schemas.openxmlformats.org/officeDocument/2006/relationships/image" Target="../media/image14.svg"/><Relationship Id="rId13" Type="http://schemas.openxmlformats.org/officeDocument/2006/relationships/chart" Target="../charts/chart8.xml"/><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chart" Target="../charts/chart7.xml"/><Relationship Id="rId2" Type="http://schemas.openxmlformats.org/officeDocument/2006/relationships/image" Target="../media/image8.svg"/><Relationship Id="rId16" Type="http://schemas.openxmlformats.org/officeDocument/2006/relationships/chart" Target="../charts/chart11.xml"/><Relationship Id="rId1" Type="http://schemas.openxmlformats.org/officeDocument/2006/relationships/image" Target="../media/image7.png"/><Relationship Id="rId6" Type="http://schemas.openxmlformats.org/officeDocument/2006/relationships/image" Target="../media/image10.svg"/><Relationship Id="rId11" Type="http://schemas.openxmlformats.org/officeDocument/2006/relationships/chart" Target="../charts/chart6.xml"/><Relationship Id="rId5" Type="http://schemas.openxmlformats.org/officeDocument/2006/relationships/image" Target="../media/image9.png"/><Relationship Id="rId15" Type="http://schemas.openxmlformats.org/officeDocument/2006/relationships/chart" Target="../charts/chart10.xml"/><Relationship Id="rId10" Type="http://schemas.openxmlformats.org/officeDocument/2006/relationships/image" Target="../media/image16.svg"/><Relationship Id="rId4" Type="http://schemas.openxmlformats.org/officeDocument/2006/relationships/image" Target="../media/image12.svg"/><Relationship Id="rId9" Type="http://schemas.openxmlformats.org/officeDocument/2006/relationships/image" Target="../media/image15.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7620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502920</xdr:colOff>
      <xdr:row>8</xdr:row>
      <xdr:rowOff>121921</xdr:rowOff>
    </xdr:from>
    <xdr:to>
      <xdr:col>6</xdr:col>
      <xdr:colOff>320040</xdr:colOff>
      <xdr:row>18</xdr:row>
      <xdr:rowOff>121921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D5B191B6-DDAD-5086-A6EB-B56C3A5B9CC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756660" y="166878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560070</xdr:colOff>
      <xdr:row>6</xdr:row>
      <xdr:rowOff>57150</xdr:rowOff>
    </xdr:from>
    <xdr:to>
      <xdr:col>12</xdr:col>
      <xdr:colOff>415290</xdr:colOff>
      <xdr:row>21</xdr:row>
      <xdr:rowOff>57150</xdr:rowOff>
    </xdr:to>
    <xdr:graphicFrame macro="">
      <xdr:nvGraphicFramePr>
        <xdr:cNvPr id="3" name="Chart 2">
          <a:extLst>
            <a:ext uri="{FF2B5EF4-FFF2-40B4-BE49-F238E27FC236}">
              <a16:creationId xmlns:a16="http://schemas.microsoft.com/office/drawing/2014/main" id="{67E1B7F2-86FD-D614-EFFD-996E10BE6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110490</xdr:colOff>
      <xdr:row>4</xdr:row>
      <xdr:rowOff>76200</xdr:rowOff>
    </xdr:from>
    <xdr:to>
      <xdr:col>10</xdr:col>
      <xdr:colOff>472440</xdr:colOff>
      <xdr:row>17</xdr:row>
      <xdr:rowOff>175260</xdr:rowOff>
    </xdr:to>
    <xdr:graphicFrame macro="">
      <xdr:nvGraphicFramePr>
        <xdr:cNvPr id="3" name="Chart 2">
          <a:extLst>
            <a:ext uri="{FF2B5EF4-FFF2-40B4-BE49-F238E27FC236}">
              <a16:creationId xmlns:a16="http://schemas.microsoft.com/office/drawing/2014/main" id="{3B96E383-0E16-348B-C6B2-E2823D554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472440</xdr:colOff>
      <xdr:row>6</xdr:row>
      <xdr:rowOff>160021</xdr:rowOff>
    </xdr:from>
    <xdr:to>
      <xdr:col>13</xdr:col>
      <xdr:colOff>289560</xdr:colOff>
      <xdr:row>17</xdr:row>
      <xdr:rowOff>152401</xdr:rowOff>
    </xdr:to>
    <mc:AlternateContent xmlns:mc="http://schemas.openxmlformats.org/markup-compatibility/2006" xmlns:a14="http://schemas.microsoft.com/office/drawing/2010/main">
      <mc:Choice Requires="a14">
        <xdr:graphicFrame macro="">
          <xdr:nvGraphicFramePr>
            <xdr:cNvPr id="5" name="Representative 1">
              <a:extLst>
                <a:ext uri="{FF2B5EF4-FFF2-40B4-BE49-F238E27FC236}">
                  <a16:creationId xmlns:a16="http://schemas.microsoft.com/office/drawing/2014/main" id="{90392181-2E39-E998-7156-8E25AFADAB9A}"/>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420100" y="1257301"/>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537210</xdr:colOff>
      <xdr:row>25</xdr:row>
      <xdr:rowOff>133350</xdr:rowOff>
    </xdr:from>
    <xdr:to>
      <xdr:col>9</xdr:col>
      <xdr:colOff>7620</xdr:colOff>
      <xdr:row>40</xdr:row>
      <xdr:rowOff>133350</xdr:rowOff>
    </xdr:to>
    <xdr:graphicFrame macro="">
      <xdr:nvGraphicFramePr>
        <xdr:cNvPr id="2" name="Chart 1">
          <a:extLst>
            <a:ext uri="{FF2B5EF4-FFF2-40B4-BE49-F238E27FC236}">
              <a16:creationId xmlns:a16="http://schemas.microsoft.com/office/drawing/2014/main" id="{88E98B81-0798-4267-2E25-BE2404D3E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537210</xdr:colOff>
      <xdr:row>50</xdr:row>
      <xdr:rowOff>133350</xdr:rowOff>
    </xdr:from>
    <xdr:to>
      <xdr:col>9</xdr:col>
      <xdr:colOff>415290</xdr:colOff>
      <xdr:row>65</xdr:row>
      <xdr:rowOff>133350</xdr:rowOff>
    </xdr:to>
    <xdr:graphicFrame macro="">
      <xdr:nvGraphicFramePr>
        <xdr:cNvPr id="4" name="Chart 3">
          <a:extLst>
            <a:ext uri="{FF2B5EF4-FFF2-40B4-BE49-F238E27FC236}">
              <a16:creationId xmlns:a16="http://schemas.microsoft.com/office/drawing/2014/main" id="{5BA8E6C9-DE20-2DCC-FCC7-13352F50C9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27</xdr:col>
      <xdr:colOff>574653</xdr:colOff>
      <xdr:row>60</xdr:row>
      <xdr:rowOff>22489</xdr:rowOff>
    </xdr:from>
    <xdr:to>
      <xdr:col>35</xdr:col>
      <xdr:colOff>302314</xdr:colOff>
      <xdr:row>76</xdr:row>
      <xdr:rowOff>22489</xdr:rowOff>
    </xdr:to>
    <xdr:sp macro="" textlink="">
      <xdr:nvSpPr>
        <xdr:cNvPr id="4" name="Rectangle 3">
          <a:extLst>
            <a:ext uri="{FF2B5EF4-FFF2-40B4-BE49-F238E27FC236}">
              <a16:creationId xmlns:a16="http://schemas.microsoft.com/office/drawing/2014/main" id="{94BBDFAF-7C4B-EE4D-87FA-C8DADA693C71}"/>
            </a:ext>
          </a:extLst>
        </xdr:cNvPr>
        <xdr:cNvSpPr/>
      </xdr:nvSpPr>
      <xdr:spPr>
        <a:xfrm>
          <a:off x="32209198" y="11521762"/>
          <a:ext cx="5084752" cy="2955636"/>
        </a:xfrm>
        <a:prstGeom prst="rect">
          <a:avLst/>
        </a:prstGeom>
        <a:solidFill>
          <a:schemeClr val="bg2"/>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solidFill>
                <a:schemeClr val="tx1">
                  <a:lumMod val="85000"/>
                  <a:lumOff val="15000"/>
                </a:schemeClr>
              </a:solidFill>
            </a:rPr>
            <a:t>Surprise </a:t>
          </a:r>
          <a:r>
            <a:rPr lang="en-NZ" sz="2000">
              <a:solidFill>
                <a:schemeClr val="tx1">
                  <a:lumMod val="85000"/>
                  <a:lumOff val="15000"/>
                </a:schemeClr>
              </a:solidFill>
            </a:rPr>
            <a:t>🤫</a:t>
          </a:r>
          <a:br>
            <a:rPr lang="en-US" sz="1400">
              <a:solidFill>
                <a:schemeClr val="tx1">
                  <a:lumMod val="85000"/>
                  <a:lumOff val="15000"/>
                </a:schemeClr>
              </a:solidFill>
            </a:rPr>
          </a:br>
          <a:r>
            <a:rPr lang="en-US" sz="1050">
              <a:solidFill>
                <a:schemeClr val="tx1">
                  <a:lumMod val="85000"/>
                  <a:lumOff val="15000"/>
                </a:schemeClr>
              </a:solidFill>
            </a:rPr>
            <a:t>(revealed</a:t>
          </a:r>
          <a:r>
            <a:rPr lang="en-US" sz="1050" baseline="0">
              <a:solidFill>
                <a:schemeClr val="tx1">
                  <a:lumMod val="85000"/>
                  <a:lumOff val="15000"/>
                </a:schemeClr>
              </a:solidFill>
            </a:rPr>
            <a:t> in second part of this video)</a:t>
          </a:r>
          <a:endParaRPr lang="en-US" sz="1400">
            <a:solidFill>
              <a:schemeClr val="tx1">
                <a:lumMod val="85000"/>
                <a:lumOff val="15000"/>
              </a:schemeClr>
            </a:solidFill>
          </a:endParaRPr>
        </a:p>
      </xdr:txBody>
    </xdr:sp>
    <xdr:clientData/>
  </xdr:twoCellAnchor>
  <xdr:twoCellAnchor>
    <xdr:from>
      <xdr:col>13</xdr:col>
      <xdr:colOff>655316</xdr:colOff>
      <xdr:row>755</xdr:row>
      <xdr:rowOff>59095</xdr:rowOff>
    </xdr:from>
    <xdr:to>
      <xdr:col>15</xdr:col>
      <xdr:colOff>628068</xdr:colOff>
      <xdr:row>770</xdr:row>
      <xdr:rowOff>50629</xdr:rowOff>
    </xdr:to>
    <xdr:graphicFrame macro="">
      <xdr:nvGraphicFramePr>
        <xdr:cNvPr id="6" name="Chart 5">
          <a:extLst>
            <a:ext uri="{FF2B5EF4-FFF2-40B4-BE49-F238E27FC236}">
              <a16:creationId xmlns:a16="http://schemas.microsoft.com/office/drawing/2014/main" id="{E34E570B-7997-FA4A-60AC-C84420092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297180</xdr:colOff>
      <xdr:row>1</xdr:row>
      <xdr:rowOff>160020</xdr:rowOff>
    </xdr:from>
    <xdr:to>
      <xdr:col>5</xdr:col>
      <xdr:colOff>1036320</xdr:colOff>
      <xdr:row>4</xdr:row>
      <xdr:rowOff>132595</xdr:rowOff>
    </xdr:to>
    <xdr:pic>
      <xdr:nvPicPr>
        <xdr:cNvPr id="13" name="Picture 12" descr="Smiling businesswoman with digital tablet looking out office window">
          <a:extLst>
            <a:ext uri="{FF2B5EF4-FFF2-40B4-BE49-F238E27FC236}">
              <a16:creationId xmlns:a16="http://schemas.microsoft.com/office/drawing/2014/main" id="{8970E765-D898-5BC2-2A85-052464526C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49980" y="342900"/>
          <a:ext cx="739140" cy="492640"/>
        </a:xfrm>
        <a:prstGeom prst="rect">
          <a:avLst/>
        </a:prstGeom>
      </xdr:spPr>
    </xdr:pic>
    <xdr:clientData/>
  </xdr:twoCellAnchor>
  <xdr:twoCellAnchor editAs="oneCell">
    <xdr:from>
      <xdr:col>5</xdr:col>
      <xdr:colOff>281788</xdr:colOff>
      <xdr:row>4</xdr:row>
      <xdr:rowOff>162820</xdr:rowOff>
    </xdr:from>
    <xdr:to>
      <xdr:col>5</xdr:col>
      <xdr:colOff>1164492</xdr:colOff>
      <xdr:row>8</xdr:row>
      <xdr:rowOff>60623</xdr:rowOff>
    </xdr:to>
    <xdr:pic>
      <xdr:nvPicPr>
        <xdr:cNvPr id="15" name="Picture 14" descr="Young girl focusing on a mechcanical project">
          <a:extLst>
            <a:ext uri="{FF2B5EF4-FFF2-40B4-BE49-F238E27FC236}">
              <a16:creationId xmlns:a16="http://schemas.microsoft.com/office/drawing/2014/main" id="{132B4193-0423-71F4-1781-1BBC3DCA9A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40232" y="885309"/>
          <a:ext cx="882704" cy="582192"/>
        </a:xfrm>
        <a:prstGeom prst="rect">
          <a:avLst/>
        </a:prstGeom>
      </xdr:spPr>
    </xdr:pic>
    <xdr:clientData/>
  </xdr:twoCellAnchor>
  <xdr:twoCellAnchor editAs="oneCell">
    <xdr:from>
      <xdr:col>5</xdr:col>
      <xdr:colOff>285327</xdr:colOff>
      <xdr:row>12</xdr:row>
      <xdr:rowOff>32455</xdr:rowOff>
    </xdr:from>
    <xdr:to>
      <xdr:col>5</xdr:col>
      <xdr:colOff>982202</xdr:colOff>
      <xdr:row>14</xdr:row>
      <xdr:rowOff>148872</xdr:rowOff>
    </xdr:to>
    <xdr:pic>
      <xdr:nvPicPr>
        <xdr:cNvPr id="17" name="Picture 16" descr="Woman using laptop">
          <a:extLst>
            <a:ext uri="{FF2B5EF4-FFF2-40B4-BE49-F238E27FC236}">
              <a16:creationId xmlns:a16="http://schemas.microsoft.com/office/drawing/2014/main" id="{CC3FE1C0-0E70-0DFD-58E1-B83526A474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643771" y="2199922"/>
          <a:ext cx="696875" cy="458611"/>
        </a:xfrm>
        <a:prstGeom prst="rect">
          <a:avLst/>
        </a:prstGeom>
      </xdr:spPr>
    </xdr:pic>
    <xdr:clientData/>
  </xdr:twoCellAnchor>
  <xdr:twoCellAnchor editAs="oneCell">
    <xdr:from>
      <xdr:col>5</xdr:col>
      <xdr:colOff>215901</xdr:colOff>
      <xdr:row>15</xdr:row>
      <xdr:rowOff>52212</xdr:rowOff>
    </xdr:from>
    <xdr:to>
      <xdr:col>5</xdr:col>
      <xdr:colOff>1038578</xdr:colOff>
      <xdr:row>18</xdr:row>
      <xdr:rowOff>77031</xdr:rowOff>
    </xdr:to>
    <xdr:pic>
      <xdr:nvPicPr>
        <xdr:cNvPr id="19" name="Picture 18" descr="Child writing on paper">
          <a:extLst>
            <a:ext uri="{FF2B5EF4-FFF2-40B4-BE49-F238E27FC236}">
              <a16:creationId xmlns:a16="http://schemas.microsoft.com/office/drawing/2014/main" id="{56D994EC-33EE-41EA-8BAB-E5D0A4D58E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74345" y="2761545"/>
          <a:ext cx="822677" cy="538111"/>
        </a:xfrm>
        <a:prstGeom prst="rect">
          <a:avLst/>
        </a:prstGeom>
      </xdr:spPr>
    </xdr:pic>
    <xdr:clientData/>
  </xdr:twoCellAnchor>
  <xdr:twoCellAnchor editAs="oneCell">
    <xdr:from>
      <xdr:col>5</xdr:col>
      <xdr:colOff>174979</xdr:colOff>
      <xdr:row>8</xdr:row>
      <xdr:rowOff>90312</xdr:rowOff>
    </xdr:from>
    <xdr:to>
      <xdr:col>5</xdr:col>
      <xdr:colOff>1021365</xdr:colOff>
      <xdr:row>11</xdr:row>
      <xdr:rowOff>118887</xdr:rowOff>
    </xdr:to>
    <xdr:pic>
      <xdr:nvPicPr>
        <xdr:cNvPr id="21" name="Picture 20" descr="Person writing on a notebook">
          <a:extLst>
            <a:ext uri="{FF2B5EF4-FFF2-40B4-BE49-F238E27FC236}">
              <a16:creationId xmlns:a16="http://schemas.microsoft.com/office/drawing/2014/main" id="{65E8869B-992E-3070-CA2D-56645DD5C7F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33423" y="1535290"/>
          <a:ext cx="846386" cy="541866"/>
        </a:xfrm>
        <a:prstGeom prst="rect">
          <a:avLst/>
        </a:prstGeom>
      </xdr:spPr>
    </xdr:pic>
    <xdr:clientData/>
  </xdr:twoCellAnchor>
  <xdr:twoCellAnchor editAs="oneCell">
    <xdr:from>
      <xdr:col>3</xdr:col>
      <xdr:colOff>133350</xdr:colOff>
      <xdr:row>1</xdr:row>
      <xdr:rowOff>94897</xdr:rowOff>
    </xdr:from>
    <xdr:to>
      <xdr:col>4</xdr:col>
      <xdr:colOff>376061</xdr:colOff>
      <xdr:row>6</xdr:row>
      <xdr:rowOff>154163</xdr:rowOff>
    </xdr:to>
    <xdr:pic>
      <xdr:nvPicPr>
        <xdr:cNvPr id="23" name="Graphic 22" descr="Angel face with solid fill with solid fill">
          <a:extLst>
            <a:ext uri="{FF2B5EF4-FFF2-40B4-BE49-F238E27FC236}">
              <a16:creationId xmlns:a16="http://schemas.microsoft.com/office/drawing/2014/main" id="{3BACFC68-54E9-4310-458C-518DC690A86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33600" y="266347"/>
          <a:ext cx="909461" cy="916516"/>
        </a:xfrm>
        <a:prstGeom prst="rect">
          <a:avLst/>
        </a:prstGeom>
      </xdr:spPr>
    </xdr:pic>
    <xdr:clientData/>
  </xdr:twoCellAnchor>
  <xdr:twoCellAnchor editAs="oneCell">
    <xdr:from>
      <xdr:col>1</xdr:col>
      <xdr:colOff>606426</xdr:colOff>
      <xdr:row>15</xdr:row>
      <xdr:rowOff>155221</xdr:rowOff>
    </xdr:from>
    <xdr:to>
      <xdr:col>3</xdr:col>
      <xdr:colOff>182387</xdr:colOff>
      <xdr:row>21</xdr:row>
      <xdr:rowOff>42685</xdr:rowOff>
    </xdr:to>
    <xdr:pic>
      <xdr:nvPicPr>
        <xdr:cNvPr id="25" name="Graphic 24" descr="Checkmark with solid fill">
          <a:extLst>
            <a:ext uri="{FF2B5EF4-FFF2-40B4-BE49-F238E27FC236}">
              <a16:creationId xmlns:a16="http://schemas.microsoft.com/office/drawing/2014/main" id="{848182F0-6F1F-DE33-68A7-9FABA7A674A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73176" y="2869846"/>
          <a:ext cx="909461" cy="916164"/>
        </a:xfrm>
        <a:prstGeom prst="rect">
          <a:avLst/>
        </a:prstGeom>
      </xdr:spPr>
    </xdr:pic>
    <xdr:clientData/>
  </xdr:twoCellAnchor>
  <xdr:twoCellAnchor editAs="oneCell">
    <xdr:from>
      <xdr:col>2</xdr:col>
      <xdr:colOff>247297</xdr:colOff>
      <xdr:row>7</xdr:row>
      <xdr:rowOff>158397</xdr:rowOff>
    </xdr:from>
    <xdr:to>
      <xdr:col>3</xdr:col>
      <xdr:colOff>490008</xdr:colOff>
      <xdr:row>13</xdr:row>
      <xdr:rowOff>45861</xdr:rowOff>
    </xdr:to>
    <xdr:pic>
      <xdr:nvPicPr>
        <xdr:cNvPr id="27" name="Graphic 26" descr="Call center with solid fill">
          <a:extLst>
            <a:ext uri="{FF2B5EF4-FFF2-40B4-BE49-F238E27FC236}">
              <a16:creationId xmlns:a16="http://schemas.microsoft.com/office/drawing/2014/main" id="{32755C9A-59F2-B026-CD08-D2B15D1A1A3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80797" y="1425222"/>
          <a:ext cx="909461" cy="916164"/>
        </a:xfrm>
        <a:prstGeom prst="rect">
          <a:avLst/>
        </a:prstGeom>
      </xdr:spPr>
    </xdr:pic>
    <xdr:clientData/>
  </xdr:twoCellAnchor>
  <xdr:twoCellAnchor editAs="oneCell">
    <xdr:from>
      <xdr:col>2</xdr:col>
      <xdr:colOff>260703</xdr:colOff>
      <xdr:row>20</xdr:row>
      <xdr:rowOff>67733</xdr:rowOff>
    </xdr:from>
    <xdr:to>
      <xdr:col>3</xdr:col>
      <xdr:colOff>503415</xdr:colOff>
      <xdr:row>25</xdr:row>
      <xdr:rowOff>126647</xdr:rowOff>
    </xdr:to>
    <xdr:pic>
      <xdr:nvPicPr>
        <xdr:cNvPr id="29" name="Graphic 28" descr="Clapper board with solid fill">
          <a:extLst>
            <a:ext uri="{FF2B5EF4-FFF2-40B4-BE49-F238E27FC236}">
              <a16:creationId xmlns:a16="http://schemas.microsoft.com/office/drawing/2014/main" id="{E5EF41C3-B09A-888D-FC88-72856F28DE8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94203" y="3687233"/>
          <a:ext cx="909462" cy="916164"/>
        </a:xfrm>
        <a:prstGeom prst="rect">
          <a:avLst/>
        </a:prstGeom>
      </xdr:spPr>
    </xdr:pic>
    <xdr:clientData/>
  </xdr:twoCellAnchor>
  <xdr:twoCellAnchor editAs="oneCell">
    <xdr:from>
      <xdr:col>2</xdr:col>
      <xdr:colOff>182387</xdr:colOff>
      <xdr:row>26</xdr:row>
      <xdr:rowOff>705</xdr:rowOff>
    </xdr:from>
    <xdr:to>
      <xdr:col>3</xdr:col>
      <xdr:colOff>420159</xdr:colOff>
      <xdr:row>31</xdr:row>
      <xdr:rowOff>59619</xdr:rowOff>
    </xdr:to>
    <xdr:pic>
      <xdr:nvPicPr>
        <xdr:cNvPr id="31" name="Graphic 30" descr="Chat bubble with solid fill">
          <a:extLst>
            <a:ext uri="{FF2B5EF4-FFF2-40B4-BE49-F238E27FC236}">
              <a16:creationId xmlns:a16="http://schemas.microsoft.com/office/drawing/2014/main" id="{268B5A76-01C2-B903-9E76-12D22CD0E7F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15887" y="4706055"/>
          <a:ext cx="904522" cy="91616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612097</xdr:colOff>
      <xdr:row>10</xdr:row>
      <xdr:rowOff>24984</xdr:rowOff>
    </xdr:from>
    <xdr:to>
      <xdr:col>3</xdr:col>
      <xdr:colOff>312294</xdr:colOff>
      <xdr:row>17</xdr:row>
      <xdr:rowOff>62459</xdr:rowOff>
    </xdr:to>
    <xdr:sp macro="" textlink="'new pivot'!A4">
      <xdr:nvSpPr>
        <xdr:cNvPr id="2" name="Rectangle 1">
          <a:extLst>
            <a:ext uri="{FF2B5EF4-FFF2-40B4-BE49-F238E27FC236}">
              <a16:creationId xmlns:a16="http://schemas.microsoft.com/office/drawing/2014/main" id="{39EC32BA-CE6C-9EDE-E802-AB7DF380F31A}"/>
            </a:ext>
          </a:extLst>
        </xdr:cNvPr>
        <xdr:cNvSpPr/>
      </xdr:nvSpPr>
      <xdr:spPr>
        <a:xfrm>
          <a:off x="612097" y="2548328"/>
          <a:ext cx="1723869" cy="1261672"/>
        </a:xfrm>
        <a:prstGeom prst="rect">
          <a:avLst/>
        </a:prstGeom>
        <a:solidFill>
          <a:srgbClr val="FF0000"/>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EF021C6E-B0E8-4901-B95E-7ADB532A9095}"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entury Schoolbook"/>
            </a:rPr>
            <a:pPr algn="ctr"/>
            <a:t>1,000</a:t>
          </a:fld>
          <a:endParaRPr lang="en-US" sz="24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624840</xdr:colOff>
      <xdr:row>10</xdr:row>
      <xdr:rowOff>68580</xdr:rowOff>
    </xdr:from>
    <xdr:to>
      <xdr:col>3</xdr:col>
      <xdr:colOff>281940</xdr:colOff>
      <xdr:row>12</xdr:row>
      <xdr:rowOff>0</xdr:rowOff>
    </xdr:to>
    <xdr:sp macro="" textlink="">
      <xdr:nvSpPr>
        <xdr:cNvPr id="4" name="TextBox 3">
          <a:extLst>
            <a:ext uri="{FF2B5EF4-FFF2-40B4-BE49-F238E27FC236}">
              <a16:creationId xmlns:a16="http://schemas.microsoft.com/office/drawing/2014/main" id="{DD7B0905-98C4-1AD9-DB4E-88F5AC7FB11F}"/>
            </a:ext>
          </a:extLst>
        </xdr:cNvPr>
        <xdr:cNvSpPr txBox="1"/>
      </xdr:nvSpPr>
      <xdr:spPr>
        <a:xfrm>
          <a:off x="624840" y="243840"/>
          <a:ext cx="1668780" cy="28194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latin typeface="Arial Black" panose="020B0A04020102020204" pitchFamily="34" charset="0"/>
            </a:rPr>
            <a:t>calls</a:t>
          </a:r>
        </a:p>
      </xdr:txBody>
    </xdr:sp>
    <xdr:clientData/>
  </xdr:twoCellAnchor>
  <xdr:twoCellAnchor editAs="oneCell">
    <xdr:from>
      <xdr:col>1</xdr:col>
      <xdr:colOff>24984</xdr:colOff>
      <xdr:row>13</xdr:row>
      <xdr:rowOff>39974</xdr:rowOff>
    </xdr:from>
    <xdr:to>
      <xdr:col>1</xdr:col>
      <xdr:colOff>362263</xdr:colOff>
      <xdr:row>15</xdr:row>
      <xdr:rowOff>29202</xdr:rowOff>
    </xdr:to>
    <xdr:pic>
      <xdr:nvPicPr>
        <xdr:cNvPr id="5" name="Graphic 4" descr="Angel face with solid fill with solid fill">
          <a:extLst>
            <a:ext uri="{FF2B5EF4-FFF2-40B4-BE49-F238E27FC236}">
              <a16:creationId xmlns:a16="http://schemas.microsoft.com/office/drawing/2014/main" id="{8EE73C4F-1553-4C27-A709-9022E6A5EC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9541" y="3087974"/>
          <a:ext cx="337279" cy="338998"/>
        </a:xfrm>
        <a:prstGeom prst="rect">
          <a:avLst/>
        </a:prstGeom>
      </xdr:spPr>
    </xdr:pic>
    <xdr:clientData/>
  </xdr:twoCellAnchor>
  <xdr:twoCellAnchor>
    <xdr:from>
      <xdr:col>0</xdr:col>
      <xdr:colOff>635207</xdr:colOff>
      <xdr:row>19</xdr:row>
      <xdr:rowOff>121920</xdr:rowOff>
    </xdr:from>
    <xdr:to>
      <xdr:col>3</xdr:col>
      <xdr:colOff>299802</xdr:colOff>
      <xdr:row>28</xdr:row>
      <xdr:rowOff>74951</xdr:rowOff>
    </xdr:to>
    <xdr:sp macro="" textlink="'new pivot'!A4">
      <xdr:nvSpPr>
        <xdr:cNvPr id="7" name="Rectangle 6">
          <a:extLst>
            <a:ext uri="{FF2B5EF4-FFF2-40B4-BE49-F238E27FC236}">
              <a16:creationId xmlns:a16="http://schemas.microsoft.com/office/drawing/2014/main" id="{245B374F-BBA5-4D01-849A-B044FF4EF7BD}"/>
            </a:ext>
          </a:extLst>
        </xdr:cNvPr>
        <xdr:cNvSpPr/>
      </xdr:nvSpPr>
      <xdr:spPr>
        <a:xfrm>
          <a:off x="635207" y="4219231"/>
          <a:ext cx="1688267" cy="1526999"/>
        </a:xfrm>
        <a:prstGeom prst="rect">
          <a:avLst/>
        </a:prstGeom>
        <a:solidFill>
          <a:srgbClr val="FF0000"/>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EF021C6E-B0E8-4901-B95E-7ADB532A9095}"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entury Schoolbook"/>
            </a:rPr>
            <a:pPr algn="ctr"/>
            <a:t>1,000</a:t>
          </a:fld>
          <a:endParaRPr lang="en-US" sz="24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637082</xdr:colOff>
      <xdr:row>31</xdr:row>
      <xdr:rowOff>162394</xdr:rowOff>
    </xdr:from>
    <xdr:to>
      <xdr:col>3</xdr:col>
      <xdr:colOff>387246</xdr:colOff>
      <xdr:row>40</xdr:row>
      <xdr:rowOff>87443</xdr:rowOff>
    </xdr:to>
    <xdr:sp macro="" textlink="'new pivot'!A4">
      <xdr:nvSpPr>
        <xdr:cNvPr id="8" name="Rectangle 7">
          <a:extLst>
            <a:ext uri="{FF2B5EF4-FFF2-40B4-BE49-F238E27FC236}">
              <a16:creationId xmlns:a16="http://schemas.microsoft.com/office/drawing/2014/main" id="{364013EE-A858-4CAE-AEB0-39E00F6685AC}"/>
            </a:ext>
          </a:extLst>
        </xdr:cNvPr>
        <xdr:cNvSpPr/>
      </xdr:nvSpPr>
      <xdr:spPr>
        <a:xfrm>
          <a:off x="637082" y="6358328"/>
          <a:ext cx="1773836" cy="1499017"/>
        </a:xfrm>
        <a:prstGeom prst="rect">
          <a:avLst/>
        </a:prstGeom>
        <a:solidFill>
          <a:srgbClr val="FF0000"/>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EF021C6E-B0E8-4901-B95E-7ADB532A9095}"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entury Schoolbook"/>
            </a:rPr>
            <a:pPr algn="ctr"/>
            <a:t>1,000</a:t>
          </a:fld>
          <a:endParaRPr lang="en-US" sz="24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0</xdr:colOff>
      <xdr:row>44</xdr:row>
      <xdr:rowOff>-1</xdr:rowOff>
    </xdr:from>
    <xdr:to>
      <xdr:col>3</xdr:col>
      <xdr:colOff>444500</xdr:colOff>
      <xdr:row>52</xdr:row>
      <xdr:rowOff>21165</xdr:rowOff>
    </xdr:to>
    <xdr:sp macro="" textlink="'new pivot'!A4">
      <xdr:nvSpPr>
        <xdr:cNvPr id="9" name="Rectangle 8">
          <a:extLst>
            <a:ext uri="{FF2B5EF4-FFF2-40B4-BE49-F238E27FC236}">
              <a16:creationId xmlns:a16="http://schemas.microsoft.com/office/drawing/2014/main" id="{328122FA-3E64-4642-8C0D-85FDDC7C1376}"/>
            </a:ext>
          </a:extLst>
        </xdr:cNvPr>
        <xdr:cNvSpPr/>
      </xdr:nvSpPr>
      <xdr:spPr>
        <a:xfrm>
          <a:off x="677333" y="8254999"/>
          <a:ext cx="1799167" cy="1375833"/>
        </a:xfrm>
        <a:prstGeom prst="rect">
          <a:avLst/>
        </a:prstGeom>
        <a:solidFill>
          <a:srgbClr val="FF0000"/>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EF021C6E-B0E8-4901-B95E-7ADB532A9095}"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entury Schoolbook"/>
            </a:rPr>
            <a:pPr algn="ctr"/>
            <a:t>1,000</a:t>
          </a:fld>
          <a:endParaRPr lang="en-US" sz="24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0</xdr:colOff>
      <xdr:row>56</xdr:row>
      <xdr:rowOff>0</xdr:rowOff>
    </xdr:from>
    <xdr:to>
      <xdr:col>3</xdr:col>
      <xdr:colOff>399738</xdr:colOff>
      <xdr:row>64</xdr:row>
      <xdr:rowOff>0</xdr:rowOff>
    </xdr:to>
    <xdr:sp macro="" textlink="'new pivot'!A4">
      <xdr:nvSpPr>
        <xdr:cNvPr id="10" name="Rectangle 9">
          <a:extLst>
            <a:ext uri="{FF2B5EF4-FFF2-40B4-BE49-F238E27FC236}">
              <a16:creationId xmlns:a16="http://schemas.microsoft.com/office/drawing/2014/main" id="{F284141E-80C7-4343-966A-BAD1E28D017C}"/>
            </a:ext>
          </a:extLst>
        </xdr:cNvPr>
        <xdr:cNvSpPr/>
      </xdr:nvSpPr>
      <xdr:spPr>
        <a:xfrm>
          <a:off x="674557" y="10568066"/>
          <a:ext cx="1748853" cy="1399082"/>
        </a:xfrm>
        <a:prstGeom prst="rect">
          <a:avLst/>
        </a:prstGeom>
        <a:solidFill>
          <a:srgbClr val="FF0000"/>
        </a:solidFill>
        <a:ln>
          <a:noFill/>
        </a:ln>
        <a:effectLst>
          <a:outerShdw blurRad="50800" dist="38100" algn="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EF021C6E-B0E8-4901-B95E-7ADB532A9095}" type="TxLink">
            <a:rPr lang="en-US" sz="2400" b="0" i="0" u="none" strike="noStrike" cap="none" spc="0">
              <a:ln w="0"/>
              <a:solidFill>
                <a:schemeClr val="bg1"/>
              </a:solidFill>
              <a:effectLst>
                <a:outerShdw blurRad="38100" dist="19050" dir="2700000" algn="tl" rotWithShape="0">
                  <a:schemeClr val="dk1">
                    <a:alpha val="40000"/>
                  </a:schemeClr>
                </a:outerShdw>
              </a:effectLst>
              <a:latin typeface="Century Schoolbook"/>
            </a:rPr>
            <a:pPr algn="ctr"/>
            <a:t>1,000</a:t>
          </a:fld>
          <a:endParaRPr lang="en-US" sz="2400" b="0"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xdr:col>
      <xdr:colOff>24985</xdr:colOff>
      <xdr:row>20</xdr:row>
      <xdr:rowOff>74950</xdr:rowOff>
    </xdr:from>
    <xdr:to>
      <xdr:col>3</xdr:col>
      <xdr:colOff>312296</xdr:colOff>
      <xdr:row>22</xdr:row>
      <xdr:rowOff>99935</xdr:rowOff>
    </xdr:to>
    <xdr:sp macro="" textlink="">
      <xdr:nvSpPr>
        <xdr:cNvPr id="12" name="TextBox 11">
          <a:extLst>
            <a:ext uri="{FF2B5EF4-FFF2-40B4-BE49-F238E27FC236}">
              <a16:creationId xmlns:a16="http://schemas.microsoft.com/office/drawing/2014/main" id="{6930316C-E1B5-4AB2-B9D6-08AC7B77268A}"/>
            </a:ext>
          </a:extLst>
        </xdr:cNvPr>
        <xdr:cNvSpPr txBox="1"/>
      </xdr:nvSpPr>
      <xdr:spPr>
        <a:xfrm>
          <a:off x="699542" y="4347147"/>
          <a:ext cx="1636426" cy="37475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bg1"/>
              </a:solidFill>
              <a:latin typeface="Arial Black" panose="020B0A04020102020204" pitchFamily="34" charset="0"/>
            </a:rPr>
            <a:t>TOTAL</a:t>
          </a:r>
          <a:r>
            <a:rPr lang="en-IN" sz="1000" b="1" baseline="0">
              <a:solidFill>
                <a:schemeClr val="bg1"/>
              </a:solidFill>
              <a:latin typeface="Arial Black" panose="020B0A04020102020204" pitchFamily="34" charset="0"/>
            </a:rPr>
            <a:t> AMOUNT</a:t>
          </a:r>
          <a:endParaRPr lang="en-IN" sz="1000" b="1">
            <a:solidFill>
              <a:schemeClr val="bg1"/>
            </a:solidFill>
            <a:latin typeface="Arial Black" panose="020B0A04020102020204" pitchFamily="34" charset="0"/>
          </a:endParaRPr>
        </a:p>
      </xdr:txBody>
    </xdr:sp>
    <xdr:clientData/>
  </xdr:twoCellAnchor>
  <xdr:twoCellAnchor>
    <xdr:from>
      <xdr:col>1</xdr:col>
      <xdr:colOff>0</xdr:colOff>
      <xdr:row>33</xdr:row>
      <xdr:rowOff>0</xdr:rowOff>
    </xdr:from>
    <xdr:to>
      <xdr:col>3</xdr:col>
      <xdr:colOff>299803</xdr:colOff>
      <xdr:row>35</xdr:row>
      <xdr:rowOff>124918</xdr:rowOff>
    </xdr:to>
    <xdr:sp macro="" textlink="">
      <xdr:nvSpPr>
        <xdr:cNvPr id="13" name="TextBox 12">
          <a:extLst>
            <a:ext uri="{FF2B5EF4-FFF2-40B4-BE49-F238E27FC236}">
              <a16:creationId xmlns:a16="http://schemas.microsoft.com/office/drawing/2014/main" id="{66ACED82-A8DB-4164-8CA5-0382B1308171}"/>
            </a:ext>
          </a:extLst>
        </xdr:cNvPr>
        <xdr:cNvSpPr txBox="1"/>
      </xdr:nvSpPr>
      <xdr:spPr>
        <a:xfrm>
          <a:off x="674557" y="6545705"/>
          <a:ext cx="1648918" cy="474688"/>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solidFill>
                <a:schemeClr val="bg1"/>
              </a:solidFill>
              <a:latin typeface="Arial Black" panose="020B0A04020102020204" pitchFamily="34" charset="0"/>
            </a:rPr>
            <a:t>DURATION</a:t>
          </a:r>
        </a:p>
      </xdr:txBody>
    </xdr:sp>
    <xdr:clientData/>
  </xdr:twoCellAnchor>
  <xdr:twoCellAnchor>
    <xdr:from>
      <xdr:col>1</xdr:col>
      <xdr:colOff>1</xdr:colOff>
      <xdr:row>44</xdr:row>
      <xdr:rowOff>1</xdr:rowOff>
    </xdr:from>
    <xdr:to>
      <xdr:col>3</xdr:col>
      <xdr:colOff>359833</xdr:colOff>
      <xdr:row>46</xdr:row>
      <xdr:rowOff>76200</xdr:rowOff>
    </xdr:to>
    <xdr:sp macro="" textlink="">
      <xdr:nvSpPr>
        <xdr:cNvPr id="14" name="TextBox 13">
          <a:extLst>
            <a:ext uri="{FF2B5EF4-FFF2-40B4-BE49-F238E27FC236}">
              <a16:creationId xmlns:a16="http://schemas.microsoft.com/office/drawing/2014/main" id="{1783B2B0-4A20-4506-A55F-975F17318B10}"/>
            </a:ext>
          </a:extLst>
        </xdr:cNvPr>
        <xdr:cNvSpPr txBox="1"/>
      </xdr:nvSpPr>
      <xdr:spPr>
        <a:xfrm>
          <a:off x="677334" y="8255001"/>
          <a:ext cx="1714499" cy="414866"/>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latin typeface="Arial Black" panose="020B0A04020102020204" pitchFamily="34" charset="0"/>
            </a:rPr>
            <a:t>RATING</a:t>
          </a:r>
        </a:p>
      </xdr:txBody>
    </xdr:sp>
    <xdr:clientData/>
  </xdr:twoCellAnchor>
  <xdr:twoCellAnchor>
    <xdr:from>
      <xdr:col>1</xdr:col>
      <xdr:colOff>0</xdr:colOff>
      <xdr:row>56</xdr:row>
      <xdr:rowOff>0</xdr:rowOff>
    </xdr:from>
    <xdr:to>
      <xdr:col>3</xdr:col>
      <xdr:colOff>327660</xdr:colOff>
      <xdr:row>57</xdr:row>
      <xdr:rowOff>106680</xdr:rowOff>
    </xdr:to>
    <xdr:sp macro="" textlink="">
      <xdr:nvSpPr>
        <xdr:cNvPr id="15" name="TextBox 14">
          <a:extLst>
            <a:ext uri="{FF2B5EF4-FFF2-40B4-BE49-F238E27FC236}">
              <a16:creationId xmlns:a16="http://schemas.microsoft.com/office/drawing/2014/main" id="{51031676-100B-4C12-BE1F-94AFDBCB1D59}"/>
            </a:ext>
          </a:extLst>
        </xdr:cNvPr>
        <xdr:cNvSpPr txBox="1"/>
      </xdr:nvSpPr>
      <xdr:spPr>
        <a:xfrm>
          <a:off x="670560" y="7886700"/>
          <a:ext cx="1668780" cy="28194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bg1"/>
              </a:solidFill>
              <a:latin typeface="Arial Black" panose="020B0A04020102020204" pitchFamily="34" charset="0"/>
            </a:rPr>
            <a:t>5*CALLS</a:t>
          </a:r>
        </a:p>
        <a:p>
          <a:pPr algn="ctr"/>
          <a:endParaRPr lang="en-IN" sz="1200" b="1">
            <a:solidFill>
              <a:schemeClr val="bg1"/>
            </a:solidFill>
            <a:latin typeface="Arial Black" panose="020B0A04020102020204" pitchFamily="34" charset="0"/>
          </a:endParaRPr>
        </a:p>
      </xdr:txBody>
    </xdr:sp>
    <xdr:clientData/>
  </xdr:twoCellAnchor>
  <xdr:twoCellAnchor>
    <xdr:from>
      <xdr:col>0</xdr:col>
      <xdr:colOff>647700</xdr:colOff>
      <xdr:row>24</xdr:row>
      <xdr:rowOff>106680</xdr:rowOff>
    </xdr:from>
    <xdr:to>
      <xdr:col>3</xdr:col>
      <xdr:colOff>350520</xdr:colOff>
      <xdr:row>26</xdr:row>
      <xdr:rowOff>137160</xdr:rowOff>
    </xdr:to>
    <xdr:sp macro="" textlink="'new pivot'!B18">
      <xdr:nvSpPr>
        <xdr:cNvPr id="21" name="TextBox 20">
          <a:extLst>
            <a:ext uri="{FF2B5EF4-FFF2-40B4-BE49-F238E27FC236}">
              <a16:creationId xmlns:a16="http://schemas.microsoft.com/office/drawing/2014/main" id="{335A83FA-C643-DA1F-039A-297B4420EFB6}"/>
            </a:ext>
          </a:extLst>
        </xdr:cNvPr>
        <xdr:cNvSpPr txBox="1"/>
      </xdr:nvSpPr>
      <xdr:spPr>
        <a:xfrm>
          <a:off x="647700" y="2735580"/>
          <a:ext cx="17145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47FA0D-2E01-4680-A5DD-07B8D82367B2}" type="TxLink">
            <a:rPr lang="en-US" sz="1100" b="0" i="0" u="none" strike="noStrike">
              <a:solidFill>
                <a:schemeClr val="bg1"/>
              </a:solidFill>
              <a:latin typeface="Century Schoolbook"/>
            </a:rPr>
            <a:pPr algn="ctr"/>
            <a:t>₹ 20,104</a:t>
          </a:fld>
          <a:endParaRPr lang="en-IN" sz="1100">
            <a:solidFill>
              <a:schemeClr val="bg1"/>
            </a:solidFill>
          </a:endParaRPr>
        </a:p>
      </xdr:txBody>
    </xdr:sp>
    <xdr:clientData/>
  </xdr:twoCellAnchor>
  <xdr:twoCellAnchor>
    <xdr:from>
      <xdr:col>1</xdr:col>
      <xdr:colOff>85069</xdr:colOff>
      <xdr:row>37</xdr:row>
      <xdr:rowOff>126791</xdr:rowOff>
    </xdr:from>
    <xdr:to>
      <xdr:col>3</xdr:col>
      <xdr:colOff>344149</xdr:colOff>
      <xdr:row>39</xdr:row>
      <xdr:rowOff>88691</xdr:rowOff>
    </xdr:to>
    <xdr:sp macro="" textlink="'new pivot'!C18">
      <xdr:nvSpPr>
        <xdr:cNvPr id="22" name="TextBox 21">
          <a:extLst>
            <a:ext uri="{FF2B5EF4-FFF2-40B4-BE49-F238E27FC236}">
              <a16:creationId xmlns:a16="http://schemas.microsoft.com/office/drawing/2014/main" id="{3F88D03F-64EE-401A-BB84-0EFE17C9FCAB}"/>
            </a:ext>
          </a:extLst>
        </xdr:cNvPr>
        <xdr:cNvSpPr txBox="1"/>
      </xdr:nvSpPr>
      <xdr:spPr>
        <a:xfrm>
          <a:off x="759626" y="7372037"/>
          <a:ext cx="1608195" cy="311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86811C-9B94-4BC1-BF5E-9942CF5158FC}" type="TxLink">
            <a:rPr lang="en-US" sz="1100" b="0" i="0" u="none" strike="noStrike">
              <a:solidFill>
                <a:schemeClr val="bg1"/>
              </a:solidFill>
              <a:latin typeface="Century Schoolbook"/>
            </a:rPr>
            <a:pPr algn="ctr"/>
            <a:t>18,209</a:t>
          </a:fld>
          <a:endParaRPr lang="en-IN" sz="1100">
            <a:solidFill>
              <a:schemeClr val="bg1"/>
            </a:solidFill>
          </a:endParaRPr>
        </a:p>
      </xdr:txBody>
    </xdr:sp>
    <xdr:clientData/>
  </xdr:twoCellAnchor>
  <xdr:twoCellAnchor>
    <xdr:from>
      <xdr:col>1</xdr:col>
      <xdr:colOff>129540</xdr:colOff>
      <xdr:row>48</xdr:row>
      <xdr:rowOff>144780</xdr:rowOff>
    </xdr:from>
    <xdr:to>
      <xdr:col>3</xdr:col>
      <xdr:colOff>327660</xdr:colOff>
      <xdr:row>50</xdr:row>
      <xdr:rowOff>53340</xdr:rowOff>
    </xdr:to>
    <xdr:sp macro="" textlink="'new pivot'!D18">
      <xdr:nvSpPr>
        <xdr:cNvPr id="23" name="TextBox 22">
          <a:extLst>
            <a:ext uri="{FF2B5EF4-FFF2-40B4-BE49-F238E27FC236}">
              <a16:creationId xmlns:a16="http://schemas.microsoft.com/office/drawing/2014/main" id="{422181B9-D366-42CF-B269-F852BFBA5CBA}"/>
            </a:ext>
          </a:extLst>
        </xdr:cNvPr>
        <xdr:cNvSpPr txBox="1"/>
      </xdr:nvSpPr>
      <xdr:spPr>
        <a:xfrm>
          <a:off x="800100" y="6629400"/>
          <a:ext cx="15392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1AD7DD-1837-45F1-B1CD-912851007478}" type="TxLink">
            <a:rPr lang="en-US" sz="1600" b="0" i="0" u="none" strike="noStrike">
              <a:solidFill>
                <a:schemeClr val="bg1"/>
              </a:solidFill>
              <a:latin typeface="Century Schoolbook"/>
            </a:rPr>
            <a:pPr algn="ctr"/>
            <a:t>4</a:t>
          </a:fld>
          <a:endParaRPr lang="en-IN" sz="1600">
            <a:solidFill>
              <a:schemeClr val="bg1"/>
            </a:solidFill>
          </a:endParaRPr>
        </a:p>
      </xdr:txBody>
    </xdr:sp>
    <xdr:clientData/>
  </xdr:twoCellAnchor>
  <xdr:twoCellAnchor>
    <xdr:from>
      <xdr:col>1</xdr:col>
      <xdr:colOff>121920</xdr:colOff>
      <xdr:row>60</xdr:row>
      <xdr:rowOff>121920</xdr:rowOff>
    </xdr:from>
    <xdr:to>
      <xdr:col>3</xdr:col>
      <xdr:colOff>350520</xdr:colOff>
      <xdr:row>62</xdr:row>
      <xdr:rowOff>83820</xdr:rowOff>
    </xdr:to>
    <xdr:sp macro="" textlink="'new pivot'!E18">
      <xdr:nvSpPr>
        <xdr:cNvPr id="24" name="TextBox 23">
          <a:extLst>
            <a:ext uri="{FF2B5EF4-FFF2-40B4-BE49-F238E27FC236}">
              <a16:creationId xmlns:a16="http://schemas.microsoft.com/office/drawing/2014/main" id="{74D044D6-3E19-4533-9AB5-F78EF1F40514}"/>
            </a:ext>
          </a:extLst>
        </xdr:cNvPr>
        <xdr:cNvSpPr txBox="1"/>
      </xdr:nvSpPr>
      <xdr:spPr>
        <a:xfrm>
          <a:off x="792480" y="8709660"/>
          <a:ext cx="15697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2C785D-4886-486D-9EBA-A749C163D692}" type="TxLink">
            <a:rPr lang="en-US" sz="1100" b="0" i="0" u="none" strike="noStrike">
              <a:solidFill>
                <a:schemeClr val="bg1"/>
              </a:solidFill>
              <a:latin typeface="Century Schoolbook"/>
            </a:rPr>
            <a:pPr algn="ctr"/>
            <a:t>51</a:t>
          </a:fld>
          <a:endParaRPr lang="en-IN" sz="1100">
            <a:solidFill>
              <a:schemeClr val="bg1"/>
            </a:solidFill>
          </a:endParaRPr>
        </a:p>
      </xdr:txBody>
    </xdr:sp>
    <xdr:clientData/>
  </xdr:twoCellAnchor>
  <xdr:twoCellAnchor editAs="oneCell">
    <xdr:from>
      <xdr:col>1</xdr:col>
      <xdr:colOff>1</xdr:colOff>
      <xdr:row>22</xdr:row>
      <xdr:rowOff>0</xdr:rowOff>
    </xdr:from>
    <xdr:to>
      <xdr:col>1</xdr:col>
      <xdr:colOff>388620</xdr:colOff>
      <xdr:row>24</xdr:row>
      <xdr:rowOff>40964</xdr:rowOff>
    </xdr:to>
    <xdr:pic>
      <xdr:nvPicPr>
        <xdr:cNvPr id="25" name="Graphic 24" descr="Call center with solid fill">
          <a:extLst>
            <a:ext uri="{FF2B5EF4-FFF2-40B4-BE49-F238E27FC236}">
              <a16:creationId xmlns:a16="http://schemas.microsoft.com/office/drawing/2014/main" id="{F1AAE727-A426-403C-B9D4-4C64202C66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0561" y="1927860"/>
          <a:ext cx="388619" cy="391483"/>
        </a:xfrm>
        <a:prstGeom prst="rect">
          <a:avLst/>
        </a:prstGeom>
      </xdr:spPr>
    </xdr:pic>
    <xdr:clientData/>
  </xdr:twoCellAnchor>
  <xdr:twoCellAnchor editAs="oneCell">
    <xdr:from>
      <xdr:col>1</xdr:col>
      <xdr:colOff>1</xdr:colOff>
      <xdr:row>33</xdr:row>
      <xdr:rowOff>1</xdr:rowOff>
    </xdr:from>
    <xdr:to>
      <xdr:col>1</xdr:col>
      <xdr:colOff>325264</xdr:colOff>
      <xdr:row>34</xdr:row>
      <xdr:rowOff>152400</xdr:rowOff>
    </xdr:to>
    <xdr:pic>
      <xdr:nvPicPr>
        <xdr:cNvPr id="26" name="Graphic 25" descr="Checkmark with solid fill">
          <a:extLst>
            <a:ext uri="{FF2B5EF4-FFF2-40B4-BE49-F238E27FC236}">
              <a16:creationId xmlns:a16="http://schemas.microsoft.com/office/drawing/2014/main" id="{66615BC7-D9CA-41A2-A7DD-399D859F50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1" y="3855721"/>
          <a:ext cx="325263" cy="327660"/>
        </a:xfrm>
        <a:prstGeom prst="rect">
          <a:avLst/>
        </a:prstGeom>
      </xdr:spPr>
    </xdr:pic>
    <xdr:clientData/>
  </xdr:twoCellAnchor>
  <xdr:twoCellAnchor editAs="oneCell">
    <xdr:from>
      <xdr:col>1</xdr:col>
      <xdr:colOff>15240</xdr:colOff>
      <xdr:row>44</xdr:row>
      <xdr:rowOff>38101</xdr:rowOff>
    </xdr:from>
    <xdr:to>
      <xdr:col>1</xdr:col>
      <xdr:colOff>477118</xdr:colOff>
      <xdr:row>45</xdr:row>
      <xdr:rowOff>99062</xdr:rowOff>
    </xdr:to>
    <xdr:pic>
      <xdr:nvPicPr>
        <xdr:cNvPr id="27" name="Graphic 26" descr="Clapper board with solid fill">
          <a:extLst>
            <a:ext uri="{FF2B5EF4-FFF2-40B4-BE49-F238E27FC236}">
              <a16:creationId xmlns:a16="http://schemas.microsoft.com/office/drawing/2014/main" id="{E642B808-1FE6-4BEF-B484-4CA9BA80074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5821681"/>
          <a:ext cx="461878" cy="236220"/>
        </a:xfrm>
        <a:prstGeom prst="rect">
          <a:avLst/>
        </a:prstGeom>
      </xdr:spPr>
    </xdr:pic>
    <xdr:clientData/>
  </xdr:twoCellAnchor>
  <xdr:twoCellAnchor editAs="oneCell">
    <xdr:from>
      <xdr:col>1</xdr:col>
      <xdr:colOff>0</xdr:colOff>
      <xdr:row>56</xdr:row>
      <xdr:rowOff>0</xdr:rowOff>
    </xdr:from>
    <xdr:to>
      <xdr:col>1</xdr:col>
      <xdr:colOff>381000</xdr:colOff>
      <xdr:row>58</xdr:row>
      <xdr:rowOff>35383</xdr:rowOff>
    </xdr:to>
    <xdr:pic>
      <xdr:nvPicPr>
        <xdr:cNvPr id="28" name="Graphic 27" descr="Chat bubble with solid fill">
          <a:extLst>
            <a:ext uri="{FF2B5EF4-FFF2-40B4-BE49-F238E27FC236}">
              <a16:creationId xmlns:a16="http://schemas.microsoft.com/office/drawing/2014/main" id="{64DD4124-BDC2-4FB7-B6F2-BF23C3803A3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0560" y="7886700"/>
          <a:ext cx="381000" cy="385904"/>
        </a:xfrm>
        <a:prstGeom prst="rect">
          <a:avLst/>
        </a:prstGeom>
      </xdr:spPr>
    </xdr:pic>
    <xdr:clientData/>
  </xdr:twoCellAnchor>
  <xdr:twoCellAnchor>
    <xdr:from>
      <xdr:col>1</xdr:col>
      <xdr:colOff>587457</xdr:colOff>
      <xdr:row>15</xdr:row>
      <xdr:rowOff>62347</xdr:rowOff>
    </xdr:from>
    <xdr:to>
      <xdr:col>4</xdr:col>
      <xdr:colOff>102547</xdr:colOff>
      <xdr:row>17</xdr:row>
      <xdr:rowOff>0</xdr:rowOff>
    </xdr:to>
    <xdr:sp macro="" textlink="'new pivot'!A18">
      <xdr:nvSpPr>
        <xdr:cNvPr id="32" name="TextBox 31">
          <a:extLst>
            <a:ext uri="{FF2B5EF4-FFF2-40B4-BE49-F238E27FC236}">
              <a16:creationId xmlns:a16="http://schemas.microsoft.com/office/drawing/2014/main" id="{52AD702B-DB79-0688-6D0A-C23EEAC1CBC6}"/>
            </a:ext>
          </a:extLst>
        </xdr:cNvPr>
        <xdr:cNvSpPr txBox="1"/>
      </xdr:nvSpPr>
      <xdr:spPr>
        <a:xfrm>
          <a:off x="1262014" y="3460117"/>
          <a:ext cx="1538763" cy="287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DD0EDD-5F09-4F64-948A-734EFB243B3C}" type="TxLink">
            <a:rPr lang="en-US" sz="1100" b="0" i="0" u="none" strike="noStrike">
              <a:solidFill>
                <a:schemeClr val="bg1"/>
              </a:solidFill>
              <a:latin typeface="Century Schoolbook"/>
            </a:rPr>
            <a:pPr/>
            <a:t>200</a:t>
          </a:fld>
          <a:endParaRPr lang="en-IN" sz="1100">
            <a:solidFill>
              <a:schemeClr val="bg1"/>
            </a:solidFill>
          </a:endParaRPr>
        </a:p>
      </xdr:txBody>
    </xdr:sp>
    <xdr:clientData/>
  </xdr:twoCellAnchor>
  <xdr:twoCellAnchor editAs="oneCell">
    <xdr:from>
      <xdr:col>18</xdr:col>
      <xdr:colOff>50940</xdr:colOff>
      <xdr:row>14</xdr:row>
      <xdr:rowOff>43143</xdr:rowOff>
    </xdr:from>
    <xdr:to>
      <xdr:col>20</xdr:col>
      <xdr:colOff>537793</xdr:colOff>
      <xdr:row>29</xdr:row>
      <xdr:rowOff>10278</xdr:rowOff>
    </xdr:to>
    <mc:AlternateContent xmlns:mc="http://schemas.openxmlformats.org/markup-compatibility/2006" xmlns:a14="http://schemas.microsoft.com/office/drawing/2010/main">
      <mc:Choice Requires="a14">
        <xdr:graphicFrame macro="">
          <xdr:nvGraphicFramePr>
            <xdr:cNvPr id="33" name="Representative 2">
              <a:extLst>
                <a:ext uri="{FF2B5EF4-FFF2-40B4-BE49-F238E27FC236}">
                  <a16:creationId xmlns:a16="http://schemas.microsoft.com/office/drawing/2014/main" id="{A0615451-2A5B-4247-A328-8D683CD59978}"/>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11997134" y="3238627"/>
              <a:ext cx="1814207" cy="2548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565222</xdr:colOff>
      <xdr:row>9</xdr:row>
      <xdr:rowOff>38100</xdr:rowOff>
    </xdr:from>
    <xdr:to>
      <xdr:col>13</xdr:col>
      <xdr:colOff>95250</xdr:colOff>
      <xdr:row>29</xdr:row>
      <xdr:rowOff>87085</xdr:rowOff>
    </xdr:to>
    <xdr:graphicFrame macro="">
      <xdr:nvGraphicFramePr>
        <xdr:cNvPr id="34" name="Chart 33">
          <a:extLst>
            <a:ext uri="{FF2B5EF4-FFF2-40B4-BE49-F238E27FC236}">
              <a16:creationId xmlns:a16="http://schemas.microsoft.com/office/drawing/2014/main" id="{BA23A9FD-F57F-45F5-9907-2E64A25CD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275936</xdr:colOff>
      <xdr:row>9</xdr:row>
      <xdr:rowOff>103333</xdr:rowOff>
    </xdr:from>
    <xdr:to>
      <xdr:col>17</xdr:col>
      <xdr:colOff>599786</xdr:colOff>
      <xdr:row>29</xdr:row>
      <xdr:rowOff>84283</xdr:rowOff>
    </xdr:to>
    <xdr:graphicFrame macro="">
      <xdr:nvGraphicFramePr>
        <xdr:cNvPr id="3" name="Chart 2">
          <a:extLst>
            <a:ext uri="{FF2B5EF4-FFF2-40B4-BE49-F238E27FC236}">
              <a16:creationId xmlns:a16="http://schemas.microsoft.com/office/drawing/2014/main" id="{62C73C8E-1302-44D4-841C-6652B0F17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51593</xdr:colOff>
      <xdr:row>33</xdr:row>
      <xdr:rowOff>4656</xdr:rowOff>
    </xdr:from>
    <xdr:to>
      <xdr:col>12</xdr:col>
      <xdr:colOff>268941</xdr:colOff>
      <xdr:row>61</xdr:row>
      <xdr:rowOff>89647</xdr:rowOff>
    </xdr:to>
    <xdr:graphicFrame macro="">
      <xdr:nvGraphicFramePr>
        <xdr:cNvPr id="6" name="Chart 5">
          <a:extLst>
            <a:ext uri="{FF2B5EF4-FFF2-40B4-BE49-F238E27FC236}">
              <a16:creationId xmlns:a16="http://schemas.microsoft.com/office/drawing/2014/main" id="{2FF5C024-704B-41FB-ADAE-F8DFE8B6E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370314</xdr:colOff>
      <xdr:row>33</xdr:row>
      <xdr:rowOff>1</xdr:rowOff>
    </xdr:from>
    <xdr:to>
      <xdr:col>21</xdr:col>
      <xdr:colOff>115453</xdr:colOff>
      <xdr:row>61</xdr:row>
      <xdr:rowOff>0</xdr:rowOff>
    </xdr:to>
    <xdr:graphicFrame macro="">
      <xdr:nvGraphicFramePr>
        <xdr:cNvPr id="11" name="Chart 10">
          <a:extLst>
            <a:ext uri="{FF2B5EF4-FFF2-40B4-BE49-F238E27FC236}">
              <a16:creationId xmlns:a16="http://schemas.microsoft.com/office/drawing/2014/main" id="{B90AC1DE-D541-420D-BCA9-A007034D6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14655</xdr:colOff>
      <xdr:row>9</xdr:row>
      <xdr:rowOff>95251</xdr:rowOff>
    </xdr:from>
    <xdr:to>
      <xdr:col>27</xdr:col>
      <xdr:colOff>95250</xdr:colOff>
      <xdr:row>30</xdr:row>
      <xdr:rowOff>104588</xdr:rowOff>
    </xdr:to>
    <xdr:graphicFrame macro="">
      <xdr:nvGraphicFramePr>
        <xdr:cNvPr id="16" name="Chart 15">
          <a:extLst>
            <a:ext uri="{FF2B5EF4-FFF2-40B4-BE49-F238E27FC236}">
              <a16:creationId xmlns:a16="http://schemas.microsoft.com/office/drawing/2014/main" id="{B05CEF2C-5A02-4D30-AF1C-E5389324C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343647</xdr:colOff>
      <xdr:row>10</xdr:row>
      <xdr:rowOff>0</xdr:rowOff>
    </xdr:from>
    <xdr:to>
      <xdr:col>33</xdr:col>
      <xdr:colOff>533400</xdr:colOff>
      <xdr:row>29</xdr:row>
      <xdr:rowOff>53789</xdr:rowOff>
    </xdr:to>
    <xdr:graphicFrame macro="">
      <xdr:nvGraphicFramePr>
        <xdr:cNvPr id="18" name="Chart 17">
          <a:extLst>
            <a:ext uri="{FF2B5EF4-FFF2-40B4-BE49-F238E27FC236}">
              <a16:creationId xmlns:a16="http://schemas.microsoft.com/office/drawing/2014/main" id="{DBE10826-3CA4-4877-8DAD-57E564F76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akuthota" refreshedDate="46134.759245486108" createdVersion="8" refreshedVersion="8" minRefreshableVersion="3" recordCount="1000" xr:uid="{1A921606-BC93-42BF-9005-E493466102AC}">
  <cacheSource type="worksheet">
    <worksheetSource name="CALLS"/>
  </cacheSource>
  <cacheFields count="17">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5">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n v="9" u="1"/>
      </sharedItems>
      <fieldGroup par="13"/>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5"/>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ACKET" numFmtId="0">
      <sharedItems count="5">
        <s v="1 TO 2 HOURS"/>
        <s v="&gt; 2 HOURS"/>
        <s v="10 TO 30 MINS"/>
        <s v="UNDER 10 MINS"/>
        <s v="MORE THAN 2HOURS" u="1"/>
      </sharedItems>
    </cacheField>
    <cacheField name="RATING ROUNDED" numFmtId="0">
      <sharedItems containsSemiMixedTypes="0" containsString="0" containsNumber="1" containsInteger="1" minValue="0" maxValue="5" count="6">
        <n v="5"/>
        <n v="3"/>
        <n v="4"/>
        <n v="2"/>
        <n v="0"/>
        <n v="1"/>
      </sharedItems>
    </cacheField>
    <cacheField name="X" numFmtId="0">
      <sharedItems containsSemiMixedTypes="0" containsString="0" containsNumber="1" containsInteger="1" minValue="1" maxValue="4"/>
    </cacheField>
    <cacheField name="REVENUE PER CALL" numFmtId="0">
      <sharedItems containsSemiMixedTypes="0" containsString="0" containsNumber="1" containsInteger="1" minValue="20" maxValue="225"/>
    </cacheField>
    <cacheField name="Duration2" numFmtId="0" databaseField="0">
      <fieldGroup base="2">
        <discretePr count="165">
          <x v="3"/>
          <x v="3"/>
          <x v="2"/>
          <x v="3"/>
          <x v="2"/>
          <x v="2"/>
          <x v="3"/>
          <x v="1"/>
          <x v="2"/>
          <x v="3"/>
          <x v="3"/>
          <x v="2"/>
          <x v="3"/>
          <x v="2"/>
          <x v="4"/>
          <x v="2"/>
          <x v="1"/>
          <x v="2"/>
          <x v="1"/>
          <x v="2"/>
          <x v="2"/>
          <x v="2"/>
          <x v="2"/>
          <x v="4"/>
          <x v="2"/>
          <x v="2"/>
          <x v="1"/>
          <x v="4"/>
          <x v="3"/>
          <x v="2"/>
          <x v="2"/>
          <x v="2"/>
          <x v="3"/>
          <x v="2"/>
          <x v="2"/>
          <x v="3"/>
          <x v="0"/>
          <x v="3"/>
          <x v="3"/>
          <x v="1"/>
          <x v="3"/>
          <x v="2"/>
          <x v="2"/>
          <x v="4"/>
          <x v="2"/>
          <x v="2"/>
          <x v="3"/>
          <x v="2"/>
          <x v="2"/>
          <x v="3"/>
          <x v="3"/>
          <x v="2"/>
          <x v="3"/>
          <x v="2"/>
          <x v="2"/>
          <x v="3"/>
          <x v="3"/>
          <x v="4"/>
          <x v="3"/>
          <x v="3"/>
          <x v="2"/>
          <x v="3"/>
          <x v="2"/>
          <x v="2"/>
          <x v="2"/>
          <x v="3"/>
          <x v="3"/>
          <x v="2"/>
          <x v="2"/>
          <x v="2"/>
          <x v="3"/>
          <x v="2"/>
          <x v="4"/>
          <x v="2"/>
          <x v="2"/>
          <x v="3"/>
          <x v="3"/>
          <x v="2"/>
          <x v="1"/>
          <x v="0"/>
          <x v="1"/>
          <x v="1"/>
          <x v="2"/>
          <x v="2"/>
          <x v="2"/>
          <x v="4"/>
          <x v="3"/>
          <x v="3"/>
          <x v="4"/>
          <x v="4"/>
          <x v="2"/>
          <x v="0"/>
          <x v="3"/>
          <x v="2"/>
          <x v="4"/>
          <x v="2"/>
          <x v="2"/>
          <x v="3"/>
          <x v="1"/>
          <x v="3"/>
          <x v="0"/>
          <x v="1"/>
          <x v="2"/>
          <x v="2"/>
          <x v="3"/>
          <x v="0"/>
          <x v="2"/>
          <x v="2"/>
          <x v="2"/>
          <x v="2"/>
          <x v="3"/>
          <x v="3"/>
          <x v="3"/>
          <x v="2"/>
          <x v="3"/>
          <x v="3"/>
          <x v="3"/>
          <x v="2"/>
          <x v="3"/>
          <x v="4"/>
          <x v="2"/>
          <x v="1"/>
          <x v="3"/>
          <x v="1"/>
          <x v="3"/>
          <x v="1"/>
          <x v="0"/>
          <x v="4"/>
          <x v="1"/>
          <x v="2"/>
          <x v="3"/>
          <x v="2"/>
          <x v="0"/>
          <x v="4"/>
          <x v="3"/>
          <x v="1"/>
          <x v="4"/>
          <x v="1"/>
          <x v="0"/>
          <x v="4"/>
          <x v="0"/>
          <x v="3"/>
          <x v="1"/>
          <x v="2"/>
          <x v="1"/>
          <x v="2"/>
          <x v="3"/>
          <x v="1"/>
          <x v="3"/>
          <x v="3"/>
          <x v="3"/>
          <x v="3"/>
          <x v="4"/>
          <x v="4"/>
          <x v="0"/>
          <x v="4"/>
          <x v="2"/>
          <x v="0"/>
          <x v="0"/>
          <x v="0"/>
          <x v="4"/>
          <x v="4"/>
          <x v="0"/>
          <x v="0"/>
          <x v="5"/>
        </discretePr>
        <groupItems count="6">
          <s v="Group1"/>
          <s v="Group2"/>
          <s v="Group3"/>
          <s v="Group4"/>
          <s v="Group5"/>
          <n v="9"/>
        </groupItems>
      </fieldGroup>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 name="efficeincy" numFmtId="0" formula="'Purchase Amount'/'Call number'" databaseField="0"/>
  </cacheFields>
  <extLst>
    <ext xmlns:x14="http://schemas.microsoft.com/office/spreadsheetml/2009/9/main" uri="{725AE2AE-9491-48be-B2B4-4EB974FC3084}">
      <x14:pivotCacheDefinition pivotCacheId="8077400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37.72346666667" backgroundQuery="1" createdVersion="8" refreshedVersion="8" minRefreshableVersion="3" recordCount="0" supportSubquery="1" supportAdvancedDrill="1" xr:uid="{9CF7647B-EEFB-4697-8DC7-7A5F33F39CCB}">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9" level="32767"/>
    <cacheField name="[Measures].[TOTAL REQUIRED]" caption="TOTAL REQUIRED" numFmtId="0" hierarchy="20"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REQUIRED]" caption="TOTAL REQUIRED" measure="1" displayFolder="" measureGroup="CALLS" count="0" oneField="1">
      <fieldsUsage count="1">
        <fieldUsage x="2"/>
      </fieldsUsage>
    </cacheHierarchy>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37.723467939817" backgroundQuery="1" createdVersion="8" refreshedVersion="8" minRefreshableVersion="3" recordCount="0" supportSubquery="1" supportAdvancedDrill="1" xr:uid="{959A6B47-0063-4433-B773-390B95FC4D64}">
  <cacheSource type="external" connectionId="2"/>
  <cacheFields count="5">
    <cacheField name="[Measures].[CALL COUNT]" caption="CALL COUNT" numFmtId="0" hierarchy="19" level="32767"/>
    <cacheField name="[Measures].[TOTAL REQUIRED]" caption="TOTAL REQUIRED" numFmtId="0" hierarchy="20" level="32767"/>
    <cacheField name="[Measures].[TOATL DURATION]" caption="TOATL DURATION" numFmtId="0" hierarchy="21" level="32767"/>
    <cacheField name="[Measures].[AVERAGE RATING]" caption="AVERAGE RATING" numFmtId="0" hierarchy="22" level="32767"/>
    <cacheField name="[Measures].[5*CALLS]" caption="5*CALLS" numFmtId="0" hierarchy="23"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REQUIRED]" caption="TOTAL REQUIRED" measure="1" displayFolder="" measureGroup="CALLS" count="0" oneField="1">
      <fieldsUsage count="1">
        <fieldUsage x="1"/>
      </fieldsUsage>
    </cacheHierarchy>
    <cacheHierarchy uniqueName="[Measures].[TOATL DURATION]" caption="TOAT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37.723469097225" backgroundQuery="1" createdVersion="8" refreshedVersion="8" minRefreshableVersion="3" recordCount="0" supportSubquery="1" supportAdvancedDrill="1" xr:uid="{5EF469BF-E723-4219-AE30-287D2508C6B9}">
  <cacheSource type="external" connectionId="2"/>
  <cacheFields count="3">
    <cacheField name="[customers].[City].[City]" caption="City" numFmtId="0" hierarchy="17" level="1">
      <sharedItems count="3">
        <s v="Cincinnati"/>
        <s v="Cleveland"/>
        <s v="Columbus"/>
      </sharedItems>
    </cacheField>
    <cacheField name="[customers].[Gedner].[Gedner]" caption="Gedner" numFmtId="0" hierarchy="15" level="1">
      <sharedItems count="2">
        <s v="Female"/>
        <s v="Male"/>
      </sharedItems>
    </cacheField>
    <cacheField name="[Measures].[CALL COUNT]" caption="CALL COUNT" numFmtId="0" hierarchy="19"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REQUIRED]" caption="TOTAL REQUIRED" measure="1" displayFolder="" measureGroup="CALLS" count="0"/>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37.788738657408" backgroundQuery="1" createdVersion="8" refreshedVersion="8" minRefreshableVersion="3" recordCount="0" supportSubquery="1" supportAdvancedDrill="1" xr:uid="{95A1AA35-6105-4207-BFA0-57DA086B2992}">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7" level="1">
      <sharedItems count="3">
        <s v="Cincinnati"/>
        <s v="Cleveland"/>
        <s v="Columbus"/>
      </sharedItems>
    </cacheField>
    <cacheField name="[customers].[Customer ID].[Customer ID]" caption="Customer ID" numFmtId="0" hierarchy="14" level="1">
      <sharedItems count="15">
        <s v="C0003"/>
        <s v="C0004"/>
        <s v="C0011"/>
        <s v="C0012"/>
        <s v="C0002"/>
        <s v="C0007"/>
        <s v="C0008"/>
        <s v="C0010"/>
        <s v="C0013"/>
        <s v="C0015"/>
        <s v="C0001"/>
        <s v="C0005"/>
        <s v="C0006"/>
        <s v="C0009"/>
        <s v="C0014"/>
      </sharedItems>
    </cacheField>
    <cacheField name="[Measures].[TOTAL REQUIRED]" caption="TOTAL REQUIRED" numFmtId="0" hierarchy="20"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REQUIRED]" caption="TOTAL REQUIRED" measure="1" displayFolder="" measureGroup="CALLS" count="0" oneField="1">
      <fieldsUsage count="1">
        <fieldUsage x="3"/>
      </fieldsUsage>
    </cacheHierarchy>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80.878604282407" backgroundQuery="1" createdVersion="8" refreshedVersion="8" minRefreshableVersion="3" recordCount="0" supportSubquery="1" supportAdvancedDrill="1" xr:uid="{2EFDB31B-7E54-484E-9FBF-C79099431D08}">
  <cacheSource type="external" connectionId="2"/>
  <cacheFields count="6">
    <cacheField name="[Measures].[CALL COUNT]" caption="CALL COUNT" numFmtId="0" hierarchy="19" level="32767"/>
    <cacheField name="[Measures].[TOTAL REQUIRED]" caption="TOTAL REQUIRED" numFmtId="0" hierarchy="20" level="32767"/>
    <cacheField name="[Measures].[TOATL DURATION]" caption="TOATL DURATION" numFmtId="0" hierarchy="21" level="32767"/>
    <cacheField name="[Measures].[AVERAGE RATING]" caption="AVERAGE RATING" numFmtId="0" hierarchy="22" level="32767"/>
    <cacheField name="[Measures].[5*CALLS]" caption="5*CALLS" numFmtId="0" hierarchy="23"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REQUIRED]" caption="TOTAL REQUIRED" measure="1" displayFolder="" measureGroup="CALLS" count="0" oneField="1">
      <fieldsUsage count="1">
        <fieldUsage x="1"/>
      </fieldsUsage>
    </cacheHierarchy>
    <cacheHierarchy uniqueName="[Measures].[TOATL DURATION]" caption="TOAT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80.878604976853" backgroundQuery="1" createdVersion="8" refreshedVersion="8" minRefreshableVersion="3" recordCount="0" supportSubquery="1" supportAdvancedDrill="1" xr:uid="{7D904DBD-E9C0-4E4A-B221-03B88E379812}">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3" level="1">
      <sharedItems count="12">
        <s v="Jan"/>
        <s v="Feb"/>
        <s v="Mar"/>
        <s v="Apr"/>
        <s v="May"/>
        <s v="Jun"/>
        <s v="Jul"/>
        <s v="Aug"/>
        <s v="Sep"/>
        <s v="Oct"/>
        <s v="Nov"/>
        <s v="Dec"/>
      </sharedItems>
    </cacheField>
    <cacheField name="[Measures].[CALL COUNT]" caption="CALL COUNT" numFmtId="0" hierarchy="19" level="32767"/>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REQUIRED]" caption="TOTAL REQUIRED" measure="1" displayFolder="" measureGroup="CALLS" count="0"/>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80.878605324076" backgroundQuery="1" createdVersion="8" refreshedVersion="8" minRefreshableVersion="3" recordCount="0" supportSubquery="1" supportAdvancedDrill="1" xr:uid="{130784B2-2F17-4F14-B0FF-2D1C1221A8EE}">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9"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REQUIRED]" caption="TOTAL REQUIRED" measure="1" displayFolder="" measureGroup="CALLS" count="0"/>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80.878605902777" backgroundQuery="1" createdVersion="8" refreshedVersion="8" minRefreshableVersion="3" recordCount="0" supportSubquery="1" supportAdvancedDrill="1" xr:uid="{13429EA2-E364-47ED-9B55-2C36773534B4}">
  <cacheSource type="external" connectionId="2"/>
  <cacheFields count="1">
    <cacheField name="[CALLS].[Representative].[Representative]" caption="Representative" numFmtId="0" hierarchy="3" level="1">
      <sharedItems count="1">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REQUIRED]" caption="TOTAL REQUIRED" measure="1" displayFolder="" measureGroup="CALLS" count="0"/>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80.878606597224" backgroundQuery="1" createdVersion="8" refreshedVersion="8" minRefreshableVersion="3" recordCount="0" supportSubquery="1" supportAdvancedDrill="1" xr:uid="{FFFDC0BD-218E-4A9F-9491-380E024216A0}">
  <cacheSource type="external" connectionId="2"/>
  <cacheFields count="3">
    <cacheField name="[Measures].[CALL COUNT]" caption="CALL COUNT" numFmtId="0" hierarchy="19" level="32767"/>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REQUIRED]" caption="TOTAL REQUIRED" measure="1" displayFolder="" measureGroup="CALLS" count="0"/>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akuthota" refreshedDate="46137.723459259258" backgroundQuery="1" createdVersion="3" refreshedVersion="8" minRefreshableVersion="3" recordCount="0" supportSubquery="1" supportAdvancedDrill="1" xr:uid="{9C18BE26-D43E-4E93-914B-5251C6427F27}">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ACKET]" caption="DURATION BACKET" attribute="1" defaultMemberUniqueName="[CALLS].[DURATION BACKET].[All]" allUniqueName="[CALLS].[DURATION BA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X]" caption="X" attribute="1" defaultMemberUniqueName="[CALLS].[X].[All]" allUniqueName="[CALLS].[X].[All]" dimensionUniqueName="[CALLS]" displayFolder="" count="0" memberValueDatatype="20" unbalanced="0"/>
    <cacheHierarchy uniqueName="[CALLS].[REVENUE PER CALL]" caption="REVENUE PER CALL" attribute="1" defaultMemberUniqueName="[CALLS].[REVENUE PER CALL].[All]" allUniqueName="[CALLS].[REVENUE PER CALL].[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REQUIRED]" caption="TOTAL REQUIRED" measure="1" displayFolder="" measureGroup="CALLS" count="0"/>
    <cacheHierarchy uniqueName="[Measures].[TOATL DURATION]" caption="TOAT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03381646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n v="3"/>
    <n v="128"/>
  </r>
  <r>
    <s v="Call_7272"/>
    <x v="1"/>
    <x v="1"/>
    <x v="0"/>
    <x v="0"/>
    <n v="135"/>
    <n v="2.9"/>
    <x v="0"/>
    <x v="0"/>
    <x v="0"/>
    <x v="1"/>
    <n v="3"/>
    <n v="135"/>
  </r>
  <r>
    <s v="Call_7273"/>
    <x v="2"/>
    <x v="2"/>
    <x v="1"/>
    <x v="0"/>
    <n v="66"/>
    <n v="4.7"/>
    <x v="0"/>
    <x v="0"/>
    <x v="0"/>
    <x v="0"/>
    <n v="3"/>
    <n v="66"/>
  </r>
  <r>
    <s v="Call_7274"/>
    <x v="3"/>
    <x v="1"/>
    <x v="1"/>
    <x v="0"/>
    <n v="22"/>
    <n v="2.9"/>
    <x v="0"/>
    <x v="0"/>
    <x v="0"/>
    <x v="1"/>
    <n v="3"/>
    <n v="22"/>
  </r>
  <r>
    <s v="Call_7275"/>
    <x v="4"/>
    <x v="3"/>
    <x v="2"/>
    <x v="1"/>
    <n v="31"/>
    <n v="2.8"/>
    <x v="0"/>
    <x v="1"/>
    <x v="1"/>
    <x v="1"/>
    <n v="4"/>
    <n v="31"/>
  </r>
  <r>
    <s v="Call_7276"/>
    <x v="4"/>
    <x v="4"/>
    <x v="1"/>
    <x v="2"/>
    <n v="135"/>
    <n v="4.8"/>
    <x v="0"/>
    <x v="2"/>
    <x v="0"/>
    <x v="0"/>
    <n v="3"/>
    <n v="135"/>
  </r>
  <r>
    <s v="Call_7277"/>
    <x v="5"/>
    <x v="5"/>
    <x v="0"/>
    <x v="2"/>
    <n v="60"/>
    <n v="4.7"/>
    <x v="0"/>
    <x v="2"/>
    <x v="0"/>
    <x v="0"/>
    <n v="3"/>
    <n v="60"/>
  </r>
  <r>
    <s v="Call_7278"/>
    <x v="0"/>
    <x v="6"/>
    <x v="3"/>
    <x v="2"/>
    <n v="148"/>
    <n v="4.4000000000000004"/>
    <x v="0"/>
    <x v="2"/>
    <x v="0"/>
    <x v="2"/>
    <n v="3"/>
    <n v="148"/>
  </r>
  <r>
    <s v="Call_7279"/>
    <x v="2"/>
    <x v="7"/>
    <x v="1"/>
    <x v="2"/>
    <n v="135"/>
    <n v="3.6"/>
    <x v="0"/>
    <x v="2"/>
    <x v="0"/>
    <x v="2"/>
    <n v="3"/>
    <n v="135"/>
  </r>
  <r>
    <s v="Call_7280"/>
    <x v="6"/>
    <x v="8"/>
    <x v="4"/>
    <x v="2"/>
    <n v="105"/>
    <n v="2.9"/>
    <x v="0"/>
    <x v="2"/>
    <x v="0"/>
    <x v="1"/>
    <n v="3"/>
    <n v="105"/>
  </r>
  <r>
    <s v="Call_7281"/>
    <x v="4"/>
    <x v="9"/>
    <x v="1"/>
    <x v="2"/>
    <n v="69"/>
    <n v="4.9000000000000004"/>
    <x v="0"/>
    <x v="2"/>
    <x v="0"/>
    <x v="0"/>
    <n v="3"/>
    <n v="69"/>
  </r>
  <r>
    <s v="Call_7282"/>
    <x v="7"/>
    <x v="10"/>
    <x v="0"/>
    <x v="2"/>
    <n v="46"/>
    <n v="3.4"/>
    <x v="0"/>
    <x v="2"/>
    <x v="1"/>
    <x v="1"/>
    <n v="4"/>
    <n v="46"/>
  </r>
  <r>
    <s v="Call_7283"/>
    <x v="8"/>
    <x v="11"/>
    <x v="1"/>
    <x v="3"/>
    <n v="108"/>
    <n v="3.5"/>
    <x v="0"/>
    <x v="3"/>
    <x v="0"/>
    <x v="2"/>
    <n v="3"/>
    <n v="108"/>
  </r>
  <r>
    <s v="Call_7284"/>
    <x v="6"/>
    <x v="12"/>
    <x v="1"/>
    <x v="3"/>
    <n v="96"/>
    <n v="4"/>
    <x v="0"/>
    <x v="3"/>
    <x v="1"/>
    <x v="2"/>
    <n v="4"/>
    <n v="96"/>
  </r>
  <r>
    <s v="Call_7285"/>
    <x v="7"/>
    <x v="13"/>
    <x v="2"/>
    <x v="3"/>
    <n v="68"/>
    <n v="4.9000000000000004"/>
    <x v="0"/>
    <x v="3"/>
    <x v="0"/>
    <x v="0"/>
    <n v="3"/>
    <n v="68"/>
  </r>
  <r>
    <s v="Call_7286"/>
    <x v="6"/>
    <x v="14"/>
    <x v="0"/>
    <x v="4"/>
    <n v="24"/>
    <n v="4.8"/>
    <x v="0"/>
    <x v="4"/>
    <x v="1"/>
    <x v="0"/>
    <n v="4"/>
    <n v="24"/>
  </r>
  <r>
    <s v="Call_7287"/>
    <x v="6"/>
    <x v="15"/>
    <x v="2"/>
    <x v="4"/>
    <n v="195"/>
    <n v="3.9"/>
    <x v="0"/>
    <x v="4"/>
    <x v="0"/>
    <x v="2"/>
    <n v="3"/>
    <n v="195"/>
  </r>
  <r>
    <s v="Call_7288"/>
    <x v="9"/>
    <x v="16"/>
    <x v="4"/>
    <x v="4"/>
    <n v="28"/>
    <n v="3.8"/>
    <x v="0"/>
    <x v="4"/>
    <x v="2"/>
    <x v="2"/>
    <n v="2"/>
    <n v="28"/>
  </r>
  <r>
    <s v="Call_7289"/>
    <x v="5"/>
    <x v="17"/>
    <x v="1"/>
    <x v="4"/>
    <n v="170"/>
    <n v="4.3"/>
    <x v="0"/>
    <x v="4"/>
    <x v="0"/>
    <x v="2"/>
    <n v="3"/>
    <n v="170"/>
  </r>
  <r>
    <s v="Call_7290"/>
    <x v="10"/>
    <x v="13"/>
    <x v="0"/>
    <x v="5"/>
    <n v="30"/>
    <n v="4.4000000000000004"/>
    <x v="0"/>
    <x v="5"/>
    <x v="0"/>
    <x v="2"/>
    <n v="3"/>
    <n v="30"/>
  </r>
  <r>
    <s v="Call_7291"/>
    <x v="1"/>
    <x v="3"/>
    <x v="0"/>
    <x v="5"/>
    <n v="72"/>
    <n v="5"/>
    <x v="0"/>
    <x v="5"/>
    <x v="1"/>
    <x v="0"/>
    <n v="4"/>
    <n v="72"/>
  </r>
  <r>
    <s v="Call_7292"/>
    <x v="1"/>
    <x v="18"/>
    <x v="3"/>
    <x v="6"/>
    <n v="92"/>
    <n v="4.9000000000000004"/>
    <x v="0"/>
    <x v="6"/>
    <x v="0"/>
    <x v="0"/>
    <n v="3"/>
    <n v="92"/>
  </r>
  <r>
    <s v="Call_7293"/>
    <x v="0"/>
    <x v="19"/>
    <x v="3"/>
    <x v="7"/>
    <n v="165"/>
    <n v="4.5"/>
    <x v="0"/>
    <x v="0"/>
    <x v="0"/>
    <x v="0"/>
    <n v="3"/>
    <n v="165"/>
  </r>
  <r>
    <s v="Call_7294"/>
    <x v="11"/>
    <x v="20"/>
    <x v="1"/>
    <x v="7"/>
    <n v="140"/>
    <n v="2.1"/>
    <x v="0"/>
    <x v="0"/>
    <x v="0"/>
    <x v="3"/>
    <n v="3"/>
    <n v="140"/>
  </r>
  <r>
    <s v="Call_7295"/>
    <x v="6"/>
    <x v="17"/>
    <x v="2"/>
    <x v="7"/>
    <n v="111"/>
    <n v="3.3"/>
    <x v="0"/>
    <x v="0"/>
    <x v="0"/>
    <x v="1"/>
    <n v="3"/>
    <n v="111"/>
  </r>
  <r>
    <s v="Call_7296"/>
    <x v="12"/>
    <x v="16"/>
    <x v="0"/>
    <x v="8"/>
    <n v="63"/>
    <n v="4.0999999999999996"/>
    <x v="0"/>
    <x v="1"/>
    <x v="2"/>
    <x v="2"/>
    <n v="2"/>
    <n v="63"/>
  </r>
  <r>
    <s v="Call_7297"/>
    <x v="8"/>
    <x v="21"/>
    <x v="0"/>
    <x v="8"/>
    <n v="80"/>
    <n v="4.2"/>
    <x v="0"/>
    <x v="1"/>
    <x v="0"/>
    <x v="2"/>
    <n v="3"/>
    <n v="80"/>
  </r>
  <r>
    <s v="Call_7298"/>
    <x v="4"/>
    <x v="22"/>
    <x v="0"/>
    <x v="9"/>
    <n v="50"/>
    <n v="4.5999999999999996"/>
    <x v="0"/>
    <x v="2"/>
    <x v="0"/>
    <x v="0"/>
    <n v="3"/>
    <n v="50"/>
  </r>
  <r>
    <s v="Call_7299"/>
    <x v="9"/>
    <x v="7"/>
    <x v="3"/>
    <x v="9"/>
    <n v="123"/>
    <n v="2.9"/>
    <x v="0"/>
    <x v="2"/>
    <x v="0"/>
    <x v="1"/>
    <n v="3"/>
    <n v="123"/>
  </r>
  <r>
    <s v="Call_7300"/>
    <x v="11"/>
    <x v="23"/>
    <x v="2"/>
    <x v="9"/>
    <n v="110"/>
    <n v="4.8"/>
    <x v="0"/>
    <x v="2"/>
    <x v="1"/>
    <x v="0"/>
    <n v="4"/>
    <n v="110"/>
  </r>
  <r>
    <s v="Call_7301"/>
    <x v="9"/>
    <x v="24"/>
    <x v="0"/>
    <x v="9"/>
    <n v="140"/>
    <n v="4.2"/>
    <x v="0"/>
    <x v="2"/>
    <x v="0"/>
    <x v="2"/>
    <n v="3"/>
    <n v="140"/>
  </r>
  <r>
    <s v="Call_7302"/>
    <x v="4"/>
    <x v="25"/>
    <x v="0"/>
    <x v="10"/>
    <n v="42"/>
    <n v="3.7"/>
    <x v="0"/>
    <x v="4"/>
    <x v="0"/>
    <x v="2"/>
    <n v="3"/>
    <n v="42"/>
  </r>
  <r>
    <s v="Call_7303"/>
    <x v="4"/>
    <x v="26"/>
    <x v="2"/>
    <x v="10"/>
    <n v="170"/>
    <n v="5"/>
    <x v="0"/>
    <x v="4"/>
    <x v="2"/>
    <x v="0"/>
    <n v="2"/>
    <n v="170"/>
  </r>
  <r>
    <s v="Call_7304"/>
    <x v="10"/>
    <x v="27"/>
    <x v="1"/>
    <x v="11"/>
    <n v="105"/>
    <n v="5"/>
    <x v="0"/>
    <x v="6"/>
    <x v="1"/>
    <x v="0"/>
    <n v="4"/>
    <n v="105"/>
  </r>
  <r>
    <s v="Call_7305"/>
    <x v="13"/>
    <x v="28"/>
    <x v="0"/>
    <x v="12"/>
    <n v="125"/>
    <n v="4.8"/>
    <x v="0"/>
    <x v="0"/>
    <x v="0"/>
    <x v="0"/>
    <n v="3"/>
    <n v="125"/>
  </r>
  <r>
    <s v="Call_7306"/>
    <x v="9"/>
    <x v="29"/>
    <x v="4"/>
    <x v="12"/>
    <n v="26"/>
    <n v="2.4"/>
    <x v="0"/>
    <x v="0"/>
    <x v="0"/>
    <x v="3"/>
    <n v="3"/>
    <n v="26"/>
  </r>
  <r>
    <s v="Call_7307"/>
    <x v="11"/>
    <x v="30"/>
    <x v="4"/>
    <x v="13"/>
    <n v="120"/>
    <n v="3.1"/>
    <x v="0"/>
    <x v="1"/>
    <x v="0"/>
    <x v="1"/>
    <n v="3"/>
    <n v="120"/>
  </r>
  <r>
    <s v="Call_7308"/>
    <x v="1"/>
    <x v="31"/>
    <x v="1"/>
    <x v="13"/>
    <n v="132"/>
    <n v="3.2"/>
    <x v="0"/>
    <x v="1"/>
    <x v="0"/>
    <x v="1"/>
    <n v="3"/>
    <n v="132"/>
  </r>
  <r>
    <s v="Call_7309"/>
    <x v="11"/>
    <x v="22"/>
    <x v="3"/>
    <x v="14"/>
    <n v="86"/>
    <n v="2.4"/>
    <x v="0"/>
    <x v="2"/>
    <x v="0"/>
    <x v="3"/>
    <n v="3"/>
    <n v="86"/>
  </r>
  <r>
    <s v="Call_7310"/>
    <x v="9"/>
    <x v="32"/>
    <x v="0"/>
    <x v="14"/>
    <n v="108"/>
    <n v="5"/>
    <x v="0"/>
    <x v="2"/>
    <x v="0"/>
    <x v="0"/>
    <n v="3"/>
    <n v="108"/>
  </r>
  <r>
    <s v="Call_7311"/>
    <x v="1"/>
    <x v="33"/>
    <x v="3"/>
    <x v="14"/>
    <n v="96"/>
    <n v="4.7"/>
    <x v="0"/>
    <x v="2"/>
    <x v="0"/>
    <x v="0"/>
    <n v="3"/>
    <n v="96"/>
  </r>
  <r>
    <s v="Call_7312"/>
    <x v="6"/>
    <x v="28"/>
    <x v="1"/>
    <x v="15"/>
    <n v="80"/>
    <n v="4.7"/>
    <x v="0"/>
    <x v="3"/>
    <x v="0"/>
    <x v="0"/>
    <n v="3"/>
    <n v="80"/>
  </r>
  <r>
    <s v="Call_7313"/>
    <x v="9"/>
    <x v="34"/>
    <x v="0"/>
    <x v="15"/>
    <n v="155"/>
    <n v="4.0999999999999996"/>
    <x v="0"/>
    <x v="3"/>
    <x v="0"/>
    <x v="2"/>
    <n v="3"/>
    <n v="155"/>
  </r>
  <r>
    <s v="Call_7314"/>
    <x v="7"/>
    <x v="35"/>
    <x v="4"/>
    <x v="15"/>
    <n v="168"/>
    <n v="4.0999999999999996"/>
    <x v="0"/>
    <x v="3"/>
    <x v="1"/>
    <x v="2"/>
    <n v="4"/>
    <n v="168"/>
  </r>
  <r>
    <s v="Call_7315"/>
    <x v="13"/>
    <x v="28"/>
    <x v="2"/>
    <x v="15"/>
    <n v="56"/>
    <n v="3.6"/>
    <x v="0"/>
    <x v="3"/>
    <x v="0"/>
    <x v="2"/>
    <n v="3"/>
    <n v="56"/>
  </r>
  <r>
    <s v="Call_7316"/>
    <x v="4"/>
    <x v="36"/>
    <x v="4"/>
    <x v="16"/>
    <n v="32"/>
    <n v="4.4000000000000004"/>
    <x v="0"/>
    <x v="4"/>
    <x v="2"/>
    <x v="2"/>
    <n v="2"/>
    <n v="32"/>
  </r>
  <r>
    <s v="Call_7317"/>
    <x v="3"/>
    <x v="37"/>
    <x v="2"/>
    <x v="16"/>
    <n v="78"/>
    <n v="4.4000000000000004"/>
    <x v="0"/>
    <x v="4"/>
    <x v="1"/>
    <x v="2"/>
    <n v="4"/>
    <n v="78"/>
  </r>
  <r>
    <s v="Call_7318"/>
    <x v="1"/>
    <x v="38"/>
    <x v="0"/>
    <x v="16"/>
    <n v="86"/>
    <n v="4"/>
    <x v="0"/>
    <x v="4"/>
    <x v="0"/>
    <x v="2"/>
    <n v="3"/>
    <n v="86"/>
  </r>
  <r>
    <s v="Call_7319"/>
    <x v="0"/>
    <x v="31"/>
    <x v="1"/>
    <x v="17"/>
    <n v="64"/>
    <n v="3.8"/>
    <x v="0"/>
    <x v="5"/>
    <x v="0"/>
    <x v="2"/>
    <n v="3"/>
    <n v="64"/>
  </r>
  <r>
    <s v="Call_7320"/>
    <x v="12"/>
    <x v="39"/>
    <x v="1"/>
    <x v="17"/>
    <n v="96"/>
    <n v="3.6"/>
    <x v="0"/>
    <x v="5"/>
    <x v="0"/>
    <x v="2"/>
    <n v="3"/>
    <n v="96"/>
  </r>
  <r>
    <s v="Call_7321"/>
    <x v="8"/>
    <x v="40"/>
    <x v="2"/>
    <x v="17"/>
    <n v="72"/>
    <n v="4.3"/>
    <x v="0"/>
    <x v="5"/>
    <x v="1"/>
    <x v="2"/>
    <n v="4"/>
    <n v="72"/>
  </r>
  <r>
    <s v="Call_7322"/>
    <x v="7"/>
    <x v="41"/>
    <x v="3"/>
    <x v="18"/>
    <n v="135"/>
    <n v="3.8"/>
    <x v="0"/>
    <x v="6"/>
    <x v="0"/>
    <x v="2"/>
    <n v="3"/>
    <n v="135"/>
  </r>
  <r>
    <s v="Call_7323"/>
    <x v="7"/>
    <x v="42"/>
    <x v="4"/>
    <x v="18"/>
    <n v="140"/>
    <n v="4.5"/>
    <x v="0"/>
    <x v="6"/>
    <x v="0"/>
    <x v="0"/>
    <n v="3"/>
    <n v="140"/>
  </r>
  <r>
    <s v="Call_7324"/>
    <x v="14"/>
    <x v="43"/>
    <x v="2"/>
    <x v="18"/>
    <n v="69"/>
    <n v="4.5"/>
    <x v="0"/>
    <x v="6"/>
    <x v="1"/>
    <x v="0"/>
    <n v="4"/>
    <n v="69"/>
  </r>
  <r>
    <s v="Call_7325"/>
    <x v="7"/>
    <x v="44"/>
    <x v="0"/>
    <x v="19"/>
    <n v="136"/>
    <n v="4.5999999999999996"/>
    <x v="0"/>
    <x v="0"/>
    <x v="0"/>
    <x v="0"/>
    <n v="3"/>
    <n v="136"/>
  </r>
  <r>
    <s v="Call_7326"/>
    <x v="12"/>
    <x v="45"/>
    <x v="2"/>
    <x v="19"/>
    <n v="28"/>
    <n v="4.5"/>
    <x v="0"/>
    <x v="0"/>
    <x v="0"/>
    <x v="0"/>
    <n v="3"/>
    <n v="28"/>
  </r>
  <r>
    <s v="Call_7327"/>
    <x v="14"/>
    <x v="20"/>
    <x v="1"/>
    <x v="20"/>
    <n v="135"/>
    <n v="3.3"/>
    <x v="0"/>
    <x v="1"/>
    <x v="0"/>
    <x v="1"/>
    <n v="3"/>
    <n v="135"/>
  </r>
  <r>
    <s v="Call_7328"/>
    <x v="11"/>
    <x v="46"/>
    <x v="1"/>
    <x v="20"/>
    <n v="126"/>
    <n v="2.2999999999999998"/>
    <x v="0"/>
    <x v="1"/>
    <x v="0"/>
    <x v="3"/>
    <n v="3"/>
    <n v="126"/>
  </r>
  <r>
    <s v="Call_7329"/>
    <x v="4"/>
    <x v="47"/>
    <x v="0"/>
    <x v="20"/>
    <n v="160"/>
    <n v="4.3"/>
    <x v="0"/>
    <x v="1"/>
    <x v="0"/>
    <x v="2"/>
    <n v="3"/>
    <n v="160"/>
  </r>
  <r>
    <s v="Call_7330"/>
    <x v="14"/>
    <x v="48"/>
    <x v="1"/>
    <x v="21"/>
    <n v="48"/>
    <n v="4.5999999999999996"/>
    <x v="0"/>
    <x v="2"/>
    <x v="0"/>
    <x v="0"/>
    <n v="3"/>
    <n v="48"/>
  </r>
  <r>
    <s v="Call_7331"/>
    <x v="7"/>
    <x v="33"/>
    <x v="2"/>
    <x v="21"/>
    <n v="66"/>
    <n v="4"/>
    <x v="0"/>
    <x v="2"/>
    <x v="0"/>
    <x v="2"/>
    <n v="3"/>
    <n v="66"/>
  </r>
  <r>
    <s v="Call_7332"/>
    <x v="6"/>
    <x v="49"/>
    <x v="3"/>
    <x v="21"/>
    <n v="126"/>
    <n v="2.5"/>
    <x v="0"/>
    <x v="2"/>
    <x v="1"/>
    <x v="1"/>
    <n v="4"/>
    <n v="126"/>
  </r>
  <r>
    <s v="Call_7333"/>
    <x v="11"/>
    <x v="50"/>
    <x v="4"/>
    <x v="21"/>
    <n v="96"/>
    <n v="5"/>
    <x v="0"/>
    <x v="2"/>
    <x v="0"/>
    <x v="0"/>
    <n v="3"/>
    <n v="96"/>
  </r>
  <r>
    <s v="Call_7334"/>
    <x v="7"/>
    <x v="51"/>
    <x v="0"/>
    <x v="22"/>
    <n v="90"/>
    <n v="3.8"/>
    <x v="0"/>
    <x v="3"/>
    <x v="0"/>
    <x v="2"/>
    <n v="3"/>
    <n v="90"/>
  </r>
  <r>
    <s v="Call_7335"/>
    <x v="13"/>
    <x v="52"/>
    <x v="3"/>
    <x v="22"/>
    <n v="105"/>
    <n v="4.4000000000000004"/>
    <x v="0"/>
    <x v="3"/>
    <x v="1"/>
    <x v="2"/>
    <n v="4"/>
    <n v="105"/>
  </r>
  <r>
    <s v="Call_7336"/>
    <x v="1"/>
    <x v="53"/>
    <x v="1"/>
    <x v="23"/>
    <n v="40"/>
    <n v="3.8"/>
    <x v="0"/>
    <x v="4"/>
    <x v="0"/>
    <x v="2"/>
    <n v="3"/>
    <n v="40"/>
  </r>
  <r>
    <s v="Call_7337"/>
    <x v="11"/>
    <x v="54"/>
    <x v="0"/>
    <x v="23"/>
    <n v="60"/>
    <n v="2"/>
    <x v="0"/>
    <x v="4"/>
    <x v="0"/>
    <x v="3"/>
    <n v="3"/>
    <n v="60"/>
  </r>
  <r>
    <s v="Call_7338"/>
    <x v="6"/>
    <x v="55"/>
    <x v="3"/>
    <x v="24"/>
    <n v="215"/>
    <n v="4.0999999999999996"/>
    <x v="0"/>
    <x v="5"/>
    <x v="1"/>
    <x v="2"/>
    <n v="4"/>
    <n v="215"/>
  </r>
  <r>
    <s v="Call_7339"/>
    <x v="2"/>
    <x v="22"/>
    <x v="2"/>
    <x v="24"/>
    <n v="156"/>
    <n v="2.6"/>
    <x v="0"/>
    <x v="5"/>
    <x v="0"/>
    <x v="1"/>
    <n v="3"/>
    <n v="156"/>
  </r>
  <r>
    <s v="Call_7340"/>
    <x v="10"/>
    <x v="56"/>
    <x v="4"/>
    <x v="24"/>
    <n v="54"/>
    <n v="0"/>
    <x v="0"/>
    <x v="5"/>
    <x v="1"/>
    <x v="4"/>
    <n v="4"/>
    <n v="54"/>
  </r>
  <r>
    <s v="Call_7341"/>
    <x v="10"/>
    <x v="57"/>
    <x v="4"/>
    <x v="25"/>
    <n v="160"/>
    <n v="3.9"/>
    <x v="0"/>
    <x v="6"/>
    <x v="1"/>
    <x v="2"/>
    <n v="4"/>
    <n v="160"/>
  </r>
  <r>
    <s v="Call_7342"/>
    <x v="13"/>
    <x v="58"/>
    <x v="2"/>
    <x v="25"/>
    <n v="80"/>
    <n v="4.8"/>
    <x v="0"/>
    <x v="6"/>
    <x v="0"/>
    <x v="0"/>
    <n v="3"/>
    <n v="80"/>
  </r>
  <r>
    <s v="Call_7343"/>
    <x v="7"/>
    <x v="19"/>
    <x v="2"/>
    <x v="25"/>
    <n v="168"/>
    <n v="2.6"/>
    <x v="0"/>
    <x v="6"/>
    <x v="0"/>
    <x v="1"/>
    <n v="3"/>
    <n v="168"/>
  </r>
  <r>
    <s v="Call_7344"/>
    <x v="14"/>
    <x v="59"/>
    <x v="4"/>
    <x v="26"/>
    <n v="42"/>
    <n v="2.6"/>
    <x v="0"/>
    <x v="1"/>
    <x v="0"/>
    <x v="1"/>
    <n v="3"/>
    <n v="42"/>
  </r>
  <r>
    <s v="Call_7345"/>
    <x v="2"/>
    <x v="60"/>
    <x v="2"/>
    <x v="26"/>
    <n v="205"/>
    <n v="3.6"/>
    <x v="0"/>
    <x v="1"/>
    <x v="0"/>
    <x v="2"/>
    <n v="3"/>
    <n v="205"/>
  </r>
  <r>
    <s v="Call_7346"/>
    <x v="4"/>
    <x v="53"/>
    <x v="4"/>
    <x v="26"/>
    <n v="108"/>
    <n v="3.3"/>
    <x v="0"/>
    <x v="1"/>
    <x v="0"/>
    <x v="1"/>
    <n v="3"/>
    <n v="108"/>
  </r>
  <r>
    <s v="Call_7347"/>
    <x v="6"/>
    <x v="61"/>
    <x v="1"/>
    <x v="26"/>
    <n v="78"/>
    <n v="1.9"/>
    <x v="0"/>
    <x v="1"/>
    <x v="1"/>
    <x v="3"/>
    <n v="4"/>
    <n v="78"/>
  </r>
  <r>
    <s v="Call_7348"/>
    <x v="1"/>
    <x v="62"/>
    <x v="4"/>
    <x v="26"/>
    <n v="23"/>
    <n v="4.9000000000000004"/>
    <x v="0"/>
    <x v="1"/>
    <x v="0"/>
    <x v="0"/>
    <n v="3"/>
    <n v="23"/>
  </r>
  <r>
    <s v="Call_7349"/>
    <x v="4"/>
    <x v="63"/>
    <x v="0"/>
    <x v="27"/>
    <n v="99"/>
    <n v="3.6"/>
    <x v="0"/>
    <x v="2"/>
    <x v="0"/>
    <x v="2"/>
    <n v="3"/>
    <n v="99"/>
  </r>
  <r>
    <s v="Call_7350"/>
    <x v="9"/>
    <x v="42"/>
    <x v="4"/>
    <x v="28"/>
    <n v="148"/>
    <n v="4.5"/>
    <x v="0"/>
    <x v="3"/>
    <x v="0"/>
    <x v="0"/>
    <n v="3"/>
    <n v="148"/>
  </r>
  <r>
    <s v="Call_7351"/>
    <x v="6"/>
    <x v="64"/>
    <x v="3"/>
    <x v="28"/>
    <n v="34"/>
    <n v="3.7"/>
    <x v="0"/>
    <x v="3"/>
    <x v="0"/>
    <x v="2"/>
    <n v="3"/>
    <n v="34"/>
  </r>
  <r>
    <s v="Call_7352"/>
    <x v="4"/>
    <x v="65"/>
    <x v="4"/>
    <x v="28"/>
    <n v="86"/>
    <n v="4.8"/>
    <x v="0"/>
    <x v="3"/>
    <x v="1"/>
    <x v="0"/>
    <n v="4"/>
    <n v="86"/>
  </r>
  <r>
    <s v="Call_7353"/>
    <x v="14"/>
    <x v="66"/>
    <x v="0"/>
    <x v="28"/>
    <n v="105"/>
    <n v="3.3"/>
    <x v="0"/>
    <x v="3"/>
    <x v="0"/>
    <x v="1"/>
    <n v="3"/>
    <n v="105"/>
  </r>
  <r>
    <s v="Call_7354"/>
    <x v="1"/>
    <x v="67"/>
    <x v="0"/>
    <x v="28"/>
    <n v="62"/>
    <n v="3.1"/>
    <x v="0"/>
    <x v="3"/>
    <x v="0"/>
    <x v="1"/>
    <n v="3"/>
    <n v="62"/>
  </r>
  <r>
    <s v="Call_7355"/>
    <x v="4"/>
    <x v="65"/>
    <x v="3"/>
    <x v="28"/>
    <n v="90"/>
    <n v="4.0999999999999996"/>
    <x v="0"/>
    <x v="3"/>
    <x v="1"/>
    <x v="2"/>
    <n v="4"/>
    <n v="90"/>
  </r>
  <r>
    <s v="Call_7356"/>
    <x v="3"/>
    <x v="15"/>
    <x v="0"/>
    <x v="29"/>
    <n v="112"/>
    <n v="4.9000000000000004"/>
    <x v="0"/>
    <x v="4"/>
    <x v="0"/>
    <x v="0"/>
    <n v="3"/>
    <n v="112"/>
  </r>
  <r>
    <s v="Call_7357"/>
    <x v="11"/>
    <x v="41"/>
    <x v="0"/>
    <x v="29"/>
    <n v="135"/>
    <n v="4"/>
    <x v="0"/>
    <x v="4"/>
    <x v="0"/>
    <x v="2"/>
    <n v="3"/>
    <n v="135"/>
  </r>
  <r>
    <s v="Call_7358"/>
    <x v="1"/>
    <x v="68"/>
    <x v="1"/>
    <x v="29"/>
    <n v="34"/>
    <n v="2.1"/>
    <x v="0"/>
    <x v="4"/>
    <x v="0"/>
    <x v="3"/>
    <n v="3"/>
    <n v="34"/>
  </r>
  <r>
    <s v="Call_7359"/>
    <x v="14"/>
    <x v="69"/>
    <x v="2"/>
    <x v="29"/>
    <n v="155"/>
    <n v="4.5"/>
    <x v="0"/>
    <x v="4"/>
    <x v="0"/>
    <x v="0"/>
    <n v="3"/>
    <n v="155"/>
  </r>
  <r>
    <s v="Call_7360"/>
    <x v="3"/>
    <x v="70"/>
    <x v="2"/>
    <x v="30"/>
    <n v="124"/>
    <n v="4.9000000000000004"/>
    <x v="0"/>
    <x v="6"/>
    <x v="1"/>
    <x v="0"/>
    <n v="4"/>
    <n v="124"/>
  </r>
  <r>
    <s v="Call_7361"/>
    <x v="11"/>
    <x v="5"/>
    <x v="0"/>
    <x v="30"/>
    <n v="195"/>
    <n v="4.0999999999999996"/>
    <x v="0"/>
    <x v="6"/>
    <x v="0"/>
    <x v="2"/>
    <n v="3"/>
    <n v="195"/>
  </r>
  <r>
    <s v="Call_7362"/>
    <x v="13"/>
    <x v="71"/>
    <x v="2"/>
    <x v="31"/>
    <n v="78"/>
    <n v="4.5"/>
    <x v="0"/>
    <x v="0"/>
    <x v="0"/>
    <x v="0"/>
    <n v="3"/>
    <n v="78"/>
  </r>
  <r>
    <s v="Call_7363"/>
    <x v="5"/>
    <x v="10"/>
    <x v="3"/>
    <x v="32"/>
    <n v="35"/>
    <n v="4.8"/>
    <x v="0"/>
    <x v="2"/>
    <x v="1"/>
    <x v="0"/>
    <n v="4"/>
    <n v="35"/>
  </r>
  <r>
    <s v="Call_7364"/>
    <x v="12"/>
    <x v="72"/>
    <x v="1"/>
    <x v="32"/>
    <n v="123"/>
    <n v="4.5999999999999996"/>
    <x v="0"/>
    <x v="2"/>
    <x v="1"/>
    <x v="0"/>
    <n v="4"/>
    <n v="123"/>
  </r>
  <r>
    <s v="Call_7365"/>
    <x v="2"/>
    <x v="35"/>
    <x v="1"/>
    <x v="32"/>
    <n v="43"/>
    <n v="4.5999999999999996"/>
    <x v="0"/>
    <x v="2"/>
    <x v="1"/>
    <x v="0"/>
    <n v="4"/>
    <n v="43"/>
  </r>
  <r>
    <s v="Call_7366"/>
    <x v="10"/>
    <x v="73"/>
    <x v="0"/>
    <x v="33"/>
    <n v="69"/>
    <n v="4.3"/>
    <x v="0"/>
    <x v="3"/>
    <x v="0"/>
    <x v="2"/>
    <n v="3"/>
    <n v="69"/>
  </r>
  <r>
    <s v="Call_7367"/>
    <x v="12"/>
    <x v="48"/>
    <x v="1"/>
    <x v="33"/>
    <n v="130"/>
    <n v="5"/>
    <x v="0"/>
    <x v="3"/>
    <x v="0"/>
    <x v="0"/>
    <n v="3"/>
    <n v="130"/>
  </r>
  <r>
    <s v="Call_7368"/>
    <x v="0"/>
    <x v="74"/>
    <x v="4"/>
    <x v="33"/>
    <n v="120"/>
    <n v="4"/>
    <x v="0"/>
    <x v="3"/>
    <x v="0"/>
    <x v="2"/>
    <n v="3"/>
    <n v="120"/>
  </r>
  <r>
    <s v="Call_7369"/>
    <x v="13"/>
    <x v="64"/>
    <x v="0"/>
    <x v="34"/>
    <n v="84"/>
    <n v="4.5999999999999996"/>
    <x v="0"/>
    <x v="4"/>
    <x v="0"/>
    <x v="0"/>
    <n v="3"/>
    <n v="84"/>
  </r>
  <r>
    <s v="Call_7370"/>
    <x v="0"/>
    <x v="35"/>
    <x v="4"/>
    <x v="35"/>
    <n v="112"/>
    <n v="4.5"/>
    <x v="0"/>
    <x v="5"/>
    <x v="1"/>
    <x v="0"/>
    <n v="4"/>
    <n v="112"/>
  </r>
  <r>
    <s v="Call_7371"/>
    <x v="7"/>
    <x v="48"/>
    <x v="0"/>
    <x v="35"/>
    <n v="66"/>
    <n v="4.5999999999999996"/>
    <x v="0"/>
    <x v="5"/>
    <x v="0"/>
    <x v="0"/>
    <n v="3"/>
    <n v="66"/>
  </r>
  <r>
    <s v="Call_7372"/>
    <x v="12"/>
    <x v="37"/>
    <x v="2"/>
    <x v="35"/>
    <n v="172"/>
    <n v="2.6"/>
    <x v="0"/>
    <x v="5"/>
    <x v="1"/>
    <x v="1"/>
    <n v="4"/>
    <n v="172"/>
  </r>
  <r>
    <s v="Call_7373"/>
    <x v="9"/>
    <x v="19"/>
    <x v="3"/>
    <x v="36"/>
    <n v="24"/>
    <n v="4.3"/>
    <x v="0"/>
    <x v="6"/>
    <x v="0"/>
    <x v="2"/>
    <n v="3"/>
    <n v="24"/>
  </r>
  <r>
    <s v="Call_7374"/>
    <x v="3"/>
    <x v="75"/>
    <x v="2"/>
    <x v="37"/>
    <n v="43"/>
    <n v="3.9"/>
    <x v="0"/>
    <x v="0"/>
    <x v="0"/>
    <x v="2"/>
    <n v="3"/>
    <n v="43"/>
  </r>
  <r>
    <s v="Call_7375"/>
    <x v="2"/>
    <x v="67"/>
    <x v="1"/>
    <x v="37"/>
    <n v="23"/>
    <n v="5"/>
    <x v="0"/>
    <x v="0"/>
    <x v="0"/>
    <x v="0"/>
    <n v="3"/>
    <n v="23"/>
  </r>
  <r>
    <s v="Call_7376"/>
    <x v="8"/>
    <x v="16"/>
    <x v="4"/>
    <x v="37"/>
    <n v="74"/>
    <n v="3.5"/>
    <x v="0"/>
    <x v="0"/>
    <x v="2"/>
    <x v="2"/>
    <n v="2"/>
    <n v="74"/>
  </r>
  <r>
    <s v="Call_7377"/>
    <x v="1"/>
    <x v="76"/>
    <x v="3"/>
    <x v="38"/>
    <n v="165"/>
    <n v="4.7"/>
    <x v="0"/>
    <x v="1"/>
    <x v="1"/>
    <x v="0"/>
    <n v="4"/>
    <n v="165"/>
  </r>
  <r>
    <s v="Call_7378"/>
    <x v="11"/>
    <x v="65"/>
    <x v="2"/>
    <x v="38"/>
    <n v="34"/>
    <n v="2.9"/>
    <x v="0"/>
    <x v="1"/>
    <x v="1"/>
    <x v="1"/>
    <n v="4"/>
    <n v="34"/>
  </r>
  <r>
    <s v="Call_7379"/>
    <x v="1"/>
    <x v="77"/>
    <x v="4"/>
    <x v="38"/>
    <n v="64"/>
    <n v="3.4"/>
    <x v="0"/>
    <x v="1"/>
    <x v="0"/>
    <x v="1"/>
    <n v="3"/>
    <n v="64"/>
  </r>
  <r>
    <s v="Call_7380"/>
    <x v="2"/>
    <x v="24"/>
    <x v="3"/>
    <x v="39"/>
    <n v="155"/>
    <n v="3.2"/>
    <x v="0"/>
    <x v="2"/>
    <x v="0"/>
    <x v="1"/>
    <n v="3"/>
    <n v="155"/>
  </r>
  <r>
    <s v="Call_7381"/>
    <x v="1"/>
    <x v="48"/>
    <x v="1"/>
    <x v="40"/>
    <n v="120"/>
    <n v="4.8"/>
    <x v="0"/>
    <x v="3"/>
    <x v="0"/>
    <x v="0"/>
    <n v="3"/>
    <n v="120"/>
  </r>
  <r>
    <s v="Call_7382"/>
    <x v="10"/>
    <x v="78"/>
    <x v="4"/>
    <x v="40"/>
    <n v="105"/>
    <n v="3.6"/>
    <x v="0"/>
    <x v="3"/>
    <x v="2"/>
    <x v="2"/>
    <n v="2"/>
    <n v="105"/>
  </r>
  <r>
    <s v="Call_7383"/>
    <x v="4"/>
    <x v="79"/>
    <x v="2"/>
    <x v="40"/>
    <n v="28"/>
    <n v="4.9000000000000004"/>
    <x v="0"/>
    <x v="3"/>
    <x v="2"/>
    <x v="0"/>
    <n v="2"/>
    <n v="28"/>
  </r>
  <r>
    <s v="Call_7384"/>
    <x v="6"/>
    <x v="18"/>
    <x v="3"/>
    <x v="40"/>
    <n v="100"/>
    <n v="4.8"/>
    <x v="0"/>
    <x v="3"/>
    <x v="0"/>
    <x v="0"/>
    <n v="3"/>
    <n v="100"/>
  </r>
  <r>
    <s v="Call_7385"/>
    <x v="7"/>
    <x v="71"/>
    <x v="2"/>
    <x v="40"/>
    <n v="23"/>
    <n v="3.6"/>
    <x v="0"/>
    <x v="3"/>
    <x v="0"/>
    <x v="2"/>
    <n v="3"/>
    <n v="23"/>
  </r>
  <r>
    <s v="Call_7386"/>
    <x v="9"/>
    <x v="80"/>
    <x v="4"/>
    <x v="41"/>
    <n v="70"/>
    <n v="3.9"/>
    <x v="0"/>
    <x v="4"/>
    <x v="2"/>
    <x v="2"/>
    <n v="2"/>
    <n v="70"/>
  </r>
  <r>
    <s v="Call_7387"/>
    <x v="9"/>
    <x v="81"/>
    <x v="4"/>
    <x v="41"/>
    <n v="37"/>
    <n v="1.9"/>
    <x v="0"/>
    <x v="4"/>
    <x v="0"/>
    <x v="3"/>
    <n v="3"/>
    <n v="37"/>
  </r>
  <r>
    <s v="Call_7388"/>
    <x v="8"/>
    <x v="0"/>
    <x v="0"/>
    <x v="41"/>
    <n v="140"/>
    <n v="3.6"/>
    <x v="0"/>
    <x v="4"/>
    <x v="0"/>
    <x v="2"/>
    <n v="3"/>
    <n v="140"/>
  </r>
  <r>
    <s v="Call_7389"/>
    <x v="0"/>
    <x v="15"/>
    <x v="1"/>
    <x v="41"/>
    <n v="78"/>
    <n v="4.0999999999999996"/>
    <x v="0"/>
    <x v="4"/>
    <x v="0"/>
    <x v="2"/>
    <n v="3"/>
    <n v="78"/>
  </r>
  <r>
    <s v="Call_7390"/>
    <x v="1"/>
    <x v="29"/>
    <x v="4"/>
    <x v="42"/>
    <n v="21"/>
    <n v="4.2"/>
    <x v="0"/>
    <x v="5"/>
    <x v="0"/>
    <x v="2"/>
    <n v="3"/>
    <n v="21"/>
  </r>
  <r>
    <s v="Call_7391"/>
    <x v="2"/>
    <x v="82"/>
    <x v="0"/>
    <x v="42"/>
    <n v="88"/>
    <n v="4.3"/>
    <x v="0"/>
    <x v="5"/>
    <x v="0"/>
    <x v="2"/>
    <n v="3"/>
    <n v="88"/>
  </r>
  <r>
    <s v="Call_7392"/>
    <x v="5"/>
    <x v="23"/>
    <x v="0"/>
    <x v="43"/>
    <n v="180"/>
    <n v="2.2000000000000002"/>
    <x v="0"/>
    <x v="6"/>
    <x v="1"/>
    <x v="3"/>
    <n v="4"/>
    <n v="180"/>
  </r>
  <r>
    <s v="Call_7393"/>
    <x v="0"/>
    <x v="2"/>
    <x v="1"/>
    <x v="43"/>
    <n v="22"/>
    <n v="3.3"/>
    <x v="0"/>
    <x v="6"/>
    <x v="0"/>
    <x v="1"/>
    <n v="3"/>
    <n v="22"/>
  </r>
  <r>
    <s v="Call_7394"/>
    <x v="6"/>
    <x v="48"/>
    <x v="1"/>
    <x v="43"/>
    <n v="52"/>
    <n v="4.8"/>
    <x v="0"/>
    <x v="6"/>
    <x v="0"/>
    <x v="0"/>
    <n v="3"/>
    <n v="52"/>
  </r>
  <r>
    <s v="Call_7395"/>
    <x v="11"/>
    <x v="83"/>
    <x v="0"/>
    <x v="44"/>
    <n v="80"/>
    <n v="4"/>
    <x v="0"/>
    <x v="0"/>
    <x v="0"/>
    <x v="2"/>
    <n v="3"/>
    <n v="80"/>
  </r>
  <r>
    <s v="Call_7396"/>
    <x v="4"/>
    <x v="59"/>
    <x v="2"/>
    <x v="44"/>
    <n v="54"/>
    <n v="1.1000000000000001"/>
    <x v="0"/>
    <x v="0"/>
    <x v="0"/>
    <x v="5"/>
    <n v="3"/>
    <n v="54"/>
  </r>
  <r>
    <s v="Call_7397"/>
    <x v="1"/>
    <x v="23"/>
    <x v="2"/>
    <x v="45"/>
    <n v="80"/>
    <n v="3.9"/>
    <x v="0"/>
    <x v="1"/>
    <x v="1"/>
    <x v="2"/>
    <n v="4"/>
    <n v="80"/>
  </r>
  <r>
    <s v="Call_7398"/>
    <x v="11"/>
    <x v="59"/>
    <x v="0"/>
    <x v="46"/>
    <n v="120"/>
    <n v="1.8"/>
    <x v="0"/>
    <x v="2"/>
    <x v="0"/>
    <x v="3"/>
    <n v="3"/>
    <n v="120"/>
  </r>
  <r>
    <s v="Call_7399"/>
    <x v="5"/>
    <x v="49"/>
    <x v="3"/>
    <x v="46"/>
    <n v="150"/>
    <n v="1"/>
    <x v="0"/>
    <x v="2"/>
    <x v="1"/>
    <x v="5"/>
    <n v="4"/>
    <n v="150"/>
  </r>
  <r>
    <s v="Call_7400"/>
    <x v="1"/>
    <x v="34"/>
    <x v="0"/>
    <x v="46"/>
    <n v="90"/>
    <n v="4.3"/>
    <x v="0"/>
    <x v="2"/>
    <x v="0"/>
    <x v="2"/>
    <n v="3"/>
    <n v="90"/>
  </r>
  <r>
    <s v="Call_7401"/>
    <x v="13"/>
    <x v="84"/>
    <x v="4"/>
    <x v="47"/>
    <n v="140"/>
    <n v="3.4"/>
    <x v="0"/>
    <x v="3"/>
    <x v="0"/>
    <x v="1"/>
    <n v="3"/>
    <n v="140"/>
  </r>
  <r>
    <s v="Call_7402"/>
    <x v="6"/>
    <x v="85"/>
    <x v="2"/>
    <x v="47"/>
    <n v="22"/>
    <n v="3.4"/>
    <x v="0"/>
    <x v="3"/>
    <x v="1"/>
    <x v="1"/>
    <n v="4"/>
    <n v="22"/>
  </r>
  <r>
    <s v="Call_7403"/>
    <x v="11"/>
    <x v="86"/>
    <x v="3"/>
    <x v="48"/>
    <n v="150"/>
    <n v="4.0999999999999996"/>
    <x v="0"/>
    <x v="4"/>
    <x v="0"/>
    <x v="2"/>
    <n v="3"/>
    <n v="150"/>
  </r>
  <r>
    <s v="Call_7404"/>
    <x v="14"/>
    <x v="87"/>
    <x v="1"/>
    <x v="49"/>
    <n v="35"/>
    <n v="4.8"/>
    <x v="0"/>
    <x v="5"/>
    <x v="1"/>
    <x v="0"/>
    <n v="4"/>
    <n v="35"/>
  </r>
  <r>
    <s v="Call_7405"/>
    <x v="3"/>
    <x v="88"/>
    <x v="0"/>
    <x v="49"/>
    <n v="200"/>
    <n v="2"/>
    <x v="0"/>
    <x v="5"/>
    <x v="1"/>
    <x v="3"/>
    <n v="4"/>
    <n v="200"/>
  </r>
  <r>
    <s v="Call_7406"/>
    <x v="11"/>
    <x v="84"/>
    <x v="4"/>
    <x v="50"/>
    <n v="150"/>
    <n v="4.5999999999999996"/>
    <x v="0"/>
    <x v="6"/>
    <x v="0"/>
    <x v="0"/>
    <n v="3"/>
    <n v="150"/>
  </r>
  <r>
    <s v="Call_7407"/>
    <x v="9"/>
    <x v="63"/>
    <x v="0"/>
    <x v="50"/>
    <n v="21"/>
    <n v="2.6"/>
    <x v="0"/>
    <x v="6"/>
    <x v="0"/>
    <x v="1"/>
    <n v="3"/>
    <n v="21"/>
  </r>
  <r>
    <s v="Call_7408"/>
    <x v="13"/>
    <x v="89"/>
    <x v="3"/>
    <x v="51"/>
    <n v="46"/>
    <n v="4.9000000000000004"/>
    <x v="0"/>
    <x v="0"/>
    <x v="1"/>
    <x v="0"/>
    <n v="4"/>
    <n v="46"/>
  </r>
  <r>
    <s v="Call_7409"/>
    <x v="12"/>
    <x v="9"/>
    <x v="2"/>
    <x v="51"/>
    <n v="165"/>
    <n v="2.7"/>
    <x v="0"/>
    <x v="0"/>
    <x v="0"/>
    <x v="1"/>
    <n v="3"/>
    <n v="165"/>
  </r>
  <r>
    <s v="Call_7410"/>
    <x v="10"/>
    <x v="90"/>
    <x v="0"/>
    <x v="51"/>
    <n v="84"/>
    <n v="4.0999999999999996"/>
    <x v="0"/>
    <x v="0"/>
    <x v="0"/>
    <x v="2"/>
    <n v="3"/>
    <n v="84"/>
  </r>
  <r>
    <s v="Call_7411"/>
    <x v="1"/>
    <x v="91"/>
    <x v="2"/>
    <x v="52"/>
    <n v="102"/>
    <n v="4.4000000000000004"/>
    <x v="0"/>
    <x v="1"/>
    <x v="3"/>
    <x v="2"/>
    <n v="1"/>
    <n v="102"/>
  </r>
  <r>
    <s v="Call_7412"/>
    <x v="10"/>
    <x v="92"/>
    <x v="0"/>
    <x v="52"/>
    <n v="180"/>
    <n v="4.8"/>
    <x v="0"/>
    <x v="1"/>
    <x v="1"/>
    <x v="0"/>
    <n v="4"/>
    <n v="180"/>
  </r>
  <r>
    <s v="Call_7413"/>
    <x v="9"/>
    <x v="60"/>
    <x v="3"/>
    <x v="53"/>
    <n v="111"/>
    <n v="3"/>
    <x v="0"/>
    <x v="2"/>
    <x v="0"/>
    <x v="1"/>
    <n v="3"/>
    <n v="111"/>
  </r>
  <r>
    <s v="Call_7414"/>
    <x v="9"/>
    <x v="51"/>
    <x v="4"/>
    <x v="53"/>
    <n v="104"/>
    <n v="3.1"/>
    <x v="0"/>
    <x v="2"/>
    <x v="0"/>
    <x v="1"/>
    <n v="3"/>
    <n v="104"/>
  </r>
  <r>
    <s v="Call_7415"/>
    <x v="2"/>
    <x v="93"/>
    <x v="2"/>
    <x v="53"/>
    <n v="80"/>
    <n v="2.6"/>
    <x v="0"/>
    <x v="2"/>
    <x v="0"/>
    <x v="1"/>
    <n v="3"/>
    <n v="80"/>
  </r>
  <r>
    <s v="Call_7416"/>
    <x v="4"/>
    <x v="23"/>
    <x v="4"/>
    <x v="54"/>
    <n v="132"/>
    <n v="4.5999999999999996"/>
    <x v="0"/>
    <x v="3"/>
    <x v="1"/>
    <x v="0"/>
    <n v="4"/>
    <n v="132"/>
  </r>
  <r>
    <s v="Call_7417"/>
    <x v="4"/>
    <x v="31"/>
    <x v="3"/>
    <x v="54"/>
    <n v="170"/>
    <n v="3.7"/>
    <x v="0"/>
    <x v="3"/>
    <x v="0"/>
    <x v="2"/>
    <n v="3"/>
    <n v="170"/>
  </r>
  <r>
    <s v="Call_7418"/>
    <x v="10"/>
    <x v="94"/>
    <x v="1"/>
    <x v="54"/>
    <n v="36"/>
    <n v="3.8"/>
    <x v="0"/>
    <x v="3"/>
    <x v="1"/>
    <x v="2"/>
    <n v="4"/>
    <n v="36"/>
  </r>
  <r>
    <s v="Call_7419"/>
    <x v="8"/>
    <x v="34"/>
    <x v="4"/>
    <x v="54"/>
    <n v="126"/>
    <n v="3.6"/>
    <x v="0"/>
    <x v="3"/>
    <x v="0"/>
    <x v="2"/>
    <n v="3"/>
    <n v="126"/>
  </r>
  <r>
    <s v="Call_7420"/>
    <x v="11"/>
    <x v="72"/>
    <x v="2"/>
    <x v="54"/>
    <n v="215"/>
    <n v="4.4000000000000004"/>
    <x v="0"/>
    <x v="3"/>
    <x v="1"/>
    <x v="2"/>
    <n v="4"/>
    <n v="215"/>
  </r>
  <r>
    <s v="Call_7421"/>
    <x v="8"/>
    <x v="65"/>
    <x v="3"/>
    <x v="54"/>
    <n v="114"/>
    <n v="3.2"/>
    <x v="0"/>
    <x v="3"/>
    <x v="1"/>
    <x v="1"/>
    <n v="4"/>
    <n v="114"/>
  </r>
  <r>
    <s v="Call_7422"/>
    <x v="8"/>
    <x v="62"/>
    <x v="3"/>
    <x v="54"/>
    <n v="99"/>
    <n v="4.7"/>
    <x v="0"/>
    <x v="3"/>
    <x v="0"/>
    <x v="0"/>
    <n v="3"/>
    <n v="99"/>
  </r>
  <r>
    <s v="Call_7423"/>
    <x v="6"/>
    <x v="59"/>
    <x v="3"/>
    <x v="55"/>
    <n v="23"/>
    <n v="4.8"/>
    <x v="0"/>
    <x v="4"/>
    <x v="0"/>
    <x v="0"/>
    <n v="3"/>
    <n v="23"/>
  </r>
  <r>
    <s v="Call_7424"/>
    <x v="3"/>
    <x v="6"/>
    <x v="4"/>
    <x v="55"/>
    <n v="75"/>
    <n v="2.7"/>
    <x v="0"/>
    <x v="4"/>
    <x v="0"/>
    <x v="1"/>
    <n v="3"/>
    <n v="75"/>
  </r>
  <r>
    <s v="Call_7425"/>
    <x v="8"/>
    <x v="11"/>
    <x v="2"/>
    <x v="55"/>
    <n v="100"/>
    <n v="3.8"/>
    <x v="0"/>
    <x v="4"/>
    <x v="0"/>
    <x v="2"/>
    <n v="3"/>
    <n v="100"/>
  </r>
  <r>
    <s v="Call_7426"/>
    <x v="10"/>
    <x v="32"/>
    <x v="1"/>
    <x v="55"/>
    <n v="108"/>
    <n v="4.3"/>
    <x v="0"/>
    <x v="4"/>
    <x v="0"/>
    <x v="2"/>
    <n v="3"/>
    <n v="108"/>
  </r>
  <r>
    <s v="Call_7427"/>
    <x v="1"/>
    <x v="74"/>
    <x v="1"/>
    <x v="55"/>
    <n v="108"/>
    <n v="5"/>
    <x v="0"/>
    <x v="4"/>
    <x v="0"/>
    <x v="0"/>
    <n v="3"/>
    <n v="108"/>
  </r>
  <r>
    <s v="Call_7428"/>
    <x v="3"/>
    <x v="95"/>
    <x v="1"/>
    <x v="55"/>
    <n v="28"/>
    <n v="4.8"/>
    <x v="0"/>
    <x v="4"/>
    <x v="0"/>
    <x v="0"/>
    <n v="3"/>
    <n v="28"/>
  </r>
  <r>
    <s v="Call_7429"/>
    <x v="9"/>
    <x v="96"/>
    <x v="0"/>
    <x v="56"/>
    <n v="70"/>
    <n v="4.9000000000000004"/>
    <x v="0"/>
    <x v="5"/>
    <x v="0"/>
    <x v="0"/>
    <n v="3"/>
    <n v="70"/>
  </r>
  <r>
    <s v="Call_7430"/>
    <x v="2"/>
    <x v="90"/>
    <x v="0"/>
    <x v="56"/>
    <n v="172"/>
    <n v="4.0999999999999996"/>
    <x v="0"/>
    <x v="5"/>
    <x v="0"/>
    <x v="2"/>
    <n v="3"/>
    <n v="172"/>
  </r>
  <r>
    <s v="Call_7431"/>
    <x v="1"/>
    <x v="97"/>
    <x v="2"/>
    <x v="56"/>
    <n v="123"/>
    <n v="4.4000000000000004"/>
    <x v="0"/>
    <x v="5"/>
    <x v="0"/>
    <x v="2"/>
    <n v="3"/>
    <n v="123"/>
  </r>
  <r>
    <s v="Call_7432"/>
    <x v="1"/>
    <x v="98"/>
    <x v="1"/>
    <x v="56"/>
    <n v="93"/>
    <n v="3.4"/>
    <x v="0"/>
    <x v="5"/>
    <x v="2"/>
    <x v="1"/>
    <n v="2"/>
    <n v="93"/>
  </r>
  <r>
    <s v="Call_7433"/>
    <x v="12"/>
    <x v="99"/>
    <x v="0"/>
    <x v="56"/>
    <n v="66"/>
    <n v="4"/>
    <x v="0"/>
    <x v="5"/>
    <x v="0"/>
    <x v="2"/>
    <n v="3"/>
    <n v="66"/>
  </r>
  <r>
    <s v="Call_7434"/>
    <x v="12"/>
    <x v="37"/>
    <x v="1"/>
    <x v="56"/>
    <n v="39"/>
    <n v="2.4"/>
    <x v="0"/>
    <x v="5"/>
    <x v="1"/>
    <x v="3"/>
    <n v="4"/>
    <n v="39"/>
  </r>
  <r>
    <s v="Call_7435"/>
    <x v="0"/>
    <x v="100"/>
    <x v="4"/>
    <x v="56"/>
    <n v="25"/>
    <n v="2.1"/>
    <x v="0"/>
    <x v="5"/>
    <x v="2"/>
    <x v="3"/>
    <n v="2"/>
    <n v="25"/>
  </r>
  <r>
    <s v="Call_7436"/>
    <x v="13"/>
    <x v="96"/>
    <x v="2"/>
    <x v="56"/>
    <n v="68"/>
    <n v="3"/>
    <x v="0"/>
    <x v="5"/>
    <x v="0"/>
    <x v="1"/>
    <n v="3"/>
    <n v="68"/>
  </r>
  <r>
    <s v="Call_7437"/>
    <x v="2"/>
    <x v="16"/>
    <x v="4"/>
    <x v="56"/>
    <n v="84"/>
    <n v="3.2"/>
    <x v="0"/>
    <x v="5"/>
    <x v="2"/>
    <x v="1"/>
    <n v="2"/>
    <n v="84"/>
  </r>
  <r>
    <s v="Call_7438"/>
    <x v="4"/>
    <x v="12"/>
    <x v="1"/>
    <x v="57"/>
    <n v="88"/>
    <n v="3.4"/>
    <x v="0"/>
    <x v="6"/>
    <x v="1"/>
    <x v="1"/>
    <n v="4"/>
    <n v="88"/>
  </r>
  <r>
    <s v="Call_7439"/>
    <x v="10"/>
    <x v="25"/>
    <x v="2"/>
    <x v="57"/>
    <n v="93"/>
    <n v="2.7"/>
    <x v="0"/>
    <x v="6"/>
    <x v="0"/>
    <x v="1"/>
    <n v="3"/>
    <n v="93"/>
  </r>
  <r>
    <s v="Call_7440"/>
    <x v="1"/>
    <x v="58"/>
    <x v="4"/>
    <x v="57"/>
    <n v="128"/>
    <n v="5"/>
    <x v="0"/>
    <x v="6"/>
    <x v="0"/>
    <x v="0"/>
    <n v="3"/>
    <n v="128"/>
  </r>
  <r>
    <s v="Call_7441"/>
    <x v="2"/>
    <x v="29"/>
    <x v="3"/>
    <x v="57"/>
    <n v="40"/>
    <n v="3.4"/>
    <x v="0"/>
    <x v="6"/>
    <x v="0"/>
    <x v="1"/>
    <n v="3"/>
    <n v="40"/>
  </r>
  <r>
    <s v="Call_7442"/>
    <x v="6"/>
    <x v="101"/>
    <x v="4"/>
    <x v="58"/>
    <n v="92"/>
    <n v="4.7"/>
    <x v="0"/>
    <x v="0"/>
    <x v="0"/>
    <x v="0"/>
    <n v="3"/>
    <n v="92"/>
  </r>
  <r>
    <s v="Call_7443"/>
    <x v="8"/>
    <x v="96"/>
    <x v="1"/>
    <x v="58"/>
    <n v="27"/>
    <n v="4.5"/>
    <x v="0"/>
    <x v="0"/>
    <x v="0"/>
    <x v="0"/>
    <n v="3"/>
    <n v="27"/>
  </r>
  <r>
    <s v="Call_7444"/>
    <x v="5"/>
    <x v="37"/>
    <x v="0"/>
    <x v="58"/>
    <n v="140"/>
    <n v="4.0999999999999996"/>
    <x v="0"/>
    <x v="0"/>
    <x v="1"/>
    <x v="2"/>
    <n v="4"/>
    <n v="140"/>
  </r>
  <r>
    <s v="Call_7445"/>
    <x v="12"/>
    <x v="19"/>
    <x v="2"/>
    <x v="58"/>
    <n v="40"/>
    <n v="5"/>
    <x v="0"/>
    <x v="0"/>
    <x v="0"/>
    <x v="0"/>
    <n v="3"/>
    <n v="40"/>
  </r>
  <r>
    <s v="Call_7446"/>
    <x v="14"/>
    <x v="51"/>
    <x v="4"/>
    <x v="58"/>
    <n v="102"/>
    <n v="4.7"/>
    <x v="0"/>
    <x v="0"/>
    <x v="0"/>
    <x v="0"/>
    <n v="3"/>
    <n v="102"/>
  </r>
  <r>
    <s v="Call_7447"/>
    <x v="5"/>
    <x v="97"/>
    <x v="0"/>
    <x v="58"/>
    <n v="42"/>
    <n v="4.2"/>
    <x v="0"/>
    <x v="0"/>
    <x v="0"/>
    <x v="2"/>
    <n v="3"/>
    <n v="42"/>
  </r>
  <r>
    <s v="Call_7448"/>
    <x v="10"/>
    <x v="93"/>
    <x v="1"/>
    <x v="59"/>
    <n v="210"/>
    <n v="3.9"/>
    <x v="0"/>
    <x v="1"/>
    <x v="0"/>
    <x v="2"/>
    <n v="3"/>
    <n v="210"/>
  </r>
  <r>
    <s v="Call_7449"/>
    <x v="5"/>
    <x v="88"/>
    <x v="2"/>
    <x v="59"/>
    <n v="34"/>
    <n v="3"/>
    <x v="0"/>
    <x v="1"/>
    <x v="1"/>
    <x v="1"/>
    <n v="4"/>
    <n v="34"/>
  </r>
  <r>
    <s v="Call_7450"/>
    <x v="12"/>
    <x v="21"/>
    <x v="3"/>
    <x v="59"/>
    <n v="215"/>
    <n v="3.6"/>
    <x v="0"/>
    <x v="1"/>
    <x v="0"/>
    <x v="2"/>
    <n v="3"/>
    <n v="215"/>
  </r>
  <r>
    <s v="Call_7451"/>
    <x v="9"/>
    <x v="63"/>
    <x v="3"/>
    <x v="59"/>
    <n v="32"/>
    <n v="0.7"/>
    <x v="0"/>
    <x v="1"/>
    <x v="0"/>
    <x v="5"/>
    <n v="3"/>
    <n v="32"/>
  </r>
  <r>
    <s v="Call_7452"/>
    <x v="4"/>
    <x v="86"/>
    <x v="1"/>
    <x v="60"/>
    <n v="48"/>
    <n v="4.7"/>
    <x v="0"/>
    <x v="2"/>
    <x v="0"/>
    <x v="0"/>
    <n v="3"/>
    <n v="48"/>
  </r>
  <r>
    <s v="Call_7453"/>
    <x v="5"/>
    <x v="53"/>
    <x v="1"/>
    <x v="60"/>
    <n v="132"/>
    <n v="4.5"/>
    <x v="0"/>
    <x v="2"/>
    <x v="0"/>
    <x v="0"/>
    <n v="3"/>
    <n v="132"/>
  </r>
  <r>
    <s v="Call_7454"/>
    <x v="8"/>
    <x v="6"/>
    <x v="0"/>
    <x v="60"/>
    <n v="172"/>
    <n v="4.3"/>
    <x v="0"/>
    <x v="2"/>
    <x v="0"/>
    <x v="2"/>
    <n v="3"/>
    <n v="172"/>
  </r>
  <r>
    <s v="Call_7455"/>
    <x v="8"/>
    <x v="29"/>
    <x v="0"/>
    <x v="60"/>
    <n v="111"/>
    <n v="3.4"/>
    <x v="0"/>
    <x v="2"/>
    <x v="0"/>
    <x v="1"/>
    <n v="3"/>
    <n v="111"/>
  </r>
  <r>
    <s v="Call_7456"/>
    <x v="7"/>
    <x v="102"/>
    <x v="0"/>
    <x v="60"/>
    <n v="58"/>
    <n v="3.6"/>
    <x v="0"/>
    <x v="2"/>
    <x v="0"/>
    <x v="2"/>
    <n v="3"/>
    <n v="58"/>
  </r>
  <r>
    <s v="Call_7457"/>
    <x v="7"/>
    <x v="103"/>
    <x v="3"/>
    <x v="60"/>
    <n v="68"/>
    <n v="4"/>
    <x v="0"/>
    <x v="2"/>
    <x v="0"/>
    <x v="2"/>
    <n v="3"/>
    <n v="68"/>
  </r>
  <r>
    <s v="Call_7458"/>
    <x v="8"/>
    <x v="104"/>
    <x v="2"/>
    <x v="60"/>
    <n v="160"/>
    <n v="4.5"/>
    <x v="0"/>
    <x v="2"/>
    <x v="1"/>
    <x v="0"/>
    <n v="4"/>
    <n v="160"/>
  </r>
  <r>
    <s v="Call_7459"/>
    <x v="13"/>
    <x v="24"/>
    <x v="4"/>
    <x v="60"/>
    <n v="45"/>
    <n v="3"/>
    <x v="0"/>
    <x v="2"/>
    <x v="0"/>
    <x v="1"/>
    <n v="3"/>
    <n v="45"/>
  </r>
  <r>
    <s v="Call_7460"/>
    <x v="14"/>
    <x v="6"/>
    <x v="1"/>
    <x v="61"/>
    <n v="117"/>
    <n v="3"/>
    <x v="0"/>
    <x v="3"/>
    <x v="0"/>
    <x v="1"/>
    <n v="3"/>
    <n v="117"/>
  </r>
  <r>
    <s v="Call_7461"/>
    <x v="10"/>
    <x v="105"/>
    <x v="0"/>
    <x v="62"/>
    <n v="22"/>
    <n v="1.6"/>
    <x v="0"/>
    <x v="4"/>
    <x v="2"/>
    <x v="3"/>
    <n v="2"/>
    <n v="22"/>
  </r>
  <r>
    <s v="Call_7462"/>
    <x v="14"/>
    <x v="29"/>
    <x v="4"/>
    <x v="62"/>
    <n v="195"/>
    <n v="3"/>
    <x v="0"/>
    <x v="4"/>
    <x v="0"/>
    <x v="1"/>
    <n v="3"/>
    <n v="195"/>
  </r>
  <r>
    <s v="Call_7463"/>
    <x v="7"/>
    <x v="24"/>
    <x v="2"/>
    <x v="62"/>
    <n v="168"/>
    <n v="3.7"/>
    <x v="0"/>
    <x v="4"/>
    <x v="0"/>
    <x v="2"/>
    <n v="3"/>
    <n v="168"/>
  </r>
  <r>
    <s v="Call_7464"/>
    <x v="5"/>
    <x v="106"/>
    <x v="3"/>
    <x v="63"/>
    <n v="46"/>
    <n v="4.9000000000000004"/>
    <x v="0"/>
    <x v="5"/>
    <x v="0"/>
    <x v="0"/>
    <n v="3"/>
    <n v="46"/>
  </r>
  <r>
    <s v="Call_7465"/>
    <x v="1"/>
    <x v="23"/>
    <x v="0"/>
    <x v="63"/>
    <n v="164"/>
    <n v="3.4"/>
    <x v="0"/>
    <x v="5"/>
    <x v="1"/>
    <x v="1"/>
    <n v="4"/>
    <n v="164"/>
  </r>
  <r>
    <s v="Call_7466"/>
    <x v="5"/>
    <x v="47"/>
    <x v="3"/>
    <x v="63"/>
    <n v="48"/>
    <n v="5"/>
    <x v="0"/>
    <x v="5"/>
    <x v="0"/>
    <x v="0"/>
    <n v="3"/>
    <n v="48"/>
  </r>
  <r>
    <s v="Call_7467"/>
    <x v="2"/>
    <x v="28"/>
    <x v="1"/>
    <x v="63"/>
    <n v="96"/>
    <n v="5"/>
    <x v="0"/>
    <x v="5"/>
    <x v="0"/>
    <x v="0"/>
    <n v="3"/>
    <n v="96"/>
  </r>
  <r>
    <s v="Call_7468"/>
    <x v="5"/>
    <x v="51"/>
    <x v="3"/>
    <x v="63"/>
    <n v="105"/>
    <n v="4"/>
    <x v="0"/>
    <x v="5"/>
    <x v="0"/>
    <x v="2"/>
    <n v="3"/>
    <n v="105"/>
  </r>
  <r>
    <s v="Call_7469"/>
    <x v="1"/>
    <x v="41"/>
    <x v="3"/>
    <x v="64"/>
    <n v="44"/>
    <n v="3.6"/>
    <x v="0"/>
    <x v="6"/>
    <x v="0"/>
    <x v="2"/>
    <n v="3"/>
    <n v="44"/>
  </r>
  <r>
    <s v="Call_7470"/>
    <x v="0"/>
    <x v="107"/>
    <x v="2"/>
    <x v="64"/>
    <n v="132"/>
    <n v="3.7"/>
    <x v="0"/>
    <x v="6"/>
    <x v="0"/>
    <x v="2"/>
    <n v="3"/>
    <n v="132"/>
  </r>
  <r>
    <s v="Call_7471"/>
    <x v="2"/>
    <x v="5"/>
    <x v="0"/>
    <x v="64"/>
    <n v="54"/>
    <n v="4.2"/>
    <x v="0"/>
    <x v="6"/>
    <x v="0"/>
    <x v="2"/>
    <n v="3"/>
    <n v="54"/>
  </r>
  <r>
    <s v="Call_7472"/>
    <x v="13"/>
    <x v="108"/>
    <x v="4"/>
    <x v="64"/>
    <n v="129"/>
    <n v="2.1"/>
    <x v="0"/>
    <x v="6"/>
    <x v="0"/>
    <x v="3"/>
    <n v="3"/>
    <n v="129"/>
  </r>
  <r>
    <s v="Call_7473"/>
    <x v="13"/>
    <x v="47"/>
    <x v="3"/>
    <x v="64"/>
    <n v="42"/>
    <n v="4"/>
    <x v="0"/>
    <x v="6"/>
    <x v="0"/>
    <x v="2"/>
    <n v="3"/>
    <n v="42"/>
  </r>
  <r>
    <s v="Call_7474"/>
    <x v="9"/>
    <x v="45"/>
    <x v="3"/>
    <x v="64"/>
    <n v="42"/>
    <n v="4.2"/>
    <x v="0"/>
    <x v="6"/>
    <x v="0"/>
    <x v="2"/>
    <n v="3"/>
    <n v="42"/>
  </r>
  <r>
    <s v="Call_7475"/>
    <x v="7"/>
    <x v="104"/>
    <x v="0"/>
    <x v="64"/>
    <n v="180"/>
    <n v="3.1"/>
    <x v="0"/>
    <x v="6"/>
    <x v="1"/>
    <x v="1"/>
    <n v="4"/>
    <n v="180"/>
  </r>
  <r>
    <s v="Call_7476"/>
    <x v="4"/>
    <x v="21"/>
    <x v="3"/>
    <x v="65"/>
    <n v="34"/>
    <n v="4.8"/>
    <x v="0"/>
    <x v="0"/>
    <x v="0"/>
    <x v="0"/>
    <n v="3"/>
    <n v="34"/>
  </r>
  <r>
    <s v="Call_7477"/>
    <x v="14"/>
    <x v="91"/>
    <x v="4"/>
    <x v="65"/>
    <n v="29"/>
    <n v="4.7"/>
    <x v="0"/>
    <x v="0"/>
    <x v="3"/>
    <x v="0"/>
    <n v="1"/>
    <n v="29"/>
  </r>
  <r>
    <s v="Call_7478"/>
    <x v="12"/>
    <x v="109"/>
    <x v="1"/>
    <x v="65"/>
    <n v="165"/>
    <n v="3.3"/>
    <x v="0"/>
    <x v="0"/>
    <x v="0"/>
    <x v="1"/>
    <n v="3"/>
    <n v="165"/>
  </r>
  <r>
    <s v="Call_7479"/>
    <x v="14"/>
    <x v="110"/>
    <x v="3"/>
    <x v="66"/>
    <n v="32"/>
    <n v="3.7"/>
    <x v="0"/>
    <x v="1"/>
    <x v="1"/>
    <x v="2"/>
    <n v="4"/>
    <n v="32"/>
  </r>
  <r>
    <s v="Call_7480"/>
    <x v="13"/>
    <x v="84"/>
    <x v="2"/>
    <x v="66"/>
    <n v="160"/>
    <n v="4.9000000000000004"/>
    <x v="0"/>
    <x v="1"/>
    <x v="0"/>
    <x v="0"/>
    <n v="3"/>
    <n v="160"/>
  </r>
  <r>
    <s v="Call_7481"/>
    <x v="7"/>
    <x v="111"/>
    <x v="0"/>
    <x v="66"/>
    <n v="140"/>
    <n v="3.5"/>
    <x v="0"/>
    <x v="1"/>
    <x v="1"/>
    <x v="2"/>
    <n v="4"/>
    <n v="140"/>
  </r>
  <r>
    <s v="Call_7482"/>
    <x v="12"/>
    <x v="61"/>
    <x v="0"/>
    <x v="66"/>
    <n v="136"/>
    <n v="4.4000000000000004"/>
    <x v="0"/>
    <x v="1"/>
    <x v="1"/>
    <x v="2"/>
    <n v="4"/>
    <n v="136"/>
  </r>
  <r>
    <s v="Call_7483"/>
    <x v="2"/>
    <x v="106"/>
    <x v="4"/>
    <x v="66"/>
    <n v="66"/>
    <n v="2.8"/>
    <x v="0"/>
    <x v="1"/>
    <x v="0"/>
    <x v="1"/>
    <n v="3"/>
    <n v="66"/>
  </r>
  <r>
    <s v="Call_7484"/>
    <x v="12"/>
    <x v="36"/>
    <x v="2"/>
    <x v="67"/>
    <n v="63"/>
    <n v="4.0999999999999996"/>
    <x v="0"/>
    <x v="2"/>
    <x v="2"/>
    <x v="2"/>
    <n v="2"/>
    <n v="63"/>
  </r>
  <r>
    <s v="Call_7485"/>
    <x v="0"/>
    <x v="112"/>
    <x v="3"/>
    <x v="67"/>
    <n v="44"/>
    <n v="3.5"/>
    <x v="0"/>
    <x v="2"/>
    <x v="1"/>
    <x v="2"/>
    <n v="4"/>
    <n v="44"/>
  </r>
  <r>
    <s v="Call_7486"/>
    <x v="7"/>
    <x v="16"/>
    <x v="1"/>
    <x v="67"/>
    <n v="78"/>
    <n v="3.8"/>
    <x v="0"/>
    <x v="2"/>
    <x v="2"/>
    <x v="2"/>
    <n v="2"/>
    <n v="78"/>
  </r>
  <r>
    <s v="Call_7487"/>
    <x v="7"/>
    <x v="1"/>
    <x v="3"/>
    <x v="67"/>
    <n v="20"/>
    <n v="3.9"/>
    <x v="0"/>
    <x v="2"/>
    <x v="0"/>
    <x v="2"/>
    <n v="3"/>
    <n v="20"/>
  </r>
  <r>
    <s v="Call_7488"/>
    <x v="14"/>
    <x v="83"/>
    <x v="4"/>
    <x v="67"/>
    <n v="84"/>
    <n v="2.5"/>
    <x v="0"/>
    <x v="2"/>
    <x v="0"/>
    <x v="1"/>
    <n v="3"/>
    <n v="84"/>
  </r>
  <r>
    <s v="Call_7489"/>
    <x v="8"/>
    <x v="2"/>
    <x v="4"/>
    <x v="67"/>
    <n v="32"/>
    <n v="4.9000000000000004"/>
    <x v="0"/>
    <x v="2"/>
    <x v="0"/>
    <x v="0"/>
    <n v="3"/>
    <n v="32"/>
  </r>
  <r>
    <s v="Call_7490"/>
    <x v="9"/>
    <x v="113"/>
    <x v="1"/>
    <x v="67"/>
    <n v="132"/>
    <n v="3.4"/>
    <x v="0"/>
    <x v="2"/>
    <x v="0"/>
    <x v="1"/>
    <n v="3"/>
    <n v="132"/>
  </r>
  <r>
    <s v="Call_7491"/>
    <x v="9"/>
    <x v="47"/>
    <x v="0"/>
    <x v="67"/>
    <n v="105"/>
    <n v="3.3"/>
    <x v="0"/>
    <x v="2"/>
    <x v="0"/>
    <x v="1"/>
    <n v="3"/>
    <n v="105"/>
  </r>
  <r>
    <s v="Call_7492"/>
    <x v="1"/>
    <x v="12"/>
    <x v="3"/>
    <x v="68"/>
    <n v="48"/>
    <n v="4.7"/>
    <x v="0"/>
    <x v="3"/>
    <x v="1"/>
    <x v="0"/>
    <n v="4"/>
    <n v="48"/>
  </r>
  <r>
    <s v="Call_7493"/>
    <x v="7"/>
    <x v="44"/>
    <x v="3"/>
    <x v="68"/>
    <n v="64"/>
    <n v="4"/>
    <x v="0"/>
    <x v="3"/>
    <x v="0"/>
    <x v="2"/>
    <n v="3"/>
    <n v="64"/>
  </r>
  <r>
    <s v="Call_7494"/>
    <x v="10"/>
    <x v="87"/>
    <x v="0"/>
    <x v="68"/>
    <n v="44"/>
    <n v="3.8"/>
    <x v="0"/>
    <x v="3"/>
    <x v="1"/>
    <x v="2"/>
    <n v="4"/>
    <n v="44"/>
  </r>
  <r>
    <s v="Call_7495"/>
    <x v="1"/>
    <x v="68"/>
    <x v="1"/>
    <x v="68"/>
    <n v="120"/>
    <n v="3.1"/>
    <x v="0"/>
    <x v="3"/>
    <x v="0"/>
    <x v="1"/>
    <n v="3"/>
    <n v="120"/>
  </r>
  <r>
    <s v="Call_7496"/>
    <x v="10"/>
    <x v="33"/>
    <x v="1"/>
    <x v="68"/>
    <n v="144"/>
    <n v="4.8"/>
    <x v="0"/>
    <x v="3"/>
    <x v="0"/>
    <x v="0"/>
    <n v="3"/>
    <n v="144"/>
  </r>
  <r>
    <s v="Call_7497"/>
    <x v="9"/>
    <x v="83"/>
    <x v="1"/>
    <x v="68"/>
    <n v="87"/>
    <n v="2.7"/>
    <x v="0"/>
    <x v="3"/>
    <x v="0"/>
    <x v="1"/>
    <n v="3"/>
    <n v="87"/>
  </r>
  <r>
    <s v="Call_7498"/>
    <x v="4"/>
    <x v="114"/>
    <x v="4"/>
    <x v="68"/>
    <n v="36"/>
    <n v="3.6"/>
    <x v="0"/>
    <x v="3"/>
    <x v="1"/>
    <x v="2"/>
    <n v="4"/>
    <n v="36"/>
  </r>
  <r>
    <s v="Call_7499"/>
    <x v="9"/>
    <x v="31"/>
    <x v="3"/>
    <x v="69"/>
    <n v="72"/>
    <n v="4.7"/>
    <x v="0"/>
    <x v="4"/>
    <x v="0"/>
    <x v="0"/>
    <n v="3"/>
    <n v="72"/>
  </r>
  <r>
    <s v="Call_7500"/>
    <x v="13"/>
    <x v="76"/>
    <x v="0"/>
    <x v="69"/>
    <n v="150"/>
    <n v="4.4000000000000004"/>
    <x v="0"/>
    <x v="4"/>
    <x v="1"/>
    <x v="2"/>
    <n v="4"/>
    <n v="150"/>
  </r>
  <r>
    <s v="Call_7501"/>
    <x v="3"/>
    <x v="73"/>
    <x v="1"/>
    <x v="69"/>
    <n v="68"/>
    <n v="4.3"/>
    <x v="0"/>
    <x v="4"/>
    <x v="0"/>
    <x v="2"/>
    <n v="3"/>
    <n v="68"/>
  </r>
  <r>
    <s v="Call_7502"/>
    <x v="1"/>
    <x v="30"/>
    <x v="0"/>
    <x v="69"/>
    <n v="99"/>
    <n v="4.9000000000000004"/>
    <x v="0"/>
    <x v="4"/>
    <x v="0"/>
    <x v="0"/>
    <n v="3"/>
    <n v="99"/>
  </r>
  <r>
    <s v="Call_7503"/>
    <x v="4"/>
    <x v="17"/>
    <x v="1"/>
    <x v="69"/>
    <n v="26"/>
    <n v="4.8"/>
    <x v="0"/>
    <x v="4"/>
    <x v="0"/>
    <x v="0"/>
    <n v="3"/>
    <n v="26"/>
  </r>
  <r>
    <s v="Call_7504"/>
    <x v="9"/>
    <x v="38"/>
    <x v="1"/>
    <x v="69"/>
    <n v="88"/>
    <n v="3.2"/>
    <x v="0"/>
    <x v="4"/>
    <x v="0"/>
    <x v="1"/>
    <n v="3"/>
    <n v="88"/>
  </r>
  <r>
    <s v="Call_7505"/>
    <x v="5"/>
    <x v="41"/>
    <x v="1"/>
    <x v="69"/>
    <n v="124"/>
    <n v="3.4"/>
    <x v="0"/>
    <x v="4"/>
    <x v="0"/>
    <x v="1"/>
    <n v="3"/>
    <n v="124"/>
  </r>
  <r>
    <s v="Call_7506"/>
    <x v="10"/>
    <x v="5"/>
    <x v="1"/>
    <x v="69"/>
    <n v="72"/>
    <n v="3.5"/>
    <x v="0"/>
    <x v="4"/>
    <x v="0"/>
    <x v="2"/>
    <n v="3"/>
    <n v="72"/>
  </r>
  <r>
    <s v="Call_7507"/>
    <x v="0"/>
    <x v="102"/>
    <x v="2"/>
    <x v="70"/>
    <n v="125"/>
    <n v="4.9000000000000004"/>
    <x v="0"/>
    <x v="5"/>
    <x v="0"/>
    <x v="0"/>
    <n v="3"/>
    <n v="125"/>
  </r>
  <r>
    <s v="Call_7508"/>
    <x v="6"/>
    <x v="90"/>
    <x v="0"/>
    <x v="70"/>
    <n v="22"/>
    <n v="4.0999999999999996"/>
    <x v="0"/>
    <x v="5"/>
    <x v="0"/>
    <x v="2"/>
    <n v="3"/>
    <n v="22"/>
  </r>
  <r>
    <s v="Call_7509"/>
    <x v="2"/>
    <x v="34"/>
    <x v="3"/>
    <x v="71"/>
    <n v="70"/>
    <n v="4.9000000000000004"/>
    <x v="0"/>
    <x v="6"/>
    <x v="0"/>
    <x v="0"/>
    <n v="3"/>
    <n v="70"/>
  </r>
  <r>
    <s v="Call_7510"/>
    <x v="11"/>
    <x v="101"/>
    <x v="1"/>
    <x v="71"/>
    <n v="24"/>
    <n v="4.3"/>
    <x v="0"/>
    <x v="6"/>
    <x v="0"/>
    <x v="2"/>
    <n v="3"/>
    <n v="24"/>
  </r>
  <r>
    <s v="Call_7511"/>
    <x v="7"/>
    <x v="29"/>
    <x v="4"/>
    <x v="71"/>
    <n v="32"/>
    <n v="4.0999999999999996"/>
    <x v="0"/>
    <x v="6"/>
    <x v="0"/>
    <x v="2"/>
    <n v="3"/>
    <n v="32"/>
  </r>
  <r>
    <s v="Call_7512"/>
    <x v="13"/>
    <x v="32"/>
    <x v="2"/>
    <x v="71"/>
    <n v="112"/>
    <n v="4.4000000000000004"/>
    <x v="0"/>
    <x v="6"/>
    <x v="0"/>
    <x v="2"/>
    <n v="3"/>
    <n v="112"/>
  </r>
  <r>
    <s v="Call_7513"/>
    <x v="6"/>
    <x v="20"/>
    <x v="1"/>
    <x v="72"/>
    <n v="43"/>
    <n v="4.5"/>
    <x v="0"/>
    <x v="0"/>
    <x v="0"/>
    <x v="0"/>
    <n v="3"/>
    <n v="43"/>
  </r>
  <r>
    <s v="Call_7514"/>
    <x v="10"/>
    <x v="5"/>
    <x v="2"/>
    <x v="72"/>
    <n v="22"/>
    <n v="3.5"/>
    <x v="0"/>
    <x v="0"/>
    <x v="0"/>
    <x v="2"/>
    <n v="3"/>
    <n v="22"/>
  </r>
  <r>
    <s v="Call_7515"/>
    <x v="9"/>
    <x v="115"/>
    <x v="2"/>
    <x v="72"/>
    <n v="93"/>
    <n v="4.4000000000000004"/>
    <x v="0"/>
    <x v="0"/>
    <x v="1"/>
    <x v="2"/>
    <n v="4"/>
    <n v="93"/>
  </r>
  <r>
    <s v="Call_7516"/>
    <x v="6"/>
    <x v="19"/>
    <x v="2"/>
    <x v="72"/>
    <n v="45"/>
    <n v="3.5"/>
    <x v="0"/>
    <x v="0"/>
    <x v="0"/>
    <x v="2"/>
    <n v="3"/>
    <n v="45"/>
  </r>
  <r>
    <s v="Call_7517"/>
    <x v="1"/>
    <x v="116"/>
    <x v="2"/>
    <x v="73"/>
    <n v="96"/>
    <n v="3.8"/>
    <x v="0"/>
    <x v="1"/>
    <x v="1"/>
    <x v="2"/>
    <n v="4"/>
    <n v="96"/>
  </r>
  <r>
    <s v="Call_7518"/>
    <x v="1"/>
    <x v="34"/>
    <x v="1"/>
    <x v="73"/>
    <n v="96"/>
    <n v="3.3"/>
    <x v="0"/>
    <x v="1"/>
    <x v="0"/>
    <x v="1"/>
    <n v="3"/>
    <n v="96"/>
  </r>
  <r>
    <s v="Call_7519"/>
    <x v="2"/>
    <x v="108"/>
    <x v="0"/>
    <x v="73"/>
    <n v="31"/>
    <n v="4.4000000000000004"/>
    <x v="0"/>
    <x v="1"/>
    <x v="0"/>
    <x v="2"/>
    <n v="3"/>
    <n v="31"/>
  </r>
  <r>
    <s v="Call_7520"/>
    <x v="4"/>
    <x v="13"/>
    <x v="1"/>
    <x v="73"/>
    <n v="200"/>
    <n v="3.9"/>
    <x v="0"/>
    <x v="1"/>
    <x v="0"/>
    <x v="2"/>
    <n v="3"/>
    <n v="200"/>
  </r>
  <r>
    <s v="Call_7521"/>
    <x v="1"/>
    <x v="71"/>
    <x v="0"/>
    <x v="73"/>
    <n v="99"/>
    <n v="2.7"/>
    <x v="0"/>
    <x v="1"/>
    <x v="0"/>
    <x v="1"/>
    <n v="3"/>
    <n v="99"/>
  </r>
  <r>
    <s v="Call_7522"/>
    <x v="3"/>
    <x v="117"/>
    <x v="4"/>
    <x v="73"/>
    <n v="144"/>
    <n v="2.9"/>
    <x v="0"/>
    <x v="1"/>
    <x v="0"/>
    <x v="1"/>
    <n v="3"/>
    <n v="144"/>
  </r>
  <r>
    <s v="Call_7523"/>
    <x v="2"/>
    <x v="9"/>
    <x v="2"/>
    <x v="74"/>
    <n v="81"/>
    <n v="4"/>
    <x v="0"/>
    <x v="2"/>
    <x v="0"/>
    <x v="2"/>
    <n v="3"/>
    <n v="81"/>
  </r>
  <r>
    <s v="Call_7524"/>
    <x v="3"/>
    <x v="23"/>
    <x v="4"/>
    <x v="74"/>
    <n v="70"/>
    <n v="4.4000000000000004"/>
    <x v="0"/>
    <x v="2"/>
    <x v="1"/>
    <x v="2"/>
    <n v="4"/>
    <n v="70"/>
  </r>
  <r>
    <s v="Call_7525"/>
    <x v="1"/>
    <x v="47"/>
    <x v="4"/>
    <x v="74"/>
    <n v="148"/>
    <n v="5"/>
    <x v="0"/>
    <x v="2"/>
    <x v="0"/>
    <x v="0"/>
    <n v="3"/>
    <n v="148"/>
  </r>
  <r>
    <s v="Call_7526"/>
    <x v="5"/>
    <x v="44"/>
    <x v="2"/>
    <x v="74"/>
    <n v="215"/>
    <n v="4.0999999999999996"/>
    <x v="0"/>
    <x v="2"/>
    <x v="0"/>
    <x v="2"/>
    <n v="3"/>
    <n v="215"/>
  </r>
  <r>
    <s v="Call_7527"/>
    <x v="5"/>
    <x v="111"/>
    <x v="1"/>
    <x v="74"/>
    <n v="124"/>
    <n v="4.4000000000000004"/>
    <x v="0"/>
    <x v="2"/>
    <x v="1"/>
    <x v="2"/>
    <n v="4"/>
    <n v="124"/>
  </r>
  <r>
    <s v="Call_7528"/>
    <x v="10"/>
    <x v="97"/>
    <x v="3"/>
    <x v="74"/>
    <n v="168"/>
    <n v="4.0999999999999996"/>
    <x v="0"/>
    <x v="2"/>
    <x v="0"/>
    <x v="2"/>
    <n v="3"/>
    <n v="168"/>
  </r>
  <r>
    <s v="Call_7529"/>
    <x v="12"/>
    <x v="85"/>
    <x v="0"/>
    <x v="74"/>
    <n v="90"/>
    <n v="4.5"/>
    <x v="0"/>
    <x v="2"/>
    <x v="1"/>
    <x v="0"/>
    <n v="4"/>
    <n v="90"/>
  </r>
  <r>
    <s v="Call_7530"/>
    <x v="12"/>
    <x v="20"/>
    <x v="2"/>
    <x v="75"/>
    <n v="176"/>
    <n v="4.2"/>
    <x v="0"/>
    <x v="3"/>
    <x v="0"/>
    <x v="2"/>
    <n v="3"/>
    <n v="176"/>
  </r>
  <r>
    <s v="Call_7531"/>
    <x v="4"/>
    <x v="47"/>
    <x v="4"/>
    <x v="75"/>
    <n v="87"/>
    <n v="4.5999999999999996"/>
    <x v="0"/>
    <x v="3"/>
    <x v="0"/>
    <x v="0"/>
    <n v="3"/>
    <n v="87"/>
  </r>
  <r>
    <s v="Call_7532"/>
    <x v="9"/>
    <x v="44"/>
    <x v="1"/>
    <x v="75"/>
    <n v="128"/>
    <n v="4.5"/>
    <x v="0"/>
    <x v="3"/>
    <x v="0"/>
    <x v="0"/>
    <n v="3"/>
    <n v="128"/>
  </r>
  <r>
    <s v="Call_7533"/>
    <x v="14"/>
    <x v="92"/>
    <x v="4"/>
    <x v="75"/>
    <n v="120"/>
    <n v="4.0999999999999996"/>
    <x v="0"/>
    <x v="3"/>
    <x v="1"/>
    <x v="2"/>
    <n v="4"/>
    <n v="120"/>
  </r>
  <r>
    <s v="Call_7534"/>
    <x v="8"/>
    <x v="58"/>
    <x v="3"/>
    <x v="75"/>
    <n v="130"/>
    <n v="4.8"/>
    <x v="0"/>
    <x v="3"/>
    <x v="0"/>
    <x v="0"/>
    <n v="3"/>
    <n v="130"/>
  </r>
  <r>
    <s v="Call_7535"/>
    <x v="11"/>
    <x v="85"/>
    <x v="1"/>
    <x v="75"/>
    <n v="172"/>
    <n v="3.1"/>
    <x v="0"/>
    <x v="3"/>
    <x v="1"/>
    <x v="1"/>
    <n v="4"/>
    <n v="172"/>
  </r>
  <r>
    <s v="Call_7536"/>
    <x v="6"/>
    <x v="37"/>
    <x v="1"/>
    <x v="75"/>
    <n v="58"/>
    <n v="4.9000000000000004"/>
    <x v="0"/>
    <x v="3"/>
    <x v="1"/>
    <x v="0"/>
    <n v="4"/>
    <n v="58"/>
  </r>
  <r>
    <s v="Call_7537"/>
    <x v="5"/>
    <x v="75"/>
    <x v="3"/>
    <x v="76"/>
    <n v="86"/>
    <n v="4.0999999999999996"/>
    <x v="0"/>
    <x v="4"/>
    <x v="0"/>
    <x v="2"/>
    <n v="3"/>
    <n v="86"/>
  </r>
  <r>
    <s v="Call_7538"/>
    <x v="12"/>
    <x v="112"/>
    <x v="3"/>
    <x v="77"/>
    <n v="31"/>
    <n v="4.4000000000000004"/>
    <x v="0"/>
    <x v="5"/>
    <x v="1"/>
    <x v="2"/>
    <n v="4"/>
    <n v="31"/>
  </r>
  <r>
    <s v="Call_7539"/>
    <x v="2"/>
    <x v="107"/>
    <x v="4"/>
    <x v="77"/>
    <n v="72"/>
    <n v="4.4000000000000004"/>
    <x v="0"/>
    <x v="5"/>
    <x v="0"/>
    <x v="2"/>
    <n v="3"/>
    <n v="72"/>
  </r>
  <r>
    <s v="Call_7540"/>
    <x v="12"/>
    <x v="118"/>
    <x v="0"/>
    <x v="78"/>
    <n v="27"/>
    <n v="3"/>
    <x v="0"/>
    <x v="6"/>
    <x v="1"/>
    <x v="1"/>
    <n v="4"/>
    <n v="27"/>
  </r>
  <r>
    <s v="Call_7541"/>
    <x v="14"/>
    <x v="77"/>
    <x v="1"/>
    <x v="78"/>
    <n v="110"/>
    <n v="4.4000000000000004"/>
    <x v="0"/>
    <x v="6"/>
    <x v="0"/>
    <x v="2"/>
    <n v="3"/>
    <n v="110"/>
  </r>
  <r>
    <s v="Call_7542"/>
    <x v="10"/>
    <x v="53"/>
    <x v="4"/>
    <x v="78"/>
    <n v="126"/>
    <n v="3.7"/>
    <x v="0"/>
    <x v="6"/>
    <x v="0"/>
    <x v="2"/>
    <n v="3"/>
    <n v="126"/>
  </r>
  <r>
    <s v="Call_7543"/>
    <x v="9"/>
    <x v="40"/>
    <x v="0"/>
    <x v="78"/>
    <n v="60"/>
    <n v="3.9"/>
    <x v="0"/>
    <x v="6"/>
    <x v="1"/>
    <x v="2"/>
    <n v="4"/>
    <n v="60"/>
  </r>
  <r>
    <s v="Call_7544"/>
    <x v="12"/>
    <x v="82"/>
    <x v="4"/>
    <x v="78"/>
    <n v="35"/>
    <n v="3.5"/>
    <x v="0"/>
    <x v="6"/>
    <x v="0"/>
    <x v="2"/>
    <n v="3"/>
    <n v="35"/>
  </r>
  <r>
    <s v="Call_7545"/>
    <x v="1"/>
    <x v="97"/>
    <x v="1"/>
    <x v="78"/>
    <n v="81"/>
    <n v="3.5"/>
    <x v="0"/>
    <x v="6"/>
    <x v="0"/>
    <x v="2"/>
    <n v="3"/>
    <n v="81"/>
  </r>
  <r>
    <s v="Call_7546"/>
    <x v="0"/>
    <x v="27"/>
    <x v="0"/>
    <x v="78"/>
    <n v="116"/>
    <n v="3.4"/>
    <x v="0"/>
    <x v="6"/>
    <x v="1"/>
    <x v="1"/>
    <n v="4"/>
    <n v="116"/>
  </r>
  <r>
    <s v="Call_7547"/>
    <x v="4"/>
    <x v="119"/>
    <x v="2"/>
    <x v="78"/>
    <n v="60"/>
    <n v="4.5"/>
    <x v="0"/>
    <x v="6"/>
    <x v="1"/>
    <x v="0"/>
    <n v="4"/>
    <n v="60"/>
  </r>
  <r>
    <s v="Call_7548"/>
    <x v="10"/>
    <x v="120"/>
    <x v="0"/>
    <x v="79"/>
    <n v="130"/>
    <n v="4.2"/>
    <x v="0"/>
    <x v="0"/>
    <x v="0"/>
    <x v="2"/>
    <n v="3"/>
    <n v="130"/>
  </r>
  <r>
    <s v="Call_7549"/>
    <x v="7"/>
    <x v="46"/>
    <x v="3"/>
    <x v="79"/>
    <n v="99"/>
    <n v="5"/>
    <x v="0"/>
    <x v="0"/>
    <x v="0"/>
    <x v="0"/>
    <n v="3"/>
    <n v="99"/>
  </r>
  <r>
    <s v="Call_7550"/>
    <x v="11"/>
    <x v="29"/>
    <x v="1"/>
    <x v="79"/>
    <n v="135"/>
    <n v="4.7"/>
    <x v="0"/>
    <x v="0"/>
    <x v="0"/>
    <x v="0"/>
    <n v="3"/>
    <n v="135"/>
  </r>
  <r>
    <s v="Call_7551"/>
    <x v="1"/>
    <x v="6"/>
    <x v="0"/>
    <x v="79"/>
    <n v="42"/>
    <n v="2.8"/>
    <x v="0"/>
    <x v="0"/>
    <x v="0"/>
    <x v="1"/>
    <n v="3"/>
    <n v="42"/>
  </r>
  <r>
    <s v="Call_7552"/>
    <x v="10"/>
    <x v="0"/>
    <x v="3"/>
    <x v="80"/>
    <n v="63"/>
    <n v="3.4"/>
    <x v="0"/>
    <x v="1"/>
    <x v="0"/>
    <x v="1"/>
    <n v="3"/>
    <n v="63"/>
  </r>
  <r>
    <s v="Call_7553"/>
    <x v="5"/>
    <x v="84"/>
    <x v="2"/>
    <x v="80"/>
    <n v="140"/>
    <n v="1.8"/>
    <x v="0"/>
    <x v="1"/>
    <x v="0"/>
    <x v="3"/>
    <n v="3"/>
    <n v="140"/>
  </r>
  <r>
    <s v="Call_7554"/>
    <x v="12"/>
    <x v="116"/>
    <x v="1"/>
    <x v="80"/>
    <n v="128"/>
    <n v="4.2"/>
    <x v="0"/>
    <x v="1"/>
    <x v="1"/>
    <x v="2"/>
    <n v="4"/>
    <n v="128"/>
  </r>
  <r>
    <s v="Call_7555"/>
    <x v="8"/>
    <x v="56"/>
    <x v="4"/>
    <x v="80"/>
    <n v="80"/>
    <n v="4.4000000000000004"/>
    <x v="0"/>
    <x v="1"/>
    <x v="1"/>
    <x v="2"/>
    <n v="4"/>
    <n v="80"/>
  </r>
  <r>
    <s v="Call_7556"/>
    <x v="4"/>
    <x v="48"/>
    <x v="3"/>
    <x v="80"/>
    <n v="28"/>
    <n v="2.7"/>
    <x v="0"/>
    <x v="1"/>
    <x v="0"/>
    <x v="1"/>
    <n v="3"/>
    <n v="28"/>
  </r>
  <r>
    <s v="Call_7557"/>
    <x v="11"/>
    <x v="121"/>
    <x v="2"/>
    <x v="81"/>
    <n v="81"/>
    <n v="5"/>
    <x v="0"/>
    <x v="2"/>
    <x v="0"/>
    <x v="0"/>
    <n v="3"/>
    <n v="81"/>
  </r>
  <r>
    <s v="Call_7558"/>
    <x v="1"/>
    <x v="76"/>
    <x v="1"/>
    <x v="81"/>
    <n v="99"/>
    <n v="3.9"/>
    <x v="0"/>
    <x v="2"/>
    <x v="1"/>
    <x v="2"/>
    <n v="4"/>
    <n v="99"/>
  </r>
  <r>
    <s v="Call_7559"/>
    <x v="5"/>
    <x v="67"/>
    <x v="1"/>
    <x v="81"/>
    <n v="43"/>
    <n v="3.8"/>
    <x v="0"/>
    <x v="2"/>
    <x v="0"/>
    <x v="2"/>
    <n v="3"/>
    <n v="43"/>
  </r>
  <r>
    <s v="Call_7560"/>
    <x v="7"/>
    <x v="101"/>
    <x v="1"/>
    <x v="81"/>
    <n v="34"/>
    <n v="4.5999999999999996"/>
    <x v="0"/>
    <x v="2"/>
    <x v="0"/>
    <x v="0"/>
    <n v="3"/>
    <n v="34"/>
  </r>
  <r>
    <s v="Call_7561"/>
    <x v="5"/>
    <x v="108"/>
    <x v="2"/>
    <x v="81"/>
    <n v="225"/>
    <n v="4.5999999999999996"/>
    <x v="0"/>
    <x v="2"/>
    <x v="0"/>
    <x v="0"/>
    <n v="3"/>
    <n v="225"/>
  </r>
  <r>
    <s v="Call_7562"/>
    <x v="11"/>
    <x v="44"/>
    <x v="4"/>
    <x v="81"/>
    <n v="210"/>
    <n v="4.5"/>
    <x v="0"/>
    <x v="2"/>
    <x v="0"/>
    <x v="0"/>
    <n v="3"/>
    <n v="210"/>
  </r>
  <r>
    <s v="Call_7563"/>
    <x v="12"/>
    <x v="78"/>
    <x v="1"/>
    <x v="81"/>
    <n v="168"/>
    <n v="4.2"/>
    <x v="0"/>
    <x v="2"/>
    <x v="2"/>
    <x v="2"/>
    <n v="2"/>
    <n v="168"/>
  </r>
  <r>
    <s v="Call_7564"/>
    <x v="7"/>
    <x v="47"/>
    <x v="0"/>
    <x v="82"/>
    <n v="82"/>
    <n v="4.5"/>
    <x v="0"/>
    <x v="3"/>
    <x v="0"/>
    <x v="0"/>
    <n v="3"/>
    <n v="82"/>
  </r>
  <r>
    <s v="Call_7565"/>
    <x v="2"/>
    <x v="108"/>
    <x v="3"/>
    <x v="82"/>
    <n v="88"/>
    <n v="4.0999999999999996"/>
    <x v="0"/>
    <x v="3"/>
    <x v="0"/>
    <x v="2"/>
    <n v="3"/>
    <n v="88"/>
  </r>
  <r>
    <s v="Call_7566"/>
    <x v="14"/>
    <x v="48"/>
    <x v="0"/>
    <x v="82"/>
    <n v="111"/>
    <n v="3.3"/>
    <x v="0"/>
    <x v="3"/>
    <x v="0"/>
    <x v="1"/>
    <n v="3"/>
    <n v="111"/>
  </r>
  <r>
    <s v="Call_7567"/>
    <x v="13"/>
    <x v="3"/>
    <x v="4"/>
    <x v="82"/>
    <n v="60"/>
    <n v="3.8"/>
    <x v="0"/>
    <x v="3"/>
    <x v="1"/>
    <x v="2"/>
    <n v="4"/>
    <n v="60"/>
  </r>
  <r>
    <s v="Call_7568"/>
    <x v="4"/>
    <x v="4"/>
    <x v="0"/>
    <x v="82"/>
    <n v="80"/>
    <n v="3"/>
    <x v="0"/>
    <x v="3"/>
    <x v="0"/>
    <x v="1"/>
    <n v="3"/>
    <n v="80"/>
  </r>
  <r>
    <s v="Call_7569"/>
    <x v="13"/>
    <x v="34"/>
    <x v="2"/>
    <x v="83"/>
    <n v="90"/>
    <n v="4.5999999999999996"/>
    <x v="0"/>
    <x v="5"/>
    <x v="0"/>
    <x v="0"/>
    <n v="3"/>
    <n v="90"/>
  </r>
  <r>
    <s v="Call_7570"/>
    <x v="9"/>
    <x v="69"/>
    <x v="0"/>
    <x v="83"/>
    <n v="225"/>
    <n v="2.9"/>
    <x v="0"/>
    <x v="5"/>
    <x v="0"/>
    <x v="1"/>
    <n v="3"/>
    <n v="225"/>
  </r>
  <r>
    <s v="Call_7571"/>
    <x v="0"/>
    <x v="73"/>
    <x v="1"/>
    <x v="84"/>
    <n v="215"/>
    <n v="3.2"/>
    <x v="0"/>
    <x v="6"/>
    <x v="0"/>
    <x v="1"/>
    <n v="3"/>
    <n v="215"/>
  </r>
  <r>
    <s v="Call_7572"/>
    <x v="3"/>
    <x v="60"/>
    <x v="2"/>
    <x v="84"/>
    <n v="45"/>
    <n v="1.5"/>
    <x v="0"/>
    <x v="6"/>
    <x v="0"/>
    <x v="3"/>
    <n v="3"/>
    <n v="45"/>
  </r>
  <r>
    <s v="Call_7573"/>
    <x v="6"/>
    <x v="15"/>
    <x v="1"/>
    <x v="84"/>
    <n v="74"/>
    <n v="4"/>
    <x v="0"/>
    <x v="6"/>
    <x v="0"/>
    <x v="2"/>
    <n v="3"/>
    <n v="74"/>
  </r>
  <r>
    <s v="Call_7574"/>
    <x v="2"/>
    <x v="105"/>
    <x v="2"/>
    <x v="84"/>
    <n v="60"/>
    <n v="3.6"/>
    <x v="0"/>
    <x v="6"/>
    <x v="2"/>
    <x v="2"/>
    <n v="2"/>
    <n v="60"/>
  </r>
  <r>
    <s v="Call_7575"/>
    <x v="7"/>
    <x v="83"/>
    <x v="1"/>
    <x v="84"/>
    <n v="64"/>
    <n v="3.7"/>
    <x v="0"/>
    <x v="6"/>
    <x v="0"/>
    <x v="2"/>
    <n v="3"/>
    <n v="64"/>
  </r>
  <r>
    <s v="Call_7576"/>
    <x v="12"/>
    <x v="51"/>
    <x v="0"/>
    <x v="85"/>
    <n v="110"/>
    <n v="4.8"/>
    <x v="0"/>
    <x v="0"/>
    <x v="0"/>
    <x v="0"/>
    <n v="3"/>
    <n v="110"/>
  </r>
  <r>
    <s v="Call_7577"/>
    <x v="1"/>
    <x v="48"/>
    <x v="4"/>
    <x v="85"/>
    <n v="52"/>
    <n v="1.2"/>
    <x v="0"/>
    <x v="0"/>
    <x v="0"/>
    <x v="5"/>
    <n v="3"/>
    <n v="52"/>
  </r>
  <r>
    <s v="Call_7578"/>
    <x v="2"/>
    <x v="22"/>
    <x v="3"/>
    <x v="86"/>
    <n v="160"/>
    <n v="4.7"/>
    <x v="0"/>
    <x v="1"/>
    <x v="0"/>
    <x v="0"/>
    <n v="3"/>
    <n v="160"/>
  </r>
  <r>
    <s v="Call_7579"/>
    <x v="10"/>
    <x v="65"/>
    <x v="3"/>
    <x v="86"/>
    <n v="215"/>
    <n v="4.7"/>
    <x v="0"/>
    <x v="1"/>
    <x v="1"/>
    <x v="0"/>
    <n v="4"/>
    <n v="215"/>
  </r>
  <r>
    <s v="Call_7580"/>
    <x v="10"/>
    <x v="101"/>
    <x v="4"/>
    <x v="86"/>
    <n v="220"/>
    <n v="4.5"/>
    <x v="0"/>
    <x v="1"/>
    <x v="0"/>
    <x v="0"/>
    <n v="3"/>
    <n v="220"/>
  </r>
  <r>
    <s v="Call_7581"/>
    <x v="6"/>
    <x v="75"/>
    <x v="1"/>
    <x v="87"/>
    <n v="175"/>
    <n v="3.5"/>
    <x v="0"/>
    <x v="2"/>
    <x v="0"/>
    <x v="2"/>
    <n v="3"/>
    <n v="175"/>
  </r>
  <r>
    <s v="Call_7582"/>
    <x v="12"/>
    <x v="32"/>
    <x v="1"/>
    <x v="87"/>
    <n v="145"/>
    <n v="4.0999999999999996"/>
    <x v="0"/>
    <x v="2"/>
    <x v="0"/>
    <x v="2"/>
    <n v="3"/>
    <n v="145"/>
  </r>
  <r>
    <s v="Call_7583"/>
    <x v="3"/>
    <x v="122"/>
    <x v="2"/>
    <x v="87"/>
    <n v="72"/>
    <n v="4.4000000000000004"/>
    <x v="0"/>
    <x v="2"/>
    <x v="1"/>
    <x v="2"/>
    <n v="4"/>
    <n v="72"/>
  </r>
  <r>
    <s v="Call_7584"/>
    <x v="5"/>
    <x v="18"/>
    <x v="1"/>
    <x v="88"/>
    <n v="81"/>
    <n v="3.6"/>
    <x v="0"/>
    <x v="3"/>
    <x v="0"/>
    <x v="2"/>
    <n v="3"/>
    <n v="81"/>
  </r>
  <r>
    <s v="Call_7585"/>
    <x v="11"/>
    <x v="49"/>
    <x v="4"/>
    <x v="88"/>
    <n v="54"/>
    <n v="4.0999999999999996"/>
    <x v="0"/>
    <x v="3"/>
    <x v="1"/>
    <x v="2"/>
    <n v="4"/>
    <n v="54"/>
  </r>
  <r>
    <s v="Call_7586"/>
    <x v="7"/>
    <x v="123"/>
    <x v="2"/>
    <x v="88"/>
    <n v="105"/>
    <n v="4.8"/>
    <x v="0"/>
    <x v="3"/>
    <x v="2"/>
    <x v="0"/>
    <n v="2"/>
    <n v="105"/>
  </r>
  <r>
    <s v="Call_7587"/>
    <x v="11"/>
    <x v="55"/>
    <x v="1"/>
    <x v="89"/>
    <n v="176"/>
    <n v="3.9"/>
    <x v="0"/>
    <x v="4"/>
    <x v="1"/>
    <x v="2"/>
    <n v="4"/>
    <n v="176"/>
  </r>
  <r>
    <s v="Call_7588"/>
    <x v="2"/>
    <x v="99"/>
    <x v="1"/>
    <x v="89"/>
    <n v="115"/>
    <n v="3.8"/>
    <x v="0"/>
    <x v="4"/>
    <x v="0"/>
    <x v="2"/>
    <n v="3"/>
    <n v="115"/>
  </r>
  <r>
    <s v="Call_7589"/>
    <x v="10"/>
    <x v="73"/>
    <x v="0"/>
    <x v="89"/>
    <n v="116"/>
    <n v="3.9"/>
    <x v="0"/>
    <x v="4"/>
    <x v="0"/>
    <x v="2"/>
    <n v="3"/>
    <n v="116"/>
  </r>
  <r>
    <s v="Call_7590"/>
    <x v="10"/>
    <x v="119"/>
    <x v="4"/>
    <x v="89"/>
    <n v="100"/>
    <n v="4.0999999999999996"/>
    <x v="0"/>
    <x v="4"/>
    <x v="1"/>
    <x v="2"/>
    <n v="4"/>
    <n v="100"/>
  </r>
  <r>
    <s v="Call_7591"/>
    <x v="9"/>
    <x v="50"/>
    <x v="4"/>
    <x v="90"/>
    <n v="36"/>
    <n v="2.2000000000000002"/>
    <x v="0"/>
    <x v="5"/>
    <x v="0"/>
    <x v="3"/>
    <n v="3"/>
    <n v="36"/>
  </r>
  <r>
    <s v="Call_7592"/>
    <x v="13"/>
    <x v="95"/>
    <x v="4"/>
    <x v="90"/>
    <n v="114"/>
    <n v="5"/>
    <x v="0"/>
    <x v="5"/>
    <x v="0"/>
    <x v="0"/>
    <n v="3"/>
    <n v="114"/>
  </r>
  <r>
    <s v="Call_7593"/>
    <x v="13"/>
    <x v="124"/>
    <x v="0"/>
    <x v="90"/>
    <n v="24"/>
    <n v="3.8"/>
    <x v="0"/>
    <x v="5"/>
    <x v="1"/>
    <x v="2"/>
    <n v="4"/>
    <n v="24"/>
  </r>
  <r>
    <s v="Call_7594"/>
    <x v="5"/>
    <x v="125"/>
    <x v="1"/>
    <x v="90"/>
    <n v="135"/>
    <n v="4.5999999999999996"/>
    <x v="0"/>
    <x v="5"/>
    <x v="0"/>
    <x v="0"/>
    <n v="3"/>
    <n v="135"/>
  </r>
  <r>
    <s v="Call_7595"/>
    <x v="11"/>
    <x v="33"/>
    <x v="1"/>
    <x v="90"/>
    <n v="30"/>
    <n v="4"/>
    <x v="0"/>
    <x v="5"/>
    <x v="0"/>
    <x v="2"/>
    <n v="3"/>
    <n v="30"/>
  </r>
  <r>
    <s v="Call_7596"/>
    <x v="1"/>
    <x v="29"/>
    <x v="1"/>
    <x v="90"/>
    <n v="84"/>
    <n v="2.8"/>
    <x v="0"/>
    <x v="5"/>
    <x v="0"/>
    <x v="1"/>
    <n v="3"/>
    <n v="84"/>
  </r>
  <r>
    <s v="Call_7597"/>
    <x v="14"/>
    <x v="95"/>
    <x v="3"/>
    <x v="90"/>
    <n v="42"/>
    <n v="4.4000000000000004"/>
    <x v="0"/>
    <x v="5"/>
    <x v="0"/>
    <x v="2"/>
    <n v="3"/>
    <n v="42"/>
  </r>
  <r>
    <s v="Call_7598"/>
    <x v="9"/>
    <x v="123"/>
    <x v="4"/>
    <x v="90"/>
    <n v="117"/>
    <n v="2.4"/>
    <x v="0"/>
    <x v="5"/>
    <x v="2"/>
    <x v="3"/>
    <n v="2"/>
    <n v="117"/>
  </r>
  <r>
    <s v="Call_7599"/>
    <x v="6"/>
    <x v="38"/>
    <x v="2"/>
    <x v="90"/>
    <n v="164"/>
    <n v="4"/>
    <x v="0"/>
    <x v="5"/>
    <x v="0"/>
    <x v="2"/>
    <n v="3"/>
    <n v="164"/>
  </r>
  <r>
    <s v="Call_7600"/>
    <x v="13"/>
    <x v="48"/>
    <x v="3"/>
    <x v="91"/>
    <n v="123"/>
    <n v="4.4000000000000004"/>
    <x v="0"/>
    <x v="6"/>
    <x v="0"/>
    <x v="2"/>
    <n v="3"/>
    <n v="123"/>
  </r>
  <r>
    <s v="Call_7601"/>
    <x v="4"/>
    <x v="4"/>
    <x v="0"/>
    <x v="91"/>
    <n v="172"/>
    <n v="2.9"/>
    <x v="0"/>
    <x v="6"/>
    <x v="0"/>
    <x v="1"/>
    <n v="3"/>
    <n v="172"/>
  </r>
  <r>
    <s v="Call_7602"/>
    <x v="12"/>
    <x v="126"/>
    <x v="4"/>
    <x v="91"/>
    <n v="20"/>
    <n v="4.8"/>
    <x v="0"/>
    <x v="6"/>
    <x v="3"/>
    <x v="0"/>
    <n v="1"/>
    <n v="20"/>
  </r>
  <r>
    <s v="Call_7603"/>
    <x v="13"/>
    <x v="43"/>
    <x v="0"/>
    <x v="91"/>
    <n v="72"/>
    <n v="3.7"/>
    <x v="0"/>
    <x v="6"/>
    <x v="1"/>
    <x v="2"/>
    <n v="4"/>
    <n v="72"/>
  </r>
  <r>
    <s v="Call_7604"/>
    <x v="2"/>
    <x v="33"/>
    <x v="1"/>
    <x v="91"/>
    <n v="32"/>
    <n v="4.8"/>
    <x v="0"/>
    <x v="6"/>
    <x v="0"/>
    <x v="0"/>
    <n v="3"/>
    <n v="32"/>
  </r>
  <r>
    <s v="Call_7605"/>
    <x v="9"/>
    <x v="113"/>
    <x v="3"/>
    <x v="91"/>
    <n v="140"/>
    <n v="3.2"/>
    <x v="0"/>
    <x v="6"/>
    <x v="0"/>
    <x v="1"/>
    <n v="3"/>
    <n v="140"/>
  </r>
  <r>
    <s v="Call_7606"/>
    <x v="2"/>
    <x v="42"/>
    <x v="1"/>
    <x v="92"/>
    <n v="120"/>
    <n v="4.9000000000000004"/>
    <x v="0"/>
    <x v="0"/>
    <x v="0"/>
    <x v="0"/>
    <n v="3"/>
    <n v="120"/>
  </r>
  <r>
    <s v="Call_7607"/>
    <x v="11"/>
    <x v="123"/>
    <x v="1"/>
    <x v="92"/>
    <n v="86"/>
    <n v="2.2000000000000002"/>
    <x v="0"/>
    <x v="0"/>
    <x v="2"/>
    <x v="3"/>
    <n v="2"/>
    <n v="86"/>
  </r>
  <r>
    <s v="Call_7608"/>
    <x v="1"/>
    <x v="53"/>
    <x v="1"/>
    <x v="92"/>
    <n v="132"/>
    <n v="5"/>
    <x v="0"/>
    <x v="0"/>
    <x v="0"/>
    <x v="0"/>
    <n v="3"/>
    <n v="132"/>
  </r>
  <r>
    <s v="Call_7609"/>
    <x v="10"/>
    <x v="90"/>
    <x v="1"/>
    <x v="92"/>
    <n v="80"/>
    <n v="3.3"/>
    <x v="0"/>
    <x v="0"/>
    <x v="0"/>
    <x v="1"/>
    <n v="3"/>
    <n v="80"/>
  </r>
  <r>
    <s v="Call_7610"/>
    <x v="8"/>
    <x v="68"/>
    <x v="0"/>
    <x v="92"/>
    <n v="132"/>
    <n v="3.7"/>
    <x v="0"/>
    <x v="0"/>
    <x v="0"/>
    <x v="2"/>
    <n v="3"/>
    <n v="132"/>
  </r>
  <r>
    <s v="Call_7611"/>
    <x v="2"/>
    <x v="71"/>
    <x v="3"/>
    <x v="92"/>
    <n v="27"/>
    <n v="3.7"/>
    <x v="0"/>
    <x v="0"/>
    <x v="0"/>
    <x v="2"/>
    <n v="3"/>
    <n v="27"/>
  </r>
  <r>
    <s v="Call_7612"/>
    <x v="6"/>
    <x v="38"/>
    <x v="3"/>
    <x v="93"/>
    <n v="68"/>
    <n v="3.6"/>
    <x v="0"/>
    <x v="1"/>
    <x v="0"/>
    <x v="2"/>
    <n v="3"/>
    <n v="68"/>
  </r>
  <r>
    <s v="Call_7613"/>
    <x v="8"/>
    <x v="0"/>
    <x v="1"/>
    <x v="93"/>
    <n v="22"/>
    <n v="4.7"/>
    <x v="0"/>
    <x v="1"/>
    <x v="0"/>
    <x v="0"/>
    <n v="3"/>
    <n v="22"/>
  </r>
  <r>
    <s v="Call_7614"/>
    <x v="11"/>
    <x v="15"/>
    <x v="3"/>
    <x v="93"/>
    <n v="42"/>
    <n v="3.1"/>
    <x v="0"/>
    <x v="1"/>
    <x v="0"/>
    <x v="1"/>
    <n v="3"/>
    <n v="42"/>
  </r>
  <r>
    <s v="Call_7615"/>
    <x v="6"/>
    <x v="5"/>
    <x v="3"/>
    <x v="94"/>
    <n v="38"/>
    <n v="3.3"/>
    <x v="0"/>
    <x v="2"/>
    <x v="0"/>
    <x v="1"/>
    <n v="3"/>
    <n v="38"/>
  </r>
  <r>
    <s v="Call_7616"/>
    <x v="12"/>
    <x v="127"/>
    <x v="3"/>
    <x v="94"/>
    <n v="42"/>
    <n v="4.5"/>
    <x v="0"/>
    <x v="2"/>
    <x v="1"/>
    <x v="0"/>
    <n v="4"/>
    <n v="42"/>
  </r>
  <r>
    <s v="Call_7617"/>
    <x v="5"/>
    <x v="128"/>
    <x v="0"/>
    <x v="94"/>
    <n v="75"/>
    <n v="3.9"/>
    <x v="0"/>
    <x v="2"/>
    <x v="2"/>
    <x v="2"/>
    <n v="2"/>
    <n v="75"/>
  </r>
  <r>
    <s v="Call_7618"/>
    <x v="12"/>
    <x v="93"/>
    <x v="4"/>
    <x v="95"/>
    <n v="23"/>
    <n v="4.9000000000000004"/>
    <x v="0"/>
    <x v="3"/>
    <x v="0"/>
    <x v="0"/>
    <n v="3"/>
    <n v="23"/>
  </r>
  <r>
    <s v="Call_7619"/>
    <x v="12"/>
    <x v="34"/>
    <x v="0"/>
    <x v="95"/>
    <n v="200"/>
    <n v="4.8"/>
    <x v="0"/>
    <x v="3"/>
    <x v="0"/>
    <x v="0"/>
    <n v="3"/>
    <n v="200"/>
  </r>
  <r>
    <s v="Call_7620"/>
    <x v="3"/>
    <x v="21"/>
    <x v="1"/>
    <x v="96"/>
    <n v="45"/>
    <n v="3.6"/>
    <x v="0"/>
    <x v="4"/>
    <x v="0"/>
    <x v="2"/>
    <n v="3"/>
    <n v="45"/>
  </r>
  <r>
    <s v="Call_7621"/>
    <x v="11"/>
    <x v="54"/>
    <x v="1"/>
    <x v="96"/>
    <n v="105"/>
    <n v="3.5"/>
    <x v="0"/>
    <x v="4"/>
    <x v="0"/>
    <x v="2"/>
    <n v="3"/>
    <n v="105"/>
  </r>
  <r>
    <s v="Call_7622"/>
    <x v="4"/>
    <x v="11"/>
    <x v="1"/>
    <x v="96"/>
    <n v="22"/>
    <n v="3.8"/>
    <x v="0"/>
    <x v="4"/>
    <x v="0"/>
    <x v="2"/>
    <n v="3"/>
    <n v="22"/>
  </r>
  <r>
    <s v="Call_7623"/>
    <x v="7"/>
    <x v="59"/>
    <x v="3"/>
    <x v="97"/>
    <n v="126"/>
    <n v="4.4000000000000004"/>
    <x v="0"/>
    <x v="5"/>
    <x v="0"/>
    <x v="2"/>
    <n v="3"/>
    <n v="126"/>
  </r>
  <r>
    <s v="Call_7624"/>
    <x v="10"/>
    <x v="19"/>
    <x v="3"/>
    <x v="97"/>
    <n v="35"/>
    <n v="3"/>
    <x v="0"/>
    <x v="5"/>
    <x v="0"/>
    <x v="1"/>
    <n v="3"/>
    <n v="35"/>
  </r>
  <r>
    <s v="Call_7625"/>
    <x v="2"/>
    <x v="129"/>
    <x v="1"/>
    <x v="97"/>
    <n v="84"/>
    <n v="4.5"/>
    <x v="0"/>
    <x v="5"/>
    <x v="0"/>
    <x v="0"/>
    <n v="3"/>
    <n v="84"/>
  </r>
  <r>
    <s v="Call_7626"/>
    <x v="14"/>
    <x v="19"/>
    <x v="1"/>
    <x v="98"/>
    <n v="172"/>
    <n v="4.5"/>
    <x v="0"/>
    <x v="6"/>
    <x v="0"/>
    <x v="0"/>
    <n v="3"/>
    <n v="172"/>
  </r>
  <r>
    <s v="Call_7627"/>
    <x v="7"/>
    <x v="12"/>
    <x v="0"/>
    <x v="98"/>
    <n v="114"/>
    <n v="4"/>
    <x v="0"/>
    <x v="6"/>
    <x v="1"/>
    <x v="2"/>
    <n v="4"/>
    <n v="114"/>
  </r>
  <r>
    <s v="Call_7628"/>
    <x v="14"/>
    <x v="9"/>
    <x v="0"/>
    <x v="98"/>
    <n v="60"/>
    <n v="3.8"/>
    <x v="0"/>
    <x v="6"/>
    <x v="0"/>
    <x v="2"/>
    <n v="3"/>
    <n v="60"/>
  </r>
  <r>
    <s v="Call_7629"/>
    <x v="13"/>
    <x v="130"/>
    <x v="2"/>
    <x v="98"/>
    <n v="26"/>
    <n v="3.3"/>
    <x v="0"/>
    <x v="6"/>
    <x v="0"/>
    <x v="1"/>
    <n v="3"/>
    <n v="26"/>
  </r>
  <r>
    <s v="Call_7630"/>
    <x v="5"/>
    <x v="131"/>
    <x v="1"/>
    <x v="98"/>
    <n v="210"/>
    <n v="4.3"/>
    <x v="0"/>
    <x v="6"/>
    <x v="0"/>
    <x v="2"/>
    <n v="3"/>
    <n v="210"/>
  </r>
  <r>
    <s v="Call_7631"/>
    <x v="9"/>
    <x v="106"/>
    <x v="0"/>
    <x v="98"/>
    <n v="129"/>
    <n v="4.2"/>
    <x v="0"/>
    <x v="6"/>
    <x v="0"/>
    <x v="2"/>
    <n v="3"/>
    <n v="129"/>
  </r>
  <r>
    <s v="Call_7632"/>
    <x v="10"/>
    <x v="71"/>
    <x v="2"/>
    <x v="98"/>
    <n v="215"/>
    <n v="4.3"/>
    <x v="0"/>
    <x v="6"/>
    <x v="0"/>
    <x v="2"/>
    <n v="3"/>
    <n v="215"/>
  </r>
  <r>
    <s v="Call_7633"/>
    <x v="13"/>
    <x v="132"/>
    <x v="4"/>
    <x v="98"/>
    <n v="69"/>
    <n v="4.5999999999999996"/>
    <x v="0"/>
    <x v="6"/>
    <x v="2"/>
    <x v="0"/>
    <n v="2"/>
    <n v="69"/>
  </r>
  <r>
    <s v="Call_7634"/>
    <x v="10"/>
    <x v="3"/>
    <x v="4"/>
    <x v="98"/>
    <n v="140"/>
    <n v="3"/>
    <x v="0"/>
    <x v="6"/>
    <x v="1"/>
    <x v="1"/>
    <n v="4"/>
    <n v="140"/>
  </r>
  <r>
    <s v="Call_7635"/>
    <x v="11"/>
    <x v="64"/>
    <x v="2"/>
    <x v="99"/>
    <n v="156"/>
    <n v="2.7"/>
    <x v="0"/>
    <x v="0"/>
    <x v="0"/>
    <x v="1"/>
    <n v="3"/>
    <n v="156"/>
  </r>
  <r>
    <s v="Call_7636"/>
    <x v="13"/>
    <x v="103"/>
    <x v="4"/>
    <x v="99"/>
    <n v="164"/>
    <n v="3.1"/>
    <x v="0"/>
    <x v="0"/>
    <x v="0"/>
    <x v="1"/>
    <n v="3"/>
    <n v="164"/>
  </r>
  <r>
    <s v="Call_7637"/>
    <x v="8"/>
    <x v="4"/>
    <x v="4"/>
    <x v="99"/>
    <n v="195"/>
    <n v="2.6"/>
    <x v="0"/>
    <x v="0"/>
    <x v="0"/>
    <x v="1"/>
    <n v="3"/>
    <n v="195"/>
  </r>
  <r>
    <s v="Call_7638"/>
    <x v="1"/>
    <x v="98"/>
    <x v="3"/>
    <x v="99"/>
    <n v="74"/>
    <n v="4.5999999999999996"/>
    <x v="0"/>
    <x v="0"/>
    <x v="2"/>
    <x v="0"/>
    <n v="2"/>
    <n v="74"/>
  </r>
  <r>
    <s v="Call_7639"/>
    <x v="12"/>
    <x v="122"/>
    <x v="2"/>
    <x v="99"/>
    <n v="100"/>
    <n v="4"/>
    <x v="0"/>
    <x v="0"/>
    <x v="1"/>
    <x v="2"/>
    <n v="4"/>
    <n v="100"/>
  </r>
  <r>
    <s v="Call_7640"/>
    <x v="0"/>
    <x v="10"/>
    <x v="1"/>
    <x v="99"/>
    <n v="185"/>
    <n v="4.5"/>
    <x v="0"/>
    <x v="0"/>
    <x v="1"/>
    <x v="0"/>
    <n v="4"/>
    <n v="185"/>
  </r>
  <r>
    <s v="Call_7641"/>
    <x v="7"/>
    <x v="53"/>
    <x v="2"/>
    <x v="99"/>
    <n v="130"/>
    <n v="1.9"/>
    <x v="0"/>
    <x v="0"/>
    <x v="0"/>
    <x v="3"/>
    <n v="3"/>
    <n v="130"/>
  </r>
  <r>
    <s v="Call_7642"/>
    <x v="6"/>
    <x v="50"/>
    <x v="3"/>
    <x v="100"/>
    <n v="21"/>
    <n v="2.6"/>
    <x v="0"/>
    <x v="1"/>
    <x v="0"/>
    <x v="1"/>
    <n v="3"/>
    <n v="21"/>
  </r>
  <r>
    <s v="Call_7643"/>
    <x v="14"/>
    <x v="90"/>
    <x v="0"/>
    <x v="100"/>
    <n v="88"/>
    <n v="4.3"/>
    <x v="0"/>
    <x v="1"/>
    <x v="0"/>
    <x v="2"/>
    <n v="3"/>
    <n v="88"/>
  </r>
  <r>
    <s v="Call_7644"/>
    <x v="2"/>
    <x v="28"/>
    <x v="4"/>
    <x v="100"/>
    <n v="35"/>
    <n v="4.4000000000000004"/>
    <x v="0"/>
    <x v="1"/>
    <x v="0"/>
    <x v="2"/>
    <n v="3"/>
    <n v="35"/>
  </r>
  <r>
    <s v="Call_7645"/>
    <x v="14"/>
    <x v="133"/>
    <x v="1"/>
    <x v="100"/>
    <n v="68"/>
    <n v="4.3"/>
    <x v="0"/>
    <x v="1"/>
    <x v="1"/>
    <x v="2"/>
    <n v="4"/>
    <n v="68"/>
  </r>
  <r>
    <s v="Call_7646"/>
    <x v="11"/>
    <x v="118"/>
    <x v="1"/>
    <x v="100"/>
    <n v="148"/>
    <n v="4.5"/>
    <x v="0"/>
    <x v="1"/>
    <x v="1"/>
    <x v="0"/>
    <n v="4"/>
    <n v="148"/>
  </r>
  <r>
    <s v="Call_7647"/>
    <x v="2"/>
    <x v="117"/>
    <x v="0"/>
    <x v="101"/>
    <n v="81"/>
    <n v="4.2"/>
    <x v="0"/>
    <x v="2"/>
    <x v="0"/>
    <x v="2"/>
    <n v="3"/>
    <n v="81"/>
  </r>
  <r>
    <s v="Call_7648"/>
    <x v="7"/>
    <x v="91"/>
    <x v="0"/>
    <x v="101"/>
    <n v="75"/>
    <n v="3.9"/>
    <x v="0"/>
    <x v="2"/>
    <x v="3"/>
    <x v="2"/>
    <n v="1"/>
    <n v="75"/>
  </r>
  <r>
    <s v="Call_7649"/>
    <x v="9"/>
    <x v="53"/>
    <x v="2"/>
    <x v="102"/>
    <n v="32"/>
    <n v="3.6"/>
    <x v="0"/>
    <x v="3"/>
    <x v="0"/>
    <x v="2"/>
    <n v="3"/>
    <n v="32"/>
  </r>
  <r>
    <s v="Call_7650"/>
    <x v="13"/>
    <x v="99"/>
    <x v="2"/>
    <x v="102"/>
    <n v="156"/>
    <n v="3.8"/>
    <x v="0"/>
    <x v="3"/>
    <x v="0"/>
    <x v="2"/>
    <n v="3"/>
    <n v="156"/>
  </r>
  <r>
    <s v="Call_7651"/>
    <x v="1"/>
    <x v="31"/>
    <x v="1"/>
    <x v="102"/>
    <n v="99"/>
    <n v="4.9000000000000004"/>
    <x v="0"/>
    <x v="3"/>
    <x v="0"/>
    <x v="0"/>
    <n v="3"/>
    <n v="99"/>
  </r>
  <r>
    <s v="Call_7652"/>
    <x v="0"/>
    <x v="134"/>
    <x v="4"/>
    <x v="102"/>
    <n v="26"/>
    <n v="4"/>
    <x v="0"/>
    <x v="3"/>
    <x v="0"/>
    <x v="2"/>
    <n v="3"/>
    <n v="26"/>
  </r>
  <r>
    <s v="Call_7653"/>
    <x v="4"/>
    <x v="68"/>
    <x v="2"/>
    <x v="102"/>
    <n v="84"/>
    <n v="4.0999999999999996"/>
    <x v="0"/>
    <x v="3"/>
    <x v="0"/>
    <x v="2"/>
    <n v="3"/>
    <n v="84"/>
  </r>
  <r>
    <s v="Call_7654"/>
    <x v="3"/>
    <x v="73"/>
    <x v="4"/>
    <x v="102"/>
    <n v="84"/>
    <n v="4.8"/>
    <x v="0"/>
    <x v="3"/>
    <x v="0"/>
    <x v="0"/>
    <n v="3"/>
    <n v="84"/>
  </r>
  <r>
    <s v="Call_7655"/>
    <x v="10"/>
    <x v="90"/>
    <x v="1"/>
    <x v="102"/>
    <n v="170"/>
    <n v="2.2999999999999998"/>
    <x v="0"/>
    <x v="3"/>
    <x v="0"/>
    <x v="3"/>
    <n v="3"/>
    <n v="170"/>
  </r>
  <r>
    <s v="Call_7656"/>
    <x v="14"/>
    <x v="63"/>
    <x v="2"/>
    <x v="102"/>
    <n v="35"/>
    <n v="4.4000000000000004"/>
    <x v="0"/>
    <x v="3"/>
    <x v="0"/>
    <x v="2"/>
    <n v="3"/>
    <n v="35"/>
  </r>
  <r>
    <s v="Call_7657"/>
    <x v="6"/>
    <x v="117"/>
    <x v="2"/>
    <x v="103"/>
    <n v="35"/>
    <n v="3.8"/>
    <x v="0"/>
    <x v="4"/>
    <x v="0"/>
    <x v="2"/>
    <n v="3"/>
    <n v="35"/>
  </r>
  <r>
    <s v="Call_7658"/>
    <x v="11"/>
    <x v="0"/>
    <x v="2"/>
    <x v="103"/>
    <n v="132"/>
    <n v="5"/>
    <x v="0"/>
    <x v="4"/>
    <x v="0"/>
    <x v="0"/>
    <n v="3"/>
    <n v="132"/>
  </r>
  <r>
    <s v="Call_7659"/>
    <x v="1"/>
    <x v="25"/>
    <x v="0"/>
    <x v="104"/>
    <n v="144"/>
    <n v="3.3"/>
    <x v="0"/>
    <x v="5"/>
    <x v="0"/>
    <x v="1"/>
    <n v="3"/>
    <n v="144"/>
  </r>
  <r>
    <s v="Call_7660"/>
    <x v="14"/>
    <x v="15"/>
    <x v="1"/>
    <x v="104"/>
    <n v="48"/>
    <n v="5"/>
    <x v="0"/>
    <x v="5"/>
    <x v="0"/>
    <x v="0"/>
    <n v="3"/>
    <n v="48"/>
  </r>
  <r>
    <s v="Call_7661"/>
    <x v="14"/>
    <x v="71"/>
    <x v="0"/>
    <x v="104"/>
    <n v="200"/>
    <n v="2.2999999999999998"/>
    <x v="0"/>
    <x v="5"/>
    <x v="0"/>
    <x v="3"/>
    <n v="3"/>
    <n v="200"/>
  </r>
  <r>
    <s v="Call_7662"/>
    <x v="10"/>
    <x v="84"/>
    <x v="4"/>
    <x v="104"/>
    <n v="38"/>
    <n v="4.8"/>
    <x v="0"/>
    <x v="5"/>
    <x v="0"/>
    <x v="0"/>
    <n v="3"/>
    <n v="38"/>
  </r>
  <r>
    <s v="Call_7663"/>
    <x v="11"/>
    <x v="125"/>
    <x v="3"/>
    <x v="104"/>
    <n v="81"/>
    <n v="3.7"/>
    <x v="0"/>
    <x v="5"/>
    <x v="0"/>
    <x v="2"/>
    <n v="3"/>
    <n v="81"/>
  </r>
  <r>
    <s v="Call_7664"/>
    <x v="1"/>
    <x v="114"/>
    <x v="2"/>
    <x v="104"/>
    <n v="120"/>
    <n v="4.2"/>
    <x v="0"/>
    <x v="5"/>
    <x v="1"/>
    <x v="2"/>
    <n v="4"/>
    <n v="120"/>
  </r>
  <r>
    <s v="Call_7665"/>
    <x v="8"/>
    <x v="135"/>
    <x v="4"/>
    <x v="104"/>
    <n v="74"/>
    <n v="4.8"/>
    <x v="0"/>
    <x v="5"/>
    <x v="2"/>
    <x v="0"/>
    <n v="2"/>
    <n v="74"/>
  </r>
  <r>
    <s v="Call_7666"/>
    <x v="1"/>
    <x v="62"/>
    <x v="2"/>
    <x v="105"/>
    <n v="128"/>
    <n v="4.7"/>
    <x v="0"/>
    <x v="6"/>
    <x v="0"/>
    <x v="0"/>
    <n v="3"/>
    <n v="128"/>
  </r>
  <r>
    <s v="Call_7667"/>
    <x v="3"/>
    <x v="48"/>
    <x v="1"/>
    <x v="105"/>
    <n v="21"/>
    <n v="3.9"/>
    <x v="0"/>
    <x v="6"/>
    <x v="0"/>
    <x v="2"/>
    <n v="3"/>
    <n v="21"/>
  </r>
  <r>
    <s v="Call_7668"/>
    <x v="14"/>
    <x v="93"/>
    <x v="2"/>
    <x v="105"/>
    <n v="110"/>
    <n v="4.3"/>
    <x v="0"/>
    <x v="6"/>
    <x v="0"/>
    <x v="2"/>
    <n v="3"/>
    <n v="110"/>
  </r>
  <r>
    <s v="Call_7669"/>
    <x v="1"/>
    <x v="97"/>
    <x v="2"/>
    <x v="105"/>
    <n v="145"/>
    <n v="4"/>
    <x v="0"/>
    <x v="6"/>
    <x v="0"/>
    <x v="2"/>
    <n v="3"/>
    <n v="145"/>
  </r>
  <r>
    <s v="Call_7670"/>
    <x v="14"/>
    <x v="34"/>
    <x v="3"/>
    <x v="105"/>
    <n v="129"/>
    <n v="4"/>
    <x v="0"/>
    <x v="6"/>
    <x v="0"/>
    <x v="2"/>
    <n v="3"/>
    <n v="129"/>
  </r>
  <r>
    <s v="Call_7671"/>
    <x v="6"/>
    <x v="5"/>
    <x v="0"/>
    <x v="105"/>
    <n v="156"/>
    <n v="3.2"/>
    <x v="0"/>
    <x v="6"/>
    <x v="0"/>
    <x v="1"/>
    <n v="3"/>
    <n v="156"/>
  </r>
  <r>
    <s v="Call_7672"/>
    <x v="8"/>
    <x v="49"/>
    <x v="2"/>
    <x v="106"/>
    <n v="120"/>
    <n v="3.8"/>
    <x v="0"/>
    <x v="0"/>
    <x v="1"/>
    <x v="2"/>
    <n v="4"/>
    <n v="120"/>
  </r>
  <r>
    <s v="Call_7673"/>
    <x v="3"/>
    <x v="136"/>
    <x v="3"/>
    <x v="106"/>
    <n v="62"/>
    <n v="3.4"/>
    <x v="0"/>
    <x v="0"/>
    <x v="1"/>
    <x v="1"/>
    <n v="4"/>
    <n v="62"/>
  </r>
  <r>
    <s v="Call_7674"/>
    <x v="9"/>
    <x v="76"/>
    <x v="2"/>
    <x v="106"/>
    <n v="160"/>
    <n v="3.2"/>
    <x v="0"/>
    <x v="0"/>
    <x v="1"/>
    <x v="1"/>
    <n v="4"/>
    <n v="160"/>
  </r>
  <r>
    <s v="Call_7675"/>
    <x v="1"/>
    <x v="54"/>
    <x v="2"/>
    <x v="106"/>
    <n v="56"/>
    <n v="4.7"/>
    <x v="0"/>
    <x v="0"/>
    <x v="0"/>
    <x v="0"/>
    <n v="3"/>
    <n v="56"/>
  </r>
  <r>
    <s v="Call_7676"/>
    <x v="5"/>
    <x v="117"/>
    <x v="4"/>
    <x v="106"/>
    <n v="72"/>
    <n v="4"/>
    <x v="0"/>
    <x v="0"/>
    <x v="0"/>
    <x v="2"/>
    <n v="3"/>
    <n v="72"/>
  </r>
  <r>
    <s v="Call_7677"/>
    <x v="1"/>
    <x v="12"/>
    <x v="1"/>
    <x v="107"/>
    <n v="81"/>
    <n v="4.8"/>
    <x v="0"/>
    <x v="1"/>
    <x v="1"/>
    <x v="0"/>
    <n v="4"/>
    <n v="81"/>
  </r>
  <r>
    <s v="Call_7678"/>
    <x v="3"/>
    <x v="75"/>
    <x v="2"/>
    <x v="107"/>
    <n v="144"/>
    <n v="3.9"/>
    <x v="0"/>
    <x v="1"/>
    <x v="0"/>
    <x v="2"/>
    <n v="3"/>
    <n v="144"/>
  </r>
  <r>
    <s v="Call_7679"/>
    <x v="2"/>
    <x v="86"/>
    <x v="1"/>
    <x v="107"/>
    <n v="111"/>
    <n v="4.3"/>
    <x v="0"/>
    <x v="1"/>
    <x v="0"/>
    <x v="2"/>
    <n v="3"/>
    <n v="111"/>
  </r>
  <r>
    <s v="Call_7680"/>
    <x v="14"/>
    <x v="137"/>
    <x v="3"/>
    <x v="107"/>
    <n v="43"/>
    <n v="4.2"/>
    <x v="0"/>
    <x v="1"/>
    <x v="2"/>
    <x v="2"/>
    <n v="2"/>
    <n v="43"/>
  </r>
  <r>
    <s v="Call_7681"/>
    <x v="6"/>
    <x v="37"/>
    <x v="4"/>
    <x v="107"/>
    <n v="41"/>
    <n v="4.9000000000000004"/>
    <x v="0"/>
    <x v="1"/>
    <x v="1"/>
    <x v="0"/>
    <n v="4"/>
    <n v="41"/>
  </r>
  <r>
    <s v="Call_7682"/>
    <x v="2"/>
    <x v="80"/>
    <x v="4"/>
    <x v="107"/>
    <n v="74"/>
    <n v="4"/>
    <x v="0"/>
    <x v="1"/>
    <x v="2"/>
    <x v="2"/>
    <n v="2"/>
    <n v="74"/>
  </r>
  <r>
    <s v="Call_7683"/>
    <x v="12"/>
    <x v="29"/>
    <x v="2"/>
    <x v="107"/>
    <n v="43"/>
    <n v="4.9000000000000004"/>
    <x v="0"/>
    <x v="1"/>
    <x v="0"/>
    <x v="0"/>
    <n v="3"/>
    <n v="43"/>
  </r>
  <r>
    <s v="Call_7684"/>
    <x v="10"/>
    <x v="114"/>
    <x v="4"/>
    <x v="107"/>
    <n v="128"/>
    <n v="3.6"/>
    <x v="0"/>
    <x v="1"/>
    <x v="1"/>
    <x v="2"/>
    <n v="4"/>
    <n v="128"/>
  </r>
  <r>
    <s v="Call_7685"/>
    <x v="0"/>
    <x v="92"/>
    <x v="4"/>
    <x v="108"/>
    <n v="144"/>
    <n v="4.0999999999999996"/>
    <x v="0"/>
    <x v="2"/>
    <x v="1"/>
    <x v="2"/>
    <n v="4"/>
    <n v="144"/>
  </r>
  <r>
    <s v="Call_7686"/>
    <x v="12"/>
    <x v="55"/>
    <x v="1"/>
    <x v="108"/>
    <n v="132"/>
    <n v="4.9000000000000004"/>
    <x v="0"/>
    <x v="2"/>
    <x v="1"/>
    <x v="0"/>
    <n v="4"/>
    <n v="132"/>
  </r>
  <r>
    <s v="Call_7687"/>
    <x v="2"/>
    <x v="130"/>
    <x v="1"/>
    <x v="108"/>
    <n v="180"/>
    <n v="3.9"/>
    <x v="0"/>
    <x v="2"/>
    <x v="0"/>
    <x v="2"/>
    <n v="3"/>
    <n v="180"/>
  </r>
  <r>
    <s v="Call_7688"/>
    <x v="4"/>
    <x v="138"/>
    <x v="1"/>
    <x v="108"/>
    <n v="31"/>
    <n v="4.0999999999999996"/>
    <x v="0"/>
    <x v="2"/>
    <x v="2"/>
    <x v="2"/>
    <n v="2"/>
    <n v="31"/>
  </r>
  <r>
    <s v="Call_7689"/>
    <x v="2"/>
    <x v="131"/>
    <x v="1"/>
    <x v="108"/>
    <n v="102"/>
    <n v="3.8"/>
    <x v="0"/>
    <x v="2"/>
    <x v="0"/>
    <x v="2"/>
    <n v="3"/>
    <n v="102"/>
  </r>
  <r>
    <s v="Call_7690"/>
    <x v="5"/>
    <x v="116"/>
    <x v="2"/>
    <x v="109"/>
    <n v="175"/>
    <n v="4.8"/>
    <x v="0"/>
    <x v="3"/>
    <x v="1"/>
    <x v="0"/>
    <n v="4"/>
    <n v="175"/>
  </r>
  <r>
    <s v="Call_7691"/>
    <x v="12"/>
    <x v="137"/>
    <x v="0"/>
    <x v="109"/>
    <n v="87"/>
    <n v="4.7"/>
    <x v="0"/>
    <x v="3"/>
    <x v="2"/>
    <x v="0"/>
    <n v="2"/>
    <n v="87"/>
  </r>
  <r>
    <s v="Call_7692"/>
    <x v="8"/>
    <x v="28"/>
    <x v="2"/>
    <x v="109"/>
    <n v="66"/>
    <n v="4.2"/>
    <x v="0"/>
    <x v="3"/>
    <x v="0"/>
    <x v="2"/>
    <n v="3"/>
    <n v="66"/>
  </r>
  <r>
    <s v="Call_7693"/>
    <x v="8"/>
    <x v="7"/>
    <x v="2"/>
    <x v="109"/>
    <n v="25"/>
    <n v="3.2"/>
    <x v="0"/>
    <x v="3"/>
    <x v="0"/>
    <x v="1"/>
    <n v="3"/>
    <n v="25"/>
  </r>
  <r>
    <s v="Call_7694"/>
    <x v="2"/>
    <x v="66"/>
    <x v="1"/>
    <x v="109"/>
    <n v="126"/>
    <n v="3.4"/>
    <x v="0"/>
    <x v="3"/>
    <x v="0"/>
    <x v="1"/>
    <n v="3"/>
    <n v="126"/>
  </r>
  <r>
    <s v="Call_7695"/>
    <x v="0"/>
    <x v="97"/>
    <x v="3"/>
    <x v="110"/>
    <n v="42"/>
    <n v="4.5999999999999996"/>
    <x v="0"/>
    <x v="4"/>
    <x v="0"/>
    <x v="0"/>
    <n v="3"/>
    <n v="42"/>
  </r>
  <r>
    <s v="Call_7696"/>
    <x v="5"/>
    <x v="58"/>
    <x v="0"/>
    <x v="110"/>
    <n v="225"/>
    <n v="1.9"/>
    <x v="0"/>
    <x v="4"/>
    <x v="0"/>
    <x v="3"/>
    <n v="3"/>
    <n v="225"/>
  </r>
  <r>
    <s v="Call_7697"/>
    <x v="3"/>
    <x v="139"/>
    <x v="0"/>
    <x v="110"/>
    <n v="42"/>
    <n v="3.3"/>
    <x v="0"/>
    <x v="4"/>
    <x v="1"/>
    <x v="1"/>
    <n v="4"/>
    <n v="42"/>
  </r>
  <r>
    <s v="Call_7698"/>
    <x v="2"/>
    <x v="61"/>
    <x v="3"/>
    <x v="111"/>
    <n v="110"/>
    <n v="3.1"/>
    <x v="0"/>
    <x v="5"/>
    <x v="1"/>
    <x v="1"/>
    <n v="4"/>
    <n v="110"/>
  </r>
  <r>
    <s v="Call_7699"/>
    <x v="10"/>
    <x v="125"/>
    <x v="1"/>
    <x v="111"/>
    <n v="225"/>
    <n v="4.8"/>
    <x v="0"/>
    <x v="5"/>
    <x v="0"/>
    <x v="0"/>
    <n v="3"/>
    <n v="225"/>
  </r>
  <r>
    <s v="Call_7700"/>
    <x v="8"/>
    <x v="10"/>
    <x v="4"/>
    <x v="112"/>
    <n v="125"/>
    <n v="3.3"/>
    <x v="0"/>
    <x v="6"/>
    <x v="1"/>
    <x v="1"/>
    <n v="4"/>
    <n v="125"/>
  </r>
  <r>
    <s v="Call_7701"/>
    <x v="5"/>
    <x v="22"/>
    <x v="1"/>
    <x v="112"/>
    <n v="78"/>
    <n v="2.9"/>
    <x v="0"/>
    <x v="6"/>
    <x v="0"/>
    <x v="1"/>
    <n v="3"/>
    <n v="78"/>
  </r>
  <r>
    <s v="Call_7702"/>
    <x v="5"/>
    <x v="22"/>
    <x v="3"/>
    <x v="112"/>
    <n v="40"/>
    <n v="2.4"/>
    <x v="0"/>
    <x v="6"/>
    <x v="0"/>
    <x v="3"/>
    <n v="3"/>
    <n v="40"/>
  </r>
  <r>
    <s v="Call_7703"/>
    <x v="9"/>
    <x v="107"/>
    <x v="2"/>
    <x v="112"/>
    <n v="150"/>
    <n v="4.5999999999999996"/>
    <x v="0"/>
    <x v="6"/>
    <x v="0"/>
    <x v="0"/>
    <n v="3"/>
    <n v="150"/>
  </r>
  <r>
    <s v="Call_7704"/>
    <x v="2"/>
    <x v="140"/>
    <x v="1"/>
    <x v="112"/>
    <n v="96"/>
    <n v="4.8"/>
    <x v="0"/>
    <x v="6"/>
    <x v="2"/>
    <x v="0"/>
    <n v="2"/>
    <n v="96"/>
  </r>
  <r>
    <s v="Call_7705"/>
    <x v="8"/>
    <x v="48"/>
    <x v="3"/>
    <x v="113"/>
    <n v="75"/>
    <n v="4.8"/>
    <x v="0"/>
    <x v="0"/>
    <x v="0"/>
    <x v="0"/>
    <n v="3"/>
    <n v="75"/>
  </r>
  <r>
    <s v="Call_7706"/>
    <x v="9"/>
    <x v="22"/>
    <x v="3"/>
    <x v="113"/>
    <n v="60"/>
    <n v="3.6"/>
    <x v="0"/>
    <x v="0"/>
    <x v="0"/>
    <x v="2"/>
    <n v="3"/>
    <n v="60"/>
  </r>
  <r>
    <s v="Call_7707"/>
    <x v="14"/>
    <x v="73"/>
    <x v="1"/>
    <x v="114"/>
    <n v="41"/>
    <n v="4.8"/>
    <x v="0"/>
    <x v="1"/>
    <x v="0"/>
    <x v="0"/>
    <n v="3"/>
    <n v="41"/>
  </r>
  <r>
    <s v="Call_7708"/>
    <x v="7"/>
    <x v="65"/>
    <x v="2"/>
    <x v="114"/>
    <n v="20"/>
    <n v="4.2"/>
    <x v="0"/>
    <x v="1"/>
    <x v="1"/>
    <x v="2"/>
    <n v="4"/>
    <n v="20"/>
  </r>
  <r>
    <s v="Call_7709"/>
    <x v="1"/>
    <x v="141"/>
    <x v="4"/>
    <x v="114"/>
    <n v="84"/>
    <n v="2.6"/>
    <x v="0"/>
    <x v="1"/>
    <x v="0"/>
    <x v="1"/>
    <n v="3"/>
    <n v="84"/>
  </r>
  <r>
    <s v="Call_7710"/>
    <x v="8"/>
    <x v="77"/>
    <x v="0"/>
    <x v="114"/>
    <n v="140"/>
    <n v="3.7"/>
    <x v="0"/>
    <x v="1"/>
    <x v="0"/>
    <x v="2"/>
    <n v="3"/>
    <n v="140"/>
  </r>
  <r>
    <s v="Call_7711"/>
    <x v="11"/>
    <x v="21"/>
    <x v="1"/>
    <x v="114"/>
    <n v="66"/>
    <n v="4.8"/>
    <x v="0"/>
    <x v="1"/>
    <x v="0"/>
    <x v="0"/>
    <n v="3"/>
    <n v="66"/>
  </r>
  <r>
    <s v="Call_7712"/>
    <x v="6"/>
    <x v="1"/>
    <x v="2"/>
    <x v="114"/>
    <n v="105"/>
    <n v="4.7"/>
    <x v="0"/>
    <x v="1"/>
    <x v="0"/>
    <x v="0"/>
    <n v="3"/>
    <n v="105"/>
  </r>
  <r>
    <s v="Call_7713"/>
    <x v="0"/>
    <x v="10"/>
    <x v="3"/>
    <x v="115"/>
    <n v="104"/>
    <n v="4.0999999999999996"/>
    <x v="0"/>
    <x v="2"/>
    <x v="1"/>
    <x v="2"/>
    <n v="4"/>
    <n v="104"/>
  </r>
  <r>
    <s v="Call_7714"/>
    <x v="7"/>
    <x v="103"/>
    <x v="4"/>
    <x v="115"/>
    <n v="123"/>
    <n v="3.2"/>
    <x v="0"/>
    <x v="2"/>
    <x v="0"/>
    <x v="1"/>
    <n v="3"/>
    <n v="123"/>
  </r>
  <r>
    <s v="Call_7715"/>
    <x v="2"/>
    <x v="142"/>
    <x v="3"/>
    <x v="116"/>
    <n v="215"/>
    <n v="4.3"/>
    <x v="0"/>
    <x v="3"/>
    <x v="0"/>
    <x v="2"/>
    <n v="3"/>
    <n v="215"/>
  </r>
  <r>
    <s v="Call_7716"/>
    <x v="0"/>
    <x v="74"/>
    <x v="1"/>
    <x v="116"/>
    <n v="46"/>
    <n v="0.7"/>
    <x v="0"/>
    <x v="3"/>
    <x v="0"/>
    <x v="5"/>
    <n v="3"/>
    <n v="46"/>
  </r>
  <r>
    <s v="Call_7717"/>
    <x v="9"/>
    <x v="84"/>
    <x v="4"/>
    <x v="116"/>
    <n v="115"/>
    <n v="3.7"/>
    <x v="0"/>
    <x v="3"/>
    <x v="0"/>
    <x v="2"/>
    <n v="3"/>
    <n v="115"/>
  </r>
  <r>
    <s v="Call_7718"/>
    <x v="0"/>
    <x v="129"/>
    <x v="4"/>
    <x v="116"/>
    <n v="124"/>
    <n v="3.9"/>
    <x v="0"/>
    <x v="3"/>
    <x v="0"/>
    <x v="2"/>
    <n v="3"/>
    <n v="124"/>
  </r>
  <r>
    <s v="Call_7719"/>
    <x v="13"/>
    <x v="78"/>
    <x v="4"/>
    <x v="117"/>
    <n v="205"/>
    <n v="4.5"/>
    <x v="0"/>
    <x v="4"/>
    <x v="2"/>
    <x v="0"/>
    <n v="2"/>
    <n v="205"/>
  </r>
  <r>
    <s v="Call_7720"/>
    <x v="14"/>
    <x v="75"/>
    <x v="2"/>
    <x v="117"/>
    <n v="90"/>
    <n v="2.8"/>
    <x v="0"/>
    <x v="4"/>
    <x v="0"/>
    <x v="1"/>
    <n v="3"/>
    <n v="90"/>
  </r>
  <r>
    <s v="Call_7721"/>
    <x v="9"/>
    <x v="22"/>
    <x v="1"/>
    <x v="117"/>
    <n v="92"/>
    <n v="4.9000000000000004"/>
    <x v="0"/>
    <x v="4"/>
    <x v="0"/>
    <x v="0"/>
    <n v="3"/>
    <n v="92"/>
  </r>
  <r>
    <s v="Call_7722"/>
    <x v="8"/>
    <x v="101"/>
    <x v="3"/>
    <x v="118"/>
    <n v="108"/>
    <n v="4.2"/>
    <x v="0"/>
    <x v="6"/>
    <x v="0"/>
    <x v="2"/>
    <n v="3"/>
    <n v="108"/>
  </r>
  <r>
    <s v="Call_7723"/>
    <x v="14"/>
    <x v="70"/>
    <x v="3"/>
    <x v="118"/>
    <n v="54"/>
    <n v="4.4000000000000004"/>
    <x v="0"/>
    <x v="6"/>
    <x v="1"/>
    <x v="2"/>
    <n v="4"/>
    <n v="54"/>
  </r>
  <r>
    <s v="Call_7724"/>
    <x v="8"/>
    <x v="95"/>
    <x v="3"/>
    <x v="119"/>
    <n v="44"/>
    <n v="3.5"/>
    <x v="0"/>
    <x v="0"/>
    <x v="0"/>
    <x v="2"/>
    <n v="3"/>
    <n v="44"/>
  </r>
  <r>
    <s v="Call_7725"/>
    <x v="11"/>
    <x v="65"/>
    <x v="3"/>
    <x v="119"/>
    <n v="44"/>
    <n v="4.7"/>
    <x v="0"/>
    <x v="0"/>
    <x v="1"/>
    <x v="0"/>
    <n v="4"/>
    <n v="44"/>
  </r>
  <r>
    <s v="Call_7726"/>
    <x v="0"/>
    <x v="143"/>
    <x v="1"/>
    <x v="120"/>
    <n v="37"/>
    <n v="4.9000000000000004"/>
    <x v="0"/>
    <x v="1"/>
    <x v="0"/>
    <x v="0"/>
    <n v="3"/>
    <n v="37"/>
  </r>
  <r>
    <s v="Call_7727"/>
    <x v="1"/>
    <x v="7"/>
    <x v="2"/>
    <x v="120"/>
    <n v="180"/>
    <n v="4.5"/>
    <x v="0"/>
    <x v="1"/>
    <x v="0"/>
    <x v="0"/>
    <n v="3"/>
    <n v="180"/>
  </r>
  <r>
    <s v="Call_7728"/>
    <x v="0"/>
    <x v="59"/>
    <x v="4"/>
    <x v="120"/>
    <n v="105"/>
    <n v="4.9000000000000004"/>
    <x v="0"/>
    <x v="1"/>
    <x v="0"/>
    <x v="0"/>
    <n v="3"/>
    <n v="105"/>
  </r>
  <r>
    <s v="Call_7729"/>
    <x v="11"/>
    <x v="21"/>
    <x v="0"/>
    <x v="120"/>
    <n v="87"/>
    <n v="3.6"/>
    <x v="0"/>
    <x v="1"/>
    <x v="0"/>
    <x v="2"/>
    <n v="3"/>
    <n v="87"/>
  </r>
  <r>
    <s v="Call_7730"/>
    <x v="9"/>
    <x v="128"/>
    <x v="2"/>
    <x v="120"/>
    <n v="52"/>
    <n v="3.8"/>
    <x v="0"/>
    <x v="1"/>
    <x v="2"/>
    <x v="2"/>
    <n v="2"/>
    <n v="52"/>
  </r>
  <r>
    <s v="Call_7731"/>
    <x v="4"/>
    <x v="8"/>
    <x v="4"/>
    <x v="120"/>
    <n v="63"/>
    <n v="3.5"/>
    <x v="0"/>
    <x v="1"/>
    <x v="0"/>
    <x v="2"/>
    <n v="3"/>
    <n v="63"/>
  </r>
  <r>
    <s v="Call_7732"/>
    <x v="10"/>
    <x v="144"/>
    <x v="1"/>
    <x v="121"/>
    <n v="195"/>
    <n v="4.8"/>
    <x v="0"/>
    <x v="2"/>
    <x v="0"/>
    <x v="0"/>
    <n v="3"/>
    <n v="195"/>
  </r>
  <r>
    <s v="Call_7733"/>
    <x v="14"/>
    <x v="34"/>
    <x v="3"/>
    <x v="122"/>
    <n v="176"/>
    <n v="4.5"/>
    <x v="0"/>
    <x v="3"/>
    <x v="0"/>
    <x v="0"/>
    <n v="3"/>
    <n v="176"/>
  </r>
  <r>
    <s v="Call_7734"/>
    <x v="6"/>
    <x v="17"/>
    <x v="2"/>
    <x v="123"/>
    <n v="31"/>
    <n v="3.3"/>
    <x v="0"/>
    <x v="4"/>
    <x v="0"/>
    <x v="1"/>
    <n v="3"/>
    <n v="31"/>
  </r>
  <r>
    <s v="Call_7735"/>
    <x v="2"/>
    <x v="128"/>
    <x v="2"/>
    <x v="124"/>
    <n v="27"/>
    <n v="3.2"/>
    <x v="0"/>
    <x v="5"/>
    <x v="2"/>
    <x v="1"/>
    <n v="2"/>
    <n v="27"/>
  </r>
  <r>
    <s v="Call_7736"/>
    <x v="7"/>
    <x v="129"/>
    <x v="3"/>
    <x v="124"/>
    <n v="76"/>
    <n v="4.9000000000000004"/>
    <x v="0"/>
    <x v="5"/>
    <x v="0"/>
    <x v="0"/>
    <n v="3"/>
    <n v="76"/>
  </r>
  <r>
    <s v="Call_7737"/>
    <x v="4"/>
    <x v="111"/>
    <x v="4"/>
    <x v="124"/>
    <n v="62"/>
    <n v="4.8"/>
    <x v="0"/>
    <x v="5"/>
    <x v="1"/>
    <x v="0"/>
    <n v="4"/>
    <n v="62"/>
  </r>
  <r>
    <s v="Call_7738"/>
    <x v="7"/>
    <x v="22"/>
    <x v="1"/>
    <x v="125"/>
    <n v="100"/>
    <n v="1.3"/>
    <x v="0"/>
    <x v="0"/>
    <x v="0"/>
    <x v="5"/>
    <n v="3"/>
    <n v="100"/>
  </r>
  <r>
    <s v="Call_7739"/>
    <x v="13"/>
    <x v="102"/>
    <x v="2"/>
    <x v="125"/>
    <n v="44"/>
    <n v="3.1"/>
    <x v="0"/>
    <x v="0"/>
    <x v="0"/>
    <x v="1"/>
    <n v="3"/>
    <n v="44"/>
  </r>
  <r>
    <s v="Call_7740"/>
    <x v="2"/>
    <x v="86"/>
    <x v="3"/>
    <x v="125"/>
    <n v="168"/>
    <n v="3.4"/>
    <x v="0"/>
    <x v="0"/>
    <x v="0"/>
    <x v="1"/>
    <n v="3"/>
    <n v="168"/>
  </r>
  <r>
    <s v="Call_7741"/>
    <x v="5"/>
    <x v="108"/>
    <x v="3"/>
    <x v="126"/>
    <n v="200"/>
    <n v="4.5999999999999996"/>
    <x v="0"/>
    <x v="1"/>
    <x v="0"/>
    <x v="0"/>
    <n v="3"/>
    <n v="200"/>
  </r>
  <r>
    <s v="Call_7742"/>
    <x v="1"/>
    <x v="85"/>
    <x v="2"/>
    <x v="126"/>
    <n v="84"/>
    <n v="4.3"/>
    <x v="0"/>
    <x v="1"/>
    <x v="1"/>
    <x v="2"/>
    <n v="4"/>
    <n v="84"/>
  </r>
  <r>
    <s v="Call_7743"/>
    <x v="14"/>
    <x v="145"/>
    <x v="3"/>
    <x v="127"/>
    <n v="117"/>
    <n v="2.7"/>
    <x v="0"/>
    <x v="2"/>
    <x v="0"/>
    <x v="1"/>
    <n v="3"/>
    <n v="117"/>
  </r>
  <r>
    <s v="Call_7744"/>
    <x v="10"/>
    <x v="98"/>
    <x v="1"/>
    <x v="127"/>
    <n v="63"/>
    <n v="4.2"/>
    <x v="0"/>
    <x v="2"/>
    <x v="2"/>
    <x v="2"/>
    <n v="2"/>
    <n v="63"/>
  </r>
  <r>
    <s v="Call_7745"/>
    <x v="2"/>
    <x v="24"/>
    <x v="3"/>
    <x v="128"/>
    <n v="145"/>
    <n v="4.9000000000000004"/>
    <x v="0"/>
    <x v="3"/>
    <x v="0"/>
    <x v="0"/>
    <n v="3"/>
    <n v="145"/>
  </r>
  <r>
    <s v="Call_7746"/>
    <x v="14"/>
    <x v="12"/>
    <x v="2"/>
    <x v="128"/>
    <n v="220"/>
    <n v="3.2"/>
    <x v="0"/>
    <x v="3"/>
    <x v="1"/>
    <x v="1"/>
    <n v="4"/>
    <n v="220"/>
  </r>
  <r>
    <s v="Call_7747"/>
    <x v="8"/>
    <x v="54"/>
    <x v="1"/>
    <x v="128"/>
    <n v="26"/>
    <n v="4.7"/>
    <x v="0"/>
    <x v="3"/>
    <x v="0"/>
    <x v="0"/>
    <n v="3"/>
    <n v="26"/>
  </r>
  <r>
    <s v="Call_7748"/>
    <x v="2"/>
    <x v="117"/>
    <x v="3"/>
    <x v="128"/>
    <n v="78"/>
    <n v="4.3"/>
    <x v="0"/>
    <x v="3"/>
    <x v="0"/>
    <x v="2"/>
    <n v="3"/>
    <n v="78"/>
  </r>
  <r>
    <s v="Call_7749"/>
    <x v="6"/>
    <x v="79"/>
    <x v="4"/>
    <x v="129"/>
    <n v="132"/>
    <n v="4.3"/>
    <x v="0"/>
    <x v="4"/>
    <x v="2"/>
    <x v="2"/>
    <n v="2"/>
    <n v="132"/>
  </r>
  <r>
    <s v="Call_7750"/>
    <x v="9"/>
    <x v="38"/>
    <x v="4"/>
    <x v="130"/>
    <n v="68"/>
    <n v="3.7"/>
    <x v="0"/>
    <x v="5"/>
    <x v="0"/>
    <x v="2"/>
    <n v="3"/>
    <n v="68"/>
  </r>
  <r>
    <s v="Call_7751"/>
    <x v="1"/>
    <x v="19"/>
    <x v="2"/>
    <x v="131"/>
    <n v="129"/>
    <n v="4.7"/>
    <x v="0"/>
    <x v="0"/>
    <x v="0"/>
    <x v="0"/>
    <n v="3"/>
    <n v="129"/>
  </r>
  <r>
    <s v="Call_7752"/>
    <x v="12"/>
    <x v="99"/>
    <x v="4"/>
    <x v="131"/>
    <n v="115"/>
    <n v="4.9000000000000004"/>
    <x v="0"/>
    <x v="0"/>
    <x v="0"/>
    <x v="0"/>
    <n v="3"/>
    <n v="115"/>
  </r>
  <r>
    <s v="Call_7753"/>
    <x v="12"/>
    <x v="107"/>
    <x v="4"/>
    <x v="131"/>
    <n v="128"/>
    <n v="3.9"/>
    <x v="0"/>
    <x v="0"/>
    <x v="0"/>
    <x v="2"/>
    <n v="3"/>
    <n v="128"/>
  </r>
  <r>
    <s v="Call_7754"/>
    <x v="12"/>
    <x v="146"/>
    <x v="2"/>
    <x v="131"/>
    <n v="90"/>
    <n v="4.5"/>
    <x v="0"/>
    <x v="0"/>
    <x v="0"/>
    <x v="0"/>
    <n v="3"/>
    <n v="90"/>
  </r>
  <r>
    <s v="Call_7755"/>
    <x v="8"/>
    <x v="77"/>
    <x v="3"/>
    <x v="132"/>
    <n v="39"/>
    <n v="4.5999999999999996"/>
    <x v="0"/>
    <x v="1"/>
    <x v="0"/>
    <x v="0"/>
    <n v="3"/>
    <n v="39"/>
  </r>
  <r>
    <s v="Call_7756"/>
    <x v="6"/>
    <x v="90"/>
    <x v="4"/>
    <x v="132"/>
    <n v="132"/>
    <n v="3.3"/>
    <x v="0"/>
    <x v="1"/>
    <x v="0"/>
    <x v="1"/>
    <n v="3"/>
    <n v="132"/>
  </r>
  <r>
    <s v="Call_7757"/>
    <x v="4"/>
    <x v="147"/>
    <x v="4"/>
    <x v="132"/>
    <n v="170"/>
    <n v="3.8"/>
    <x v="0"/>
    <x v="1"/>
    <x v="0"/>
    <x v="2"/>
    <n v="3"/>
    <n v="170"/>
  </r>
  <r>
    <s v="Call_7758"/>
    <x v="12"/>
    <x v="86"/>
    <x v="2"/>
    <x v="132"/>
    <n v="42"/>
    <n v="4.7"/>
    <x v="0"/>
    <x v="1"/>
    <x v="0"/>
    <x v="0"/>
    <n v="3"/>
    <n v="42"/>
  </r>
  <r>
    <s v="Call_7759"/>
    <x v="3"/>
    <x v="23"/>
    <x v="3"/>
    <x v="133"/>
    <n v="37"/>
    <n v="4"/>
    <x v="0"/>
    <x v="2"/>
    <x v="1"/>
    <x v="2"/>
    <n v="4"/>
    <n v="37"/>
  </r>
  <r>
    <s v="Call_7760"/>
    <x v="1"/>
    <x v="146"/>
    <x v="3"/>
    <x v="133"/>
    <n v="88"/>
    <n v="4.7"/>
    <x v="0"/>
    <x v="2"/>
    <x v="0"/>
    <x v="0"/>
    <n v="3"/>
    <n v="88"/>
  </r>
  <r>
    <s v="Call_7761"/>
    <x v="14"/>
    <x v="47"/>
    <x v="3"/>
    <x v="133"/>
    <n v="80"/>
    <n v="2.5"/>
    <x v="0"/>
    <x v="2"/>
    <x v="0"/>
    <x v="1"/>
    <n v="3"/>
    <n v="80"/>
  </r>
  <r>
    <s v="Call_7762"/>
    <x v="6"/>
    <x v="44"/>
    <x v="0"/>
    <x v="134"/>
    <n v="123"/>
    <n v="3.6"/>
    <x v="0"/>
    <x v="3"/>
    <x v="0"/>
    <x v="2"/>
    <n v="3"/>
    <n v="123"/>
  </r>
  <r>
    <s v="Call_7763"/>
    <x v="10"/>
    <x v="122"/>
    <x v="4"/>
    <x v="134"/>
    <n v="31"/>
    <n v="3.7"/>
    <x v="0"/>
    <x v="3"/>
    <x v="1"/>
    <x v="2"/>
    <n v="4"/>
    <n v="31"/>
  </r>
  <r>
    <s v="Call_7764"/>
    <x v="13"/>
    <x v="58"/>
    <x v="1"/>
    <x v="134"/>
    <n v="205"/>
    <n v="3.9"/>
    <x v="0"/>
    <x v="3"/>
    <x v="0"/>
    <x v="2"/>
    <n v="3"/>
    <n v="205"/>
  </r>
  <r>
    <s v="Call_7765"/>
    <x v="7"/>
    <x v="89"/>
    <x v="3"/>
    <x v="135"/>
    <n v="123"/>
    <n v="3.7"/>
    <x v="0"/>
    <x v="4"/>
    <x v="1"/>
    <x v="2"/>
    <n v="4"/>
    <n v="123"/>
  </r>
  <r>
    <s v="Call_7766"/>
    <x v="4"/>
    <x v="148"/>
    <x v="4"/>
    <x v="135"/>
    <n v="123"/>
    <n v="4.3"/>
    <x v="0"/>
    <x v="4"/>
    <x v="1"/>
    <x v="2"/>
    <n v="4"/>
    <n v="123"/>
  </r>
  <r>
    <s v="Call_7767"/>
    <x v="14"/>
    <x v="149"/>
    <x v="4"/>
    <x v="135"/>
    <n v="36"/>
    <n v="2.9"/>
    <x v="0"/>
    <x v="4"/>
    <x v="1"/>
    <x v="1"/>
    <n v="4"/>
    <n v="36"/>
  </r>
  <r>
    <s v="Call_7768"/>
    <x v="7"/>
    <x v="22"/>
    <x v="4"/>
    <x v="135"/>
    <n v="116"/>
    <n v="4.3"/>
    <x v="0"/>
    <x v="4"/>
    <x v="0"/>
    <x v="2"/>
    <n v="3"/>
    <n v="116"/>
  </r>
  <r>
    <s v="Call_7769"/>
    <x v="9"/>
    <x v="86"/>
    <x v="4"/>
    <x v="135"/>
    <n v="40"/>
    <n v="4.9000000000000004"/>
    <x v="0"/>
    <x v="4"/>
    <x v="0"/>
    <x v="0"/>
    <n v="3"/>
    <n v="40"/>
  </r>
  <r>
    <s v="Call_7770"/>
    <x v="9"/>
    <x v="146"/>
    <x v="3"/>
    <x v="135"/>
    <n v="40"/>
    <n v="4"/>
    <x v="0"/>
    <x v="4"/>
    <x v="0"/>
    <x v="2"/>
    <n v="3"/>
    <n v="40"/>
  </r>
  <r>
    <s v="Call_7771"/>
    <x v="13"/>
    <x v="50"/>
    <x v="2"/>
    <x v="136"/>
    <n v="82"/>
    <n v="4"/>
    <x v="0"/>
    <x v="5"/>
    <x v="0"/>
    <x v="2"/>
    <n v="3"/>
    <n v="82"/>
  </r>
  <r>
    <s v="Call_7772"/>
    <x v="8"/>
    <x v="6"/>
    <x v="0"/>
    <x v="136"/>
    <n v="62"/>
    <n v="3.4"/>
    <x v="0"/>
    <x v="5"/>
    <x v="0"/>
    <x v="1"/>
    <n v="3"/>
    <n v="62"/>
  </r>
  <r>
    <s v="Call_7773"/>
    <x v="3"/>
    <x v="64"/>
    <x v="0"/>
    <x v="136"/>
    <n v="135"/>
    <n v="3.9"/>
    <x v="0"/>
    <x v="5"/>
    <x v="0"/>
    <x v="2"/>
    <n v="3"/>
    <n v="135"/>
  </r>
  <r>
    <s v="Call_7774"/>
    <x v="13"/>
    <x v="50"/>
    <x v="1"/>
    <x v="136"/>
    <n v="155"/>
    <n v="2.1"/>
    <x v="0"/>
    <x v="5"/>
    <x v="0"/>
    <x v="3"/>
    <n v="3"/>
    <n v="155"/>
  </r>
  <r>
    <s v="Call_7775"/>
    <x v="6"/>
    <x v="62"/>
    <x v="2"/>
    <x v="136"/>
    <n v="37"/>
    <n v="4.9000000000000004"/>
    <x v="0"/>
    <x v="5"/>
    <x v="0"/>
    <x v="0"/>
    <n v="3"/>
    <n v="37"/>
  </r>
  <r>
    <s v="Call_7776"/>
    <x v="13"/>
    <x v="38"/>
    <x v="3"/>
    <x v="137"/>
    <n v="56"/>
    <n v="3.4"/>
    <x v="0"/>
    <x v="6"/>
    <x v="0"/>
    <x v="1"/>
    <n v="3"/>
    <n v="56"/>
  </r>
  <r>
    <s v="Call_7777"/>
    <x v="13"/>
    <x v="58"/>
    <x v="3"/>
    <x v="137"/>
    <n v="185"/>
    <n v="5"/>
    <x v="0"/>
    <x v="6"/>
    <x v="0"/>
    <x v="0"/>
    <n v="3"/>
    <n v="185"/>
  </r>
  <r>
    <s v="Call_7778"/>
    <x v="0"/>
    <x v="71"/>
    <x v="2"/>
    <x v="138"/>
    <n v="145"/>
    <n v="4.5"/>
    <x v="0"/>
    <x v="0"/>
    <x v="0"/>
    <x v="0"/>
    <n v="3"/>
    <n v="145"/>
  </r>
  <r>
    <s v="Call_7779"/>
    <x v="7"/>
    <x v="101"/>
    <x v="0"/>
    <x v="138"/>
    <n v="116"/>
    <n v="2.6"/>
    <x v="0"/>
    <x v="0"/>
    <x v="0"/>
    <x v="1"/>
    <n v="3"/>
    <n v="116"/>
  </r>
  <r>
    <s v="Call_7780"/>
    <x v="6"/>
    <x v="150"/>
    <x v="4"/>
    <x v="138"/>
    <n v="45"/>
    <n v="4.2"/>
    <x v="0"/>
    <x v="0"/>
    <x v="1"/>
    <x v="2"/>
    <n v="4"/>
    <n v="45"/>
  </r>
  <r>
    <s v="Call_7781"/>
    <x v="4"/>
    <x v="11"/>
    <x v="3"/>
    <x v="139"/>
    <n v="35"/>
    <n v="4.5"/>
    <x v="0"/>
    <x v="1"/>
    <x v="0"/>
    <x v="0"/>
    <n v="3"/>
    <n v="35"/>
  </r>
  <r>
    <s v="Call_7782"/>
    <x v="9"/>
    <x v="50"/>
    <x v="0"/>
    <x v="139"/>
    <n v="100"/>
    <n v="4.4000000000000004"/>
    <x v="0"/>
    <x v="1"/>
    <x v="0"/>
    <x v="2"/>
    <n v="3"/>
    <n v="100"/>
  </r>
  <r>
    <s v="Call_7783"/>
    <x v="9"/>
    <x v="63"/>
    <x v="2"/>
    <x v="140"/>
    <n v="125"/>
    <n v="3.5"/>
    <x v="0"/>
    <x v="2"/>
    <x v="0"/>
    <x v="2"/>
    <n v="3"/>
    <n v="125"/>
  </r>
  <r>
    <s v="Call_7784"/>
    <x v="6"/>
    <x v="104"/>
    <x v="4"/>
    <x v="140"/>
    <n v="120"/>
    <n v="3"/>
    <x v="0"/>
    <x v="2"/>
    <x v="1"/>
    <x v="1"/>
    <n v="4"/>
    <n v="120"/>
  </r>
  <r>
    <s v="Call_7785"/>
    <x v="11"/>
    <x v="30"/>
    <x v="1"/>
    <x v="140"/>
    <n v="180"/>
    <n v="4.7"/>
    <x v="0"/>
    <x v="2"/>
    <x v="0"/>
    <x v="0"/>
    <n v="3"/>
    <n v="180"/>
  </r>
  <r>
    <s v="Call_7786"/>
    <x v="5"/>
    <x v="47"/>
    <x v="0"/>
    <x v="140"/>
    <n v="44"/>
    <n v="3"/>
    <x v="0"/>
    <x v="2"/>
    <x v="0"/>
    <x v="1"/>
    <n v="3"/>
    <n v="44"/>
  </r>
  <r>
    <s v="Call_7787"/>
    <x v="10"/>
    <x v="48"/>
    <x v="4"/>
    <x v="140"/>
    <n v="86"/>
    <n v="3.6"/>
    <x v="0"/>
    <x v="2"/>
    <x v="0"/>
    <x v="2"/>
    <n v="3"/>
    <n v="86"/>
  </r>
  <r>
    <s v="Call_7788"/>
    <x v="6"/>
    <x v="32"/>
    <x v="4"/>
    <x v="141"/>
    <n v="120"/>
    <n v="4.0999999999999996"/>
    <x v="0"/>
    <x v="3"/>
    <x v="0"/>
    <x v="2"/>
    <n v="3"/>
    <n v="120"/>
  </r>
  <r>
    <s v="Call_7789"/>
    <x v="3"/>
    <x v="30"/>
    <x v="1"/>
    <x v="141"/>
    <n v="100"/>
    <n v="3.7"/>
    <x v="0"/>
    <x v="3"/>
    <x v="0"/>
    <x v="2"/>
    <n v="3"/>
    <n v="100"/>
  </r>
  <r>
    <s v="Call_7790"/>
    <x v="3"/>
    <x v="145"/>
    <x v="1"/>
    <x v="142"/>
    <n v="108"/>
    <n v="4.5"/>
    <x v="0"/>
    <x v="4"/>
    <x v="0"/>
    <x v="0"/>
    <n v="3"/>
    <n v="108"/>
  </r>
  <r>
    <s v="Call_7791"/>
    <x v="14"/>
    <x v="121"/>
    <x v="1"/>
    <x v="142"/>
    <n v="46"/>
    <n v="4.5999999999999996"/>
    <x v="0"/>
    <x v="4"/>
    <x v="0"/>
    <x v="0"/>
    <n v="3"/>
    <n v="46"/>
  </r>
  <r>
    <s v="Call_7792"/>
    <x v="7"/>
    <x v="75"/>
    <x v="4"/>
    <x v="142"/>
    <n v="210"/>
    <n v="4.3"/>
    <x v="0"/>
    <x v="4"/>
    <x v="0"/>
    <x v="2"/>
    <n v="3"/>
    <n v="210"/>
  </r>
  <r>
    <s v="Call_7793"/>
    <x v="12"/>
    <x v="56"/>
    <x v="2"/>
    <x v="143"/>
    <n v="54"/>
    <n v="4.8"/>
    <x v="0"/>
    <x v="6"/>
    <x v="1"/>
    <x v="0"/>
    <n v="4"/>
    <n v="54"/>
  </r>
  <r>
    <s v="Call_7794"/>
    <x v="5"/>
    <x v="52"/>
    <x v="4"/>
    <x v="143"/>
    <n v="115"/>
    <n v="4.7"/>
    <x v="0"/>
    <x v="6"/>
    <x v="1"/>
    <x v="0"/>
    <n v="4"/>
    <n v="115"/>
  </r>
  <r>
    <s v="Call_7795"/>
    <x v="11"/>
    <x v="4"/>
    <x v="1"/>
    <x v="144"/>
    <n v="100"/>
    <n v="2.2000000000000002"/>
    <x v="0"/>
    <x v="0"/>
    <x v="0"/>
    <x v="3"/>
    <n v="3"/>
    <n v="100"/>
  </r>
  <r>
    <s v="Call_7796"/>
    <x v="2"/>
    <x v="29"/>
    <x v="4"/>
    <x v="144"/>
    <n v="38"/>
    <n v="4.4000000000000004"/>
    <x v="0"/>
    <x v="0"/>
    <x v="0"/>
    <x v="2"/>
    <n v="3"/>
    <n v="38"/>
  </r>
  <r>
    <s v="Call_7797"/>
    <x v="12"/>
    <x v="13"/>
    <x v="2"/>
    <x v="145"/>
    <n v="120"/>
    <n v="4.0999999999999996"/>
    <x v="0"/>
    <x v="1"/>
    <x v="0"/>
    <x v="2"/>
    <n v="3"/>
    <n v="120"/>
  </r>
  <r>
    <s v="Call_7798"/>
    <x v="9"/>
    <x v="13"/>
    <x v="2"/>
    <x v="145"/>
    <n v="120"/>
    <n v="4.0999999999999996"/>
    <x v="0"/>
    <x v="1"/>
    <x v="0"/>
    <x v="2"/>
    <n v="3"/>
    <n v="120"/>
  </r>
  <r>
    <s v="Call_7799"/>
    <x v="1"/>
    <x v="87"/>
    <x v="1"/>
    <x v="145"/>
    <n v="29"/>
    <n v="4.4000000000000004"/>
    <x v="0"/>
    <x v="1"/>
    <x v="1"/>
    <x v="2"/>
    <n v="4"/>
    <n v="29"/>
  </r>
  <r>
    <s v="Call_7800"/>
    <x v="10"/>
    <x v="111"/>
    <x v="1"/>
    <x v="146"/>
    <n v="25"/>
    <n v="3.7"/>
    <x v="0"/>
    <x v="2"/>
    <x v="1"/>
    <x v="2"/>
    <n v="4"/>
    <n v="25"/>
  </r>
  <r>
    <s v="Call_7801"/>
    <x v="13"/>
    <x v="1"/>
    <x v="4"/>
    <x v="147"/>
    <n v="116"/>
    <n v="3.8"/>
    <x v="0"/>
    <x v="3"/>
    <x v="0"/>
    <x v="2"/>
    <n v="3"/>
    <n v="116"/>
  </r>
  <r>
    <s v="Call_7802"/>
    <x v="1"/>
    <x v="58"/>
    <x v="2"/>
    <x v="148"/>
    <n v="132"/>
    <n v="4.3"/>
    <x v="0"/>
    <x v="4"/>
    <x v="0"/>
    <x v="2"/>
    <n v="3"/>
    <n v="132"/>
  </r>
  <r>
    <s v="Call_7803"/>
    <x v="10"/>
    <x v="44"/>
    <x v="4"/>
    <x v="149"/>
    <n v="90"/>
    <n v="3.5"/>
    <x v="0"/>
    <x v="5"/>
    <x v="0"/>
    <x v="2"/>
    <n v="3"/>
    <n v="90"/>
  </r>
  <r>
    <s v="Call_7804"/>
    <x v="7"/>
    <x v="118"/>
    <x v="0"/>
    <x v="149"/>
    <n v="87"/>
    <n v="4.0999999999999996"/>
    <x v="0"/>
    <x v="5"/>
    <x v="1"/>
    <x v="2"/>
    <n v="4"/>
    <n v="87"/>
  </r>
  <r>
    <s v="Call_7805"/>
    <x v="6"/>
    <x v="52"/>
    <x v="4"/>
    <x v="149"/>
    <n v="140"/>
    <n v="4.2"/>
    <x v="0"/>
    <x v="5"/>
    <x v="1"/>
    <x v="2"/>
    <n v="4"/>
    <n v="140"/>
  </r>
  <r>
    <s v="Call_7806"/>
    <x v="8"/>
    <x v="77"/>
    <x v="4"/>
    <x v="149"/>
    <n v="164"/>
    <n v="4.5"/>
    <x v="0"/>
    <x v="5"/>
    <x v="0"/>
    <x v="0"/>
    <n v="3"/>
    <n v="164"/>
  </r>
  <r>
    <s v="Call_7807"/>
    <x v="5"/>
    <x v="15"/>
    <x v="2"/>
    <x v="150"/>
    <n v="180"/>
    <n v="3.8"/>
    <x v="0"/>
    <x v="6"/>
    <x v="0"/>
    <x v="2"/>
    <n v="3"/>
    <n v="180"/>
  </r>
  <r>
    <s v="Call_7808"/>
    <x v="14"/>
    <x v="75"/>
    <x v="3"/>
    <x v="151"/>
    <n v="22"/>
    <n v="4.0999999999999996"/>
    <x v="0"/>
    <x v="0"/>
    <x v="0"/>
    <x v="2"/>
    <n v="3"/>
    <n v="22"/>
  </r>
  <r>
    <s v="Call_7809"/>
    <x v="4"/>
    <x v="52"/>
    <x v="0"/>
    <x v="151"/>
    <n v="82"/>
    <n v="4.4000000000000004"/>
    <x v="0"/>
    <x v="0"/>
    <x v="1"/>
    <x v="2"/>
    <n v="4"/>
    <n v="82"/>
  </r>
  <r>
    <s v="Call_7810"/>
    <x v="0"/>
    <x v="56"/>
    <x v="2"/>
    <x v="151"/>
    <n v="100"/>
    <n v="4.5999999999999996"/>
    <x v="0"/>
    <x v="0"/>
    <x v="1"/>
    <x v="0"/>
    <n v="4"/>
    <n v="100"/>
  </r>
  <r>
    <s v="Call_7811"/>
    <x v="8"/>
    <x v="51"/>
    <x v="4"/>
    <x v="152"/>
    <n v="52"/>
    <n v="3.4"/>
    <x v="0"/>
    <x v="1"/>
    <x v="0"/>
    <x v="1"/>
    <n v="3"/>
    <n v="52"/>
  </r>
  <r>
    <s v="Call_7812"/>
    <x v="8"/>
    <x v="110"/>
    <x v="0"/>
    <x v="153"/>
    <n v="84"/>
    <n v="4.5999999999999996"/>
    <x v="0"/>
    <x v="2"/>
    <x v="1"/>
    <x v="0"/>
    <n v="4"/>
    <n v="84"/>
  </r>
  <r>
    <s v="Call_7813"/>
    <x v="8"/>
    <x v="73"/>
    <x v="0"/>
    <x v="153"/>
    <n v="37"/>
    <n v="3.9"/>
    <x v="0"/>
    <x v="2"/>
    <x v="0"/>
    <x v="2"/>
    <n v="3"/>
    <n v="37"/>
  </r>
  <r>
    <s v="Call_7814"/>
    <x v="11"/>
    <x v="119"/>
    <x v="2"/>
    <x v="154"/>
    <n v="190"/>
    <n v="4"/>
    <x v="0"/>
    <x v="3"/>
    <x v="1"/>
    <x v="2"/>
    <n v="4"/>
    <n v="190"/>
  </r>
  <r>
    <s v="Call_7815"/>
    <x v="6"/>
    <x v="127"/>
    <x v="1"/>
    <x v="154"/>
    <n v="66"/>
    <n v="3.4"/>
    <x v="0"/>
    <x v="3"/>
    <x v="1"/>
    <x v="1"/>
    <n v="4"/>
    <n v="66"/>
  </r>
  <r>
    <s v="Call_7816"/>
    <x v="1"/>
    <x v="95"/>
    <x v="4"/>
    <x v="155"/>
    <n v="116"/>
    <n v="3.2"/>
    <x v="0"/>
    <x v="4"/>
    <x v="0"/>
    <x v="1"/>
    <n v="3"/>
    <n v="116"/>
  </r>
  <r>
    <s v="Call_7817"/>
    <x v="12"/>
    <x v="67"/>
    <x v="3"/>
    <x v="155"/>
    <n v="28"/>
    <n v="3.9"/>
    <x v="0"/>
    <x v="4"/>
    <x v="0"/>
    <x v="2"/>
    <n v="3"/>
    <n v="28"/>
  </r>
  <r>
    <s v="Call_7818"/>
    <x v="4"/>
    <x v="6"/>
    <x v="4"/>
    <x v="155"/>
    <n v="120"/>
    <n v="5"/>
    <x v="0"/>
    <x v="4"/>
    <x v="0"/>
    <x v="0"/>
    <n v="3"/>
    <n v="120"/>
  </r>
  <r>
    <s v="Call_7819"/>
    <x v="2"/>
    <x v="130"/>
    <x v="2"/>
    <x v="155"/>
    <n v="56"/>
    <n v="3.5"/>
    <x v="0"/>
    <x v="4"/>
    <x v="0"/>
    <x v="2"/>
    <n v="3"/>
    <n v="56"/>
  </r>
  <r>
    <s v="Call_7820"/>
    <x v="2"/>
    <x v="8"/>
    <x v="0"/>
    <x v="155"/>
    <n v="170"/>
    <n v="3.8"/>
    <x v="0"/>
    <x v="4"/>
    <x v="0"/>
    <x v="2"/>
    <n v="3"/>
    <n v="170"/>
  </r>
  <r>
    <s v="Call_7821"/>
    <x v="12"/>
    <x v="76"/>
    <x v="2"/>
    <x v="156"/>
    <n v="200"/>
    <n v="4.8"/>
    <x v="0"/>
    <x v="5"/>
    <x v="1"/>
    <x v="0"/>
    <n v="4"/>
    <n v="200"/>
  </r>
  <r>
    <s v="Call_7822"/>
    <x v="4"/>
    <x v="35"/>
    <x v="4"/>
    <x v="157"/>
    <n v="50"/>
    <n v="4.2"/>
    <x v="0"/>
    <x v="6"/>
    <x v="1"/>
    <x v="2"/>
    <n v="4"/>
    <n v="50"/>
  </r>
  <r>
    <s v="Call_7823"/>
    <x v="0"/>
    <x v="32"/>
    <x v="3"/>
    <x v="157"/>
    <n v="112"/>
    <n v="3.7"/>
    <x v="0"/>
    <x v="6"/>
    <x v="0"/>
    <x v="2"/>
    <n v="3"/>
    <n v="112"/>
  </r>
  <r>
    <s v="Call_7824"/>
    <x v="14"/>
    <x v="99"/>
    <x v="4"/>
    <x v="158"/>
    <n v="39"/>
    <n v="4.8"/>
    <x v="0"/>
    <x v="0"/>
    <x v="0"/>
    <x v="0"/>
    <n v="3"/>
    <n v="39"/>
  </r>
  <r>
    <s v="Call_7825"/>
    <x v="6"/>
    <x v="106"/>
    <x v="3"/>
    <x v="158"/>
    <n v="38"/>
    <n v="4.8"/>
    <x v="0"/>
    <x v="0"/>
    <x v="0"/>
    <x v="0"/>
    <n v="3"/>
    <n v="38"/>
  </r>
  <r>
    <s v="Call_7826"/>
    <x v="5"/>
    <x v="4"/>
    <x v="4"/>
    <x v="159"/>
    <n v="84"/>
    <n v="2.9"/>
    <x v="0"/>
    <x v="1"/>
    <x v="0"/>
    <x v="1"/>
    <n v="3"/>
    <n v="84"/>
  </r>
  <r>
    <s v="Call_7827"/>
    <x v="8"/>
    <x v="146"/>
    <x v="2"/>
    <x v="160"/>
    <n v="82"/>
    <n v="3.5"/>
    <x v="0"/>
    <x v="2"/>
    <x v="0"/>
    <x v="2"/>
    <n v="3"/>
    <n v="82"/>
  </r>
  <r>
    <s v="Call_7828"/>
    <x v="14"/>
    <x v="151"/>
    <x v="3"/>
    <x v="160"/>
    <n v="37"/>
    <n v="0.9"/>
    <x v="0"/>
    <x v="2"/>
    <x v="1"/>
    <x v="5"/>
    <n v="4"/>
    <n v="37"/>
  </r>
  <r>
    <s v="Call_7829"/>
    <x v="2"/>
    <x v="49"/>
    <x v="1"/>
    <x v="161"/>
    <n v="87"/>
    <n v="3.4"/>
    <x v="0"/>
    <x v="3"/>
    <x v="1"/>
    <x v="1"/>
    <n v="4"/>
    <n v="87"/>
  </r>
  <r>
    <s v="Call_7830"/>
    <x v="2"/>
    <x v="21"/>
    <x v="1"/>
    <x v="161"/>
    <n v="75"/>
    <n v="2.7"/>
    <x v="0"/>
    <x v="3"/>
    <x v="0"/>
    <x v="1"/>
    <n v="3"/>
    <n v="75"/>
  </r>
  <r>
    <s v="Call_7831"/>
    <x v="5"/>
    <x v="24"/>
    <x v="4"/>
    <x v="161"/>
    <n v="32"/>
    <n v="4.7"/>
    <x v="0"/>
    <x v="3"/>
    <x v="0"/>
    <x v="0"/>
    <n v="3"/>
    <n v="32"/>
  </r>
  <r>
    <s v="Call_7832"/>
    <x v="13"/>
    <x v="8"/>
    <x v="2"/>
    <x v="161"/>
    <n v="33"/>
    <n v="3"/>
    <x v="0"/>
    <x v="3"/>
    <x v="0"/>
    <x v="1"/>
    <n v="3"/>
    <n v="33"/>
  </r>
  <r>
    <s v="Call_7833"/>
    <x v="13"/>
    <x v="9"/>
    <x v="0"/>
    <x v="161"/>
    <n v="76"/>
    <n v="4.2"/>
    <x v="0"/>
    <x v="3"/>
    <x v="0"/>
    <x v="2"/>
    <n v="3"/>
    <n v="76"/>
  </r>
  <r>
    <s v="Call_7834"/>
    <x v="11"/>
    <x v="33"/>
    <x v="0"/>
    <x v="161"/>
    <n v="117"/>
    <n v="4.8"/>
    <x v="0"/>
    <x v="3"/>
    <x v="0"/>
    <x v="0"/>
    <n v="3"/>
    <n v="117"/>
  </r>
  <r>
    <s v="Call_7835"/>
    <x v="5"/>
    <x v="143"/>
    <x v="2"/>
    <x v="162"/>
    <n v="70"/>
    <n v="4.0999999999999996"/>
    <x v="0"/>
    <x v="5"/>
    <x v="0"/>
    <x v="2"/>
    <n v="3"/>
    <n v="70"/>
  </r>
  <r>
    <s v="Call_7836"/>
    <x v="5"/>
    <x v="33"/>
    <x v="1"/>
    <x v="162"/>
    <n v="37"/>
    <n v="2.7"/>
    <x v="0"/>
    <x v="5"/>
    <x v="0"/>
    <x v="1"/>
    <n v="3"/>
    <n v="37"/>
  </r>
  <r>
    <s v="Call_7837"/>
    <x v="2"/>
    <x v="74"/>
    <x v="0"/>
    <x v="162"/>
    <n v="46"/>
    <n v="2.9"/>
    <x v="0"/>
    <x v="5"/>
    <x v="0"/>
    <x v="1"/>
    <n v="3"/>
    <n v="46"/>
  </r>
  <r>
    <s v="Call_7838"/>
    <x v="7"/>
    <x v="38"/>
    <x v="4"/>
    <x v="162"/>
    <n v="136"/>
    <n v="5"/>
    <x v="0"/>
    <x v="5"/>
    <x v="0"/>
    <x v="0"/>
    <n v="3"/>
    <n v="136"/>
  </r>
  <r>
    <s v="Call_7839"/>
    <x v="2"/>
    <x v="114"/>
    <x v="0"/>
    <x v="163"/>
    <n v="44"/>
    <n v="4.5999999999999996"/>
    <x v="0"/>
    <x v="6"/>
    <x v="1"/>
    <x v="0"/>
    <n v="4"/>
    <n v="44"/>
  </r>
  <r>
    <s v="Call_7840"/>
    <x v="9"/>
    <x v="41"/>
    <x v="3"/>
    <x v="163"/>
    <n v="69"/>
    <n v="3"/>
    <x v="0"/>
    <x v="6"/>
    <x v="0"/>
    <x v="1"/>
    <n v="3"/>
    <n v="69"/>
  </r>
  <r>
    <s v="Call_7841"/>
    <x v="7"/>
    <x v="142"/>
    <x v="2"/>
    <x v="164"/>
    <n v="86"/>
    <n v="4.5999999999999996"/>
    <x v="0"/>
    <x v="0"/>
    <x v="0"/>
    <x v="0"/>
    <n v="3"/>
    <n v="86"/>
  </r>
  <r>
    <s v="Call_7842"/>
    <x v="5"/>
    <x v="114"/>
    <x v="4"/>
    <x v="164"/>
    <n v="68"/>
    <n v="4.5"/>
    <x v="0"/>
    <x v="0"/>
    <x v="1"/>
    <x v="0"/>
    <n v="4"/>
    <n v="68"/>
  </r>
  <r>
    <s v="Call_7843"/>
    <x v="8"/>
    <x v="122"/>
    <x v="2"/>
    <x v="165"/>
    <n v="21"/>
    <n v="3.7"/>
    <x v="0"/>
    <x v="1"/>
    <x v="1"/>
    <x v="2"/>
    <n v="4"/>
    <n v="21"/>
  </r>
  <r>
    <s v="Call_7844"/>
    <x v="2"/>
    <x v="116"/>
    <x v="1"/>
    <x v="165"/>
    <n v="190"/>
    <n v="2.4"/>
    <x v="0"/>
    <x v="1"/>
    <x v="1"/>
    <x v="3"/>
    <n v="4"/>
    <n v="190"/>
  </r>
  <r>
    <s v="Call_7845"/>
    <x v="5"/>
    <x v="121"/>
    <x v="0"/>
    <x v="165"/>
    <n v="176"/>
    <n v="4.3"/>
    <x v="0"/>
    <x v="1"/>
    <x v="0"/>
    <x v="2"/>
    <n v="3"/>
    <n v="176"/>
  </r>
  <r>
    <s v="Call_7846"/>
    <x v="11"/>
    <x v="7"/>
    <x v="4"/>
    <x v="165"/>
    <n v="172"/>
    <n v="3.9"/>
    <x v="0"/>
    <x v="1"/>
    <x v="0"/>
    <x v="2"/>
    <n v="3"/>
    <n v="172"/>
  </r>
  <r>
    <s v="Call_7847"/>
    <x v="4"/>
    <x v="128"/>
    <x v="2"/>
    <x v="165"/>
    <n v="84"/>
    <n v="4.5"/>
    <x v="0"/>
    <x v="1"/>
    <x v="2"/>
    <x v="0"/>
    <n v="2"/>
    <n v="84"/>
  </r>
  <r>
    <s v="Call_7848"/>
    <x v="1"/>
    <x v="35"/>
    <x v="3"/>
    <x v="166"/>
    <n v="42"/>
    <n v="5"/>
    <x v="0"/>
    <x v="2"/>
    <x v="1"/>
    <x v="0"/>
    <n v="4"/>
    <n v="42"/>
  </r>
  <r>
    <s v="Call_7849"/>
    <x v="7"/>
    <x v="47"/>
    <x v="1"/>
    <x v="166"/>
    <n v="70"/>
    <n v="1.6"/>
    <x v="0"/>
    <x v="2"/>
    <x v="0"/>
    <x v="3"/>
    <n v="3"/>
    <n v="70"/>
  </r>
  <r>
    <s v="Call_7850"/>
    <x v="9"/>
    <x v="10"/>
    <x v="3"/>
    <x v="166"/>
    <n v="60"/>
    <n v="4.3"/>
    <x v="0"/>
    <x v="2"/>
    <x v="1"/>
    <x v="2"/>
    <n v="4"/>
    <n v="60"/>
  </r>
  <r>
    <s v="Call_7851"/>
    <x v="6"/>
    <x v="58"/>
    <x v="1"/>
    <x v="166"/>
    <n v="84"/>
    <n v="3.5"/>
    <x v="0"/>
    <x v="2"/>
    <x v="0"/>
    <x v="2"/>
    <n v="3"/>
    <n v="84"/>
  </r>
  <r>
    <s v="Call_7852"/>
    <x v="8"/>
    <x v="24"/>
    <x v="0"/>
    <x v="167"/>
    <n v="68"/>
    <n v="3.1"/>
    <x v="0"/>
    <x v="3"/>
    <x v="0"/>
    <x v="1"/>
    <n v="3"/>
    <n v="68"/>
  </r>
  <r>
    <s v="Call_7853"/>
    <x v="13"/>
    <x v="16"/>
    <x v="0"/>
    <x v="167"/>
    <n v="44"/>
    <n v="2.9"/>
    <x v="0"/>
    <x v="3"/>
    <x v="2"/>
    <x v="1"/>
    <n v="2"/>
    <n v="44"/>
  </r>
  <r>
    <s v="Call_7854"/>
    <x v="6"/>
    <x v="9"/>
    <x v="3"/>
    <x v="168"/>
    <n v="99"/>
    <n v="3.2"/>
    <x v="0"/>
    <x v="4"/>
    <x v="0"/>
    <x v="1"/>
    <n v="3"/>
    <n v="99"/>
  </r>
  <r>
    <s v="Call_7855"/>
    <x v="7"/>
    <x v="73"/>
    <x v="3"/>
    <x v="169"/>
    <n v="66"/>
    <n v="3.2"/>
    <x v="0"/>
    <x v="5"/>
    <x v="0"/>
    <x v="1"/>
    <n v="3"/>
    <n v="66"/>
  </r>
  <r>
    <s v="Call_7856"/>
    <x v="3"/>
    <x v="6"/>
    <x v="3"/>
    <x v="169"/>
    <n v="102"/>
    <n v="4.5"/>
    <x v="0"/>
    <x v="5"/>
    <x v="0"/>
    <x v="0"/>
    <n v="3"/>
    <n v="102"/>
  </r>
  <r>
    <s v="Call_7857"/>
    <x v="8"/>
    <x v="31"/>
    <x v="0"/>
    <x v="170"/>
    <n v="129"/>
    <n v="3.9"/>
    <x v="1"/>
    <x v="6"/>
    <x v="0"/>
    <x v="2"/>
    <n v="3"/>
    <n v="129"/>
  </r>
  <r>
    <s v="Call_7858"/>
    <x v="12"/>
    <x v="117"/>
    <x v="3"/>
    <x v="170"/>
    <n v="80"/>
    <n v="4.2"/>
    <x v="1"/>
    <x v="6"/>
    <x v="0"/>
    <x v="2"/>
    <n v="3"/>
    <n v="80"/>
  </r>
  <r>
    <s v="Call_7859"/>
    <x v="3"/>
    <x v="39"/>
    <x v="3"/>
    <x v="170"/>
    <n v="54"/>
    <n v="1.8"/>
    <x v="1"/>
    <x v="6"/>
    <x v="0"/>
    <x v="3"/>
    <n v="3"/>
    <n v="54"/>
  </r>
  <r>
    <s v="Call_7860"/>
    <x v="13"/>
    <x v="112"/>
    <x v="0"/>
    <x v="170"/>
    <n v="116"/>
    <n v="4.2"/>
    <x v="1"/>
    <x v="6"/>
    <x v="1"/>
    <x v="2"/>
    <n v="4"/>
    <n v="116"/>
  </r>
  <r>
    <s v="Call_7861"/>
    <x v="13"/>
    <x v="88"/>
    <x v="2"/>
    <x v="170"/>
    <n v="102"/>
    <n v="3.1"/>
    <x v="1"/>
    <x v="6"/>
    <x v="1"/>
    <x v="1"/>
    <n v="4"/>
    <n v="102"/>
  </r>
  <r>
    <s v="Call_7862"/>
    <x v="10"/>
    <x v="3"/>
    <x v="1"/>
    <x v="170"/>
    <n v="140"/>
    <n v="4.3"/>
    <x v="1"/>
    <x v="6"/>
    <x v="1"/>
    <x v="2"/>
    <n v="4"/>
    <n v="140"/>
  </r>
  <r>
    <s v="Call_7863"/>
    <x v="7"/>
    <x v="50"/>
    <x v="1"/>
    <x v="171"/>
    <n v="104"/>
    <n v="4.4000000000000004"/>
    <x v="1"/>
    <x v="0"/>
    <x v="0"/>
    <x v="2"/>
    <n v="3"/>
    <n v="104"/>
  </r>
  <r>
    <s v="Call_7864"/>
    <x v="10"/>
    <x v="12"/>
    <x v="3"/>
    <x v="171"/>
    <n v="81"/>
    <n v="4.4000000000000004"/>
    <x v="1"/>
    <x v="0"/>
    <x v="1"/>
    <x v="2"/>
    <n v="4"/>
    <n v="81"/>
  </r>
  <r>
    <s v="Call_7865"/>
    <x v="6"/>
    <x v="66"/>
    <x v="4"/>
    <x v="172"/>
    <n v="140"/>
    <n v="2.4"/>
    <x v="1"/>
    <x v="2"/>
    <x v="0"/>
    <x v="3"/>
    <n v="3"/>
    <n v="140"/>
  </r>
  <r>
    <s v="Call_7866"/>
    <x v="1"/>
    <x v="82"/>
    <x v="0"/>
    <x v="173"/>
    <n v="120"/>
    <n v="3.5"/>
    <x v="1"/>
    <x v="3"/>
    <x v="0"/>
    <x v="2"/>
    <n v="3"/>
    <n v="120"/>
  </r>
  <r>
    <s v="Call_7867"/>
    <x v="6"/>
    <x v="2"/>
    <x v="3"/>
    <x v="173"/>
    <n v="41"/>
    <n v="3.1"/>
    <x v="1"/>
    <x v="3"/>
    <x v="0"/>
    <x v="1"/>
    <n v="3"/>
    <n v="41"/>
  </r>
  <r>
    <s v="Call_7868"/>
    <x v="4"/>
    <x v="3"/>
    <x v="3"/>
    <x v="173"/>
    <n v="116"/>
    <n v="2.2999999999999998"/>
    <x v="1"/>
    <x v="3"/>
    <x v="1"/>
    <x v="3"/>
    <n v="4"/>
    <n v="116"/>
  </r>
  <r>
    <s v="Call_7869"/>
    <x v="0"/>
    <x v="9"/>
    <x v="0"/>
    <x v="174"/>
    <n v="70"/>
    <n v="2.8"/>
    <x v="1"/>
    <x v="4"/>
    <x v="0"/>
    <x v="1"/>
    <n v="3"/>
    <n v="70"/>
  </r>
  <r>
    <s v="Call_7870"/>
    <x v="10"/>
    <x v="143"/>
    <x v="2"/>
    <x v="174"/>
    <n v="42"/>
    <n v="4.5"/>
    <x v="1"/>
    <x v="4"/>
    <x v="0"/>
    <x v="0"/>
    <n v="3"/>
    <n v="42"/>
  </r>
  <r>
    <s v="Call_7871"/>
    <x v="4"/>
    <x v="71"/>
    <x v="1"/>
    <x v="175"/>
    <n v="112"/>
    <n v="4.5"/>
    <x v="1"/>
    <x v="5"/>
    <x v="0"/>
    <x v="0"/>
    <n v="3"/>
    <n v="112"/>
  </r>
  <r>
    <s v="Call_7872"/>
    <x v="3"/>
    <x v="99"/>
    <x v="3"/>
    <x v="175"/>
    <n v="20"/>
    <n v="4.5"/>
    <x v="1"/>
    <x v="5"/>
    <x v="0"/>
    <x v="0"/>
    <n v="3"/>
    <n v="20"/>
  </r>
  <r>
    <s v="Call_7873"/>
    <x v="8"/>
    <x v="117"/>
    <x v="2"/>
    <x v="176"/>
    <n v="110"/>
    <n v="4.8"/>
    <x v="1"/>
    <x v="6"/>
    <x v="0"/>
    <x v="0"/>
    <n v="3"/>
    <n v="110"/>
  </r>
  <r>
    <s v="Call_7874"/>
    <x v="5"/>
    <x v="4"/>
    <x v="2"/>
    <x v="176"/>
    <n v="39"/>
    <n v="4.5999999999999996"/>
    <x v="1"/>
    <x v="6"/>
    <x v="0"/>
    <x v="0"/>
    <n v="3"/>
    <n v="39"/>
  </r>
  <r>
    <s v="Call_7875"/>
    <x v="8"/>
    <x v="113"/>
    <x v="0"/>
    <x v="176"/>
    <n v="76"/>
    <n v="4.5"/>
    <x v="1"/>
    <x v="6"/>
    <x v="0"/>
    <x v="0"/>
    <n v="3"/>
    <n v="76"/>
  </r>
  <r>
    <s v="Call_7876"/>
    <x v="1"/>
    <x v="54"/>
    <x v="0"/>
    <x v="176"/>
    <n v="40"/>
    <n v="5"/>
    <x v="1"/>
    <x v="6"/>
    <x v="0"/>
    <x v="0"/>
    <n v="3"/>
    <n v="40"/>
  </r>
  <r>
    <s v="Call_7877"/>
    <x v="8"/>
    <x v="143"/>
    <x v="3"/>
    <x v="176"/>
    <n v="42"/>
    <n v="4.8"/>
    <x v="1"/>
    <x v="6"/>
    <x v="0"/>
    <x v="0"/>
    <n v="3"/>
    <n v="42"/>
  </r>
  <r>
    <s v="Call_7878"/>
    <x v="2"/>
    <x v="106"/>
    <x v="4"/>
    <x v="177"/>
    <n v="215"/>
    <n v="3.5"/>
    <x v="1"/>
    <x v="0"/>
    <x v="0"/>
    <x v="2"/>
    <n v="3"/>
    <n v="215"/>
  </r>
  <r>
    <s v="Call_7879"/>
    <x v="9"/>
    <x v="11"/>
    <x v="4"/>
    <x v="178"/>
    <n v="130"/>
    <n v="3.4"/>
    <x v="1"/>
    <x v="1"/>
    <x v="0"/>
    <x v="1"/>
    <n v="3"/>
    <n v="130"/>
  </r>
  <r>
    <s v="Call_7880"/>
    <x v="11"/>
    <x v="143"/>
    <x v="4"/>
    <x v="178"/>
    <n v="190"/>
    <n v="3.3"/>
    <x v="1"/>
    <x v="1"/>
    <x v="0"/>
    <x v="1"/>
    <n v="3"/>
    <n v="190"/>
  </r>
  <r>
    <s v="Call_7881"/>
    <x v="4"/>
    <x v="85"/>
    <x v="2"/>
    <x v="178"/>
    <n v="164"/>
    <n v="4.9000000000000004"/>
    <x v="1"/>
    <x v="1"/>
    <x v="1"/>
    <x v="0"/>
    <n v="4"/>
    <n v="164"/>
  </r>
  <r>
    <s v="Call_7882"/>
    <x v="14"/>
    <x v="37"/>
    <x v="1"/>
    <x v="179"/>
    <n v="76"/>
    <n v="4.5"/>
    <x v="1"/>
    <x v="2"/>
    <x v="1"/>
    <x v="0"/>
    <n v="4"/>
    <n v="76"/>
  </r>
  <r>
    <s v="Call_7883"/>
    <x v="2"/>
    <x v="21"/>
    <x v="1"/>
    <x v="180"/>
    <n v="87"/>
    <n v="4.8"/>
    <x v="1"/>
    <x v="3"/>
    <x v="0"/>
    <x v="0"/>
    <n v="3"/>
    <n v="87"/>
  </r>
  <r>
    <s v="Call_7884"/>
    <x v="7"/>
    <x v="64"/>
    <x v="4"/>
    <x v="180"/>
    <n v="84"/>
    <n v="4.8"/>
    <x v="1"/>
    <x v="3"/>
    <x v="0"/>
    <x v="0"/>
    <n v="3"/>
    <n v="84"/>
  </r>
  <r>
    <s v="Call_7885"/>
    <x v="10"/>
    <x v="59"/>
    <x v="3"/>
    <x v="180"/>
    <n v="114"/>
    <n v="3.9"/>
    <x v="1"/>
    <x v="3"/>
    <x v="0"/>
    <x v="2"/>
    <n v="3"/>
    <n v="114"/>
  </r>
  <r>
    <s v="Call_7886"/>
    <x v="9"/>
    <x v="53"/>
    <x v="1"/>
    <x v="181"/>
    <n v="56"/>
    <n v="3.9"/>
    <x v="1"/>
    <x v="4"/>
    <x v="0"/>
    <x v="2"/>
    <n v="3"/>
    <n v="56"/>
  </r>
  <r>
    <s v="Call_7887"/>
    <x v="14"/>
    <x v="147"/>
    <x v="2"/>
    <x v="181"/>
    <n v="27"/>
    <n v="3.7"/>
    <x v="1"/>
    <x v="4"/>
    <x v="0"/>
    <x v="2"/>
    <n v="3"/>
    <n v="27"/>
  </r>
  <r>
    <s v="Call_7888"/>
    <x v="1"/>
    <x v="7"/>
    <x v="0"/>
    <x v="182"/>
    <n v="84"/>
    <n v="4.8"/>
    <x v="1"/>
    <x v="5"/>
    <x v="0"/>
    <x v="0"/>
    <n v="3"/>
    <n v="84"/>
  </r>
  <r>
    <s v="Call_7889"/>
    <x v="7"/>
    <x v="57"/>
    <x v="2"/>
    <x v="182"/>
    <n v="72"/>
    <n v="3.5"/>
    <x v="1"/>
    <x v="5"/>
    <x v="1"/>
    <x v="2"/>
    <n v="4"/>
    <n v="72"/>
  </r>
  <r>
    <s v="Call_7890"/>
    <x v="2"/>
    <x v="75"/>
    <x v="3"/>
    <x v="183"/>
    <n v="126"/>
    <n v="4.2"/>
    <x v="1"/>
    <x v="6"/>
    <x v="0"/>
    <x v="2"/>
    <n v="3"/>
    <n v="126"/>
  </r>
  <r>
    <s v="Call_7891"/>
    <x v="1"/>
    <x v="24"/>
    <x v="2"/>
    <x v="184"/>
    <n v="88"/>
    <n v="4.9000000000000004"/>
    <x v="1"/>
    <x v="0"/>
    <x v="0"/>
    <x v="0"/>
    <n v="3"/>
    <n v="88"/>
  </r>
  <r>
    <s v="Call_7892"/>
    <x v="0"/>
    <x v="39"/>
    <x v="2"/>
    <x v="184"/>
    <n v="124"/>
    <n v="4.5999999999999996"/>
    <x v="1"/>
    <x v="0"/>
    <x v="0"/>
    <x v="0"/>
    <n v="3"/>
    <n v="124"/>
  </r>
  <r>
    <s v="Call_7893"/>
    <x v="13"/>
    <x v="65"/>
    <x v="2"/>
    <x v="185"/>
    <n v="84"/>
    <n v="2.6"/>
    <x v="1"/>
    <x v="1"/>
    <x v="1"/>
    <x v="1"/>
    <n v="4"/>
    <n v="84"/>
  </r>
  <r>
    <s v="Call_7894"/>
    <x v="9"/>
    <x v="114"/>
    <x v="3"/>
    <x v="185"/>
    <n v="80"/>
    <n v="2.7"/>
    <x v="1"/>
    <x v="1"/>
    <x v="1"/>
    <x v="1"/>
    <n v="4"/>
    <n v="80"/>
  </r>
  <r>
    <s v="Call_7895"/>
    <x v="12"/>
    <x v="28"/>
    <x v="3"/>
    <x v="186"/>
    <n v="176"/>
    <n v="4.7"/>
    <x v="1"/>
    <x v="2"/>
    <x v="0"/>
    <x v="0"/>
    <n v="3"/>
    <n v="176"/>
  </r>
  <r>
    <s v="Call_7896"/>
    <x v="0"/>
    <x v="77"/>
    <x v="4"/>
    <x v="187"/>
    <n v="84"/>
    <n v="3.9"/>
    <x v="1"/>
    <x v="3"/>
    <x v="0"/>
    <x v="2"/>
    <n v="3"/>
    <n v="84"/>
  </r>
  <r>
    <s v="Call_7897"/>
    <x v="1"/>
    <x v="111"/>
    <x v="4"/>
    <x v="187"/>
    <n v="164"/>
    <n v="2.8"/>
    <x v="1"/>
    <x v="3"/>
    <x v="1"/>
    <x v="1"/>
    <n v="4"/>
    <n v="164"/>
  </r>
  <r>
    <s v="Call_7898"/>
    <x v="14"/>
    <x v="66"/>
    <x v="0"/>
    <x v="187"/>
    <n v="132"/>
    <n v="3.1"/>
    <x v="1"/>
    <x v="3"/>
    <x v="0"/>
    <x v="1"/>
    <n v="3"/>
    <n v="132"/>
  </r>
  <r>
    <s v="Call_7899"/>
    <x v="9"/>
    <x v="152"/>
    <x v="2"/>
    <x v="188"/>
    <n v="27"/>
    <n v="4.2"/>
    <x v="1"/>
    <x v="4"/>
    <x v="1"/>
    <x v="2"/>
    <n v="4"/>
    <n v="27"/>
  </r>
  <r>
    <s v="Call_7900"/>
    <x v="1"/>
    <x v="108"/>
    <x v="3"/>
    <x v="188"/>
    <n v="27"/>
    <n v="4.3"/>
    <x v="1"/>
    <x v="4"/>
    <x v="0"/>
    <x v="2"/>
    <n v="3"/>
    <n v="27"/>
  </r>
  <r>
    <s v="Call_7901"/>
    <x v="1"/>
    <x v="110"/>
    <x v="1"/>
    <x v="188"/>
    <n v="20"/>
    <n v="2.7"/>
    <x v="1"/>
    <x v="4"/>
    <x v="1"/>
    <x v="1"/>
    <n v="4"/>
    <n v="20"/>
  </r>
  <r>
    <s v="Call_7902"/>
    <x v="9"/>
    <x v="103"/>
    <x v="3"/>
    <x v="189"/>
    <n v="112"/>
    <n v="2.2999999999999998"/>
    <x v="1"/>
    <x v="5"/>
    <x v="0"/>
    <x v="3"/>
    <n v="3"/>
    <n v="112"/>
  </r>
  <r>
    <s v="Call_7903"/>
    <x v="3"/>
    <x v="73"/>
    <x v="2"/>
    <x v="189"/>
    <n v="60"/>
    <n v="2.2999999999999998"/>
    <x v="1"/>
    <x v="5"/>
    <x v="0"/>
    <x v="3"/>
    <n v="3"/>
    <n v="60"/>
  </r>
  <r>
    <s v="Call_7904"/>
    <x v="3"/>
    <x v="111"/>
    <x v="2"/>
    <x v="190"/>
    <n v="102"/>
    <n v="2.9"/>
    <x v="1"/>
    <x v="6"/>
    <x v="1"/>
    <x v="1"/>
    <n v="4"/>
    <n v="102"/>
  </r>
  <r>
    <s v="Call_7905"/>
    <x v="4"/>
    <x v="19"/>
    <x v="2"/>
    <x v="190"/>
    <n v="38"/>
    <n v="4.2"/>
    <x v="1"/>
    <x v="6"/>
    <x v="0"/>
    <x v="2"/>
    <n v="3"/>
    <n v="38"/>
  </r>
  <r>
    <s v="Call_7906"/>
    <x v="9"/>
    <x v="153"/>
    <x v="0"/>
    <x v="190"/>
    <n v="82"/>
    <n v="4.5999999999999996"/>
    <x v="1"/>
    <x v="6"/>
    <x v="1"/>
    <x v="0"/>
    <n v="4"/>
    <n v="82"/>
  </r>
  <r>
    <s v="Call_7907"/>
    <x v="3"/>
    <x v="69"/>
    <x v="1"/>
    <x v="191"/>
    <n v="125"/>
    <n v="4.5"/>
    <x v="1"/>
    <x v="2"/>
    <x v="0"/>
    <x v="0"/>
    <n v="3"/>
    <n v="125"/>
  </r>
  <r>
    <s v="Call_7908"/>
    <x v="11"/>
    <x v="154"/>
    <x v="4"/>
    <x v="192"/>
    <n v="72"/>
    <n v="3.7"/>
    <x v="1"/>
    <x v="3"/>
    <x v="3"/>
    <x v="2"/>
    <n v="1"/>
    <n v="72"/>
  </r>
  <r>
    <s v="Call_7909"/>
    <x v="1"/>
    <x v="87"/>
    <x v="4"/>
    <x v="192"/>
    <n v="195"/>
    <n v="4.0999999999999996"/>
    <x v="1"/>
    <x v="3"/>
    <x v="1"/>
    <x v="2"/>
    <n v="4"/>
    <n v="195"/>
  </r>
  <r>
    <s v="Call_7910"/>
    <x v="9"/>
    <x v="7"/>
    <x v="4"/>
    <x v="193"/>
    <n v="160"/>
    <n v="3.4"/>
    <x v="1"/>
    <x v="4"/>
    <x v="0"/>
    <x v="1"/>
    <n v="3"/>
    <n v="160"/>
  </r>
  <r>
    <s v="Call_7911"/>
    <x v="12"/>
    <x v="29"/>
    <x v="0"/>
    <x v="193"/>
    <n v="78"/>
    <n v="3.3"/>
    <x v="1"/>
    <x v="4"/>
    <x v="0"/>
    <x v="1"/>
    <n v="3"/>
    <n v="78"/>
  </r>
  <r>
    <s v="Call_7912"/>
    <x v="0"/>
    <x v="83"/>
    <x v="0"/>
    <x v="194"/>
    <n v="70"/>
    <n v="4.4000000000000004"/>
    <x v="1"/>
    <x v="5"/>
    <x v="0"/>
    <x v="2"/>
    <n v="3"/>
    <n v="70"/>
  </r>
  <r>
    <s v="Call_7913"/>
    <x v="2"/>
    <x v="32"/>
    <x v="3"/>
    <x v="194"/>
    <n v="105"/>
    <n v="4.2"/>
    <x v="1"/>
    <x v="5"/>
    <x v="0"/>
    <x v="2"/>
    <n v="3"/>
    <n v="105"/>
  </r>
  <r>
    <s v="Call_7914"/>
    <x v="0"/>
    <x v="99"/>
    <x v="3"/>
    <x v="195"/>
    <n v="78"/>
    <n v="3.4"/>
    <x v="1"/>
    <x v="6"/>
    <x v="0"/>
    <x v="1"/>
    <n v="3"/>
    <n v="78"/>
  </r>
  <r>
    <s v="Call_7915"/>
    <x v="13"/>
    <x v="67"/>
    <x v="3"/>
    <x v="196"/>
    <n v="205"/>
    <n v="4.4000000000000004"/>
    <x v="1"/>
    <x v="1"/>
    <x v="0"/>
    <x v="2"/>
    <n v="3"/>
    <n v="205"/>
  </r>
  <r>
    <s v="Call_7916"/>
    <x v="8"/>
    <x v="150"/>
    <x v="3"/>
    <x v="196"/>
    <n v="78"/>
    <n v="2.7"/>
    <x v="1"/>
    <x v="1"/>
    <x v="1"/>
    <x v="1"/>
    <n v="4"/>
    <n v="78"/>
  </r>
  <r>
    <s v="Call_7917"/>
    <x v="1"/>
    <x v="20"/>
    <x v="4"/>
    <x v="196"/>
    <n v="38"/>
    <n v="4.5"/>
    <x v="1"/>
    <x v="1"/>
    <x v="0"/>
    <x v="0"/>
    <n v="3"/>
    <n v="38"/>
  </r>
  <r>
    <s v="Call_7918"/>
    <x v="13"/>
    <x v="147"/>
    <x v="2"/>
    <x v="196"/>
    <n v="92"/>
    <n v="1.7"/>
    <x v="1"/>
    <x v="1"/>
    <x v="0"/>
    <x v="3"/>
    <n v="3"/>
    <n v="92"/>
  </r>
  <r>
    <s v="Call_7919"/>
    <x v="14"/>
    <x v="155"/>
    <x v="0"/>
    <x v="196"/>
    <n v="36"/>
    <n v="4.7"/>
    <x v="1"/>
    <x v="1"/>
    <x v="1"/>
    <x v="0"/>
    <n v="4"/>
    <n v="36"/>
  </r>
  <r>
    <s v="Call_7920"/>
    <x v="12"/>
    <x v="136"/>
    <x v="1"/>
    <x v="196"/>
    <n v="76"/>
    <n v="4.4000000000000004"/>
    <x v="1"/>
    <x v="1"/>
    <x v="1"/>
    <x v="2"/>
    <n v="4"/>
    <n v="76"/>
  </r>
  <r>
    <s v="Call_7921"/>
    <x v="5"/>
    <x v="51"/>
    <x v="0"/>
    <x v="197"/>
    <n v="170"/>
    <n v="3.5"/>
    <x v="1"/>
    <x v="3"/>
    <x v="0"/>
    <x v="2"/>
    <n v="3"/>
    <n v="170"/>
  </r>
  <r>
    <s v="Call_7922"/>
    <x v="13"/>
    <x v="6"/>
    <x v="4"/>
    <x v="198"/>
    <n v="117"/>
    <n v="4.7"/>
    <x v="1"/>
    <x v="4"/>
    <x v="0"/>
    <x v="0"/>
    <n v="3"/>
    <n v="117"/>
  </r>
  <r>
    <s v="Call_7923"/>
    <x v="10"/>
    <x v="53"/>
    <x v="1"/>
    <x v="198"/>
    <n v="20"/>
    <n v="4.3"/>
    <x v="1"/>
    <x v="4"/>
    <x v="0"/>
    <x v="2"/>
    <n v="3"/>
    <n v="20"/>
  </r>
  <r>
    <s v="Call_7924"/>
    <x v="12"/>
    <x v="75"/>
    <x v="4"/>
    <x v="198"/>
    <n v="99"/>
    <n v="4.0999999999999996"/>
    <x v="1"/>
    <x v="4"/>
    <x v="0"/>
    <x v="2"/>
    <n v="3"/>
    <n v="99"/>
  </r>
  <r>
    <s v="Call_7925"/>
    <x v="6"/>
    <x v="156"/>
    <x v="1"/>
    <x v="199"/>
    <n v="105"/>
    <n v="2.9"/>
    <x v="1"/>
    <x v="5"/>
    <x v="0"/>
    <x v="1"/>
    <n v="3"/>
    <n v="105"/>
  </r>
  <r>
    <s v="Call_7926"/>
    <x v="7"/>
    <x v="111"/>
    <x v="3"/>
    <x v="199"/>
    <n v="195"/>
    <n v="3.4"/>
    <x v="1"/>
    <x v="5"/>
    <x v="1"/>
    <x v="1"/>
    <n v="4"/>
    <n v="195"/>
  </r>
  <r>
    <s v="Call_7927"/>
    <x v="2"/>
    <x v="108"/>
    <x v="1"/>
    <x v="200"/>
    <n v="152"/>
    <n v="4.5999999999999996"/>
    <x v="1"/>
    <x v="6"/>
    <x v="0"/>
    <x v="0"/>
    <n v="3"/>
    <n v="152"/>
  </r>
  <r>
    <s v="Call_7928"/>
    <x v="7"/>
    <x v="35"/>
    <x v="3"/>
    <x v="201"/>
    <n v="195"/>
    <n v="4.9000000000000004"/>
    <x v="1"/>
    <x v="0"/>
    <x v="1"/>
    <x v="0"/>
    <n v="4"/>
    <n v="195"/>
  </r>
  <r>
    <s v="Call_7929"/>
    <x v="5"/>
    <x v="113"/>
    <x v="2"/>
    <x v="201"/>
    <n v="70"/>
    <n v="3.6"/>
    <x v="1"/>
    <x v="0"/>
    <x v="0"/>
    <x v="2"/>
    <n v="3"/>
    <n v="70"/>
  </r>
  <r>
    <s v="Call_7930"/>
    <x v="12"/>
    <x v="157"/>
    <x v="2"/>
    <x v="201"/>
    <n v="22"/>
    <n v="3.5"/>
    <x v="1"/>
    <x v="0"/>
    <x v="2"/>
    <x v="2"/>
    <n v="2"/>
    <n v="22"/>
  </r>
  <r>
    <s v="Call_7931"/>
    <x v="4"/>
    <x v="86"/>
    <x v="4"/>
    <x v="202"/>
    <n v="40"/>
    <n v="3.3"/>
    <x v="1"/>
    <x v="1"/>
    <x v="0"/>
    <x v="1"/>
    <n v="3"/>
    <n v="40"/>
  </r>
  <r>
    <s v="Call_7932"/>
    <x v="4"/>
    <x v="55"/>
    <x v="1"/>
    <x v="203"/>
    <n v="54"/>
    <n v="3.8"/>
    <x v="1"/>
    <x v="2"/>
    <x v="1"/>
    <x v="2"/>
    <n v="4"/>
    <n v="54"/>
  </r>
  <r>
    <s v="Call_7933"/>
    <x v="1"/>
    <x v="49"/>
    <x v="1"/>
    <x v="203"/>
    <n v="60"/>
    <n v="2.5"/>
    <x v="1"/>
    <x v="2"/>
    <x v="1"/>
    <x v="1"/>
    <n v="4"/>
    <n v="60"/>
  </r>
  <r>
    <s v="Call_7934"/>
    <x v="11"/>
    <x v="134"/>
    <x v="0"/>
    <x v="204"/>
    <n v="58"/>
    <n v="4.5999999999999996"/>
    <x v="1"/>
    <x v="4"/>
    <x v="0"/>
    <x v="0"/>
    <n v="3"/>
    <n v="58"/>
  </r>
  <r>
    <s v="Call_7935"/>
    <x v="6"/>
    <x v="29"/>
    <x v="4"/>
    <x v="204"/>
    <n v="220"/>
    <n v="4.7"/>
    <x v="1"/>
    <x v="4"/>
    <x v="0"/>
    <x v="0"/>
    <n v="3"/>
    <n v="220"/>
  </r>
  <r>
    <s v="Call_7936"/>
    <x v="0"/>
    <x v="47"/>
    <x v="4"/>
    <x v="204"/>
    <n v="27"/>
    <n v="3.6"/>
    <x v="1"/>
    <x v="4"/>
    <x v="0"/>
    <x v="2"/>
    <n v="3"/>
    <n v="27"/>
  </r>
  <r>
    <s v="Call_7937"/>
    <x v="7"/>
    <x v="33"/>
    <x v="4"/>
    <x v="205"/>
    <n v="26"/>
    <n v="4.3"/>
    <x v="1"/>
    <x v="6"/>
    <x v="0"/>
    <x v="2"/>
    <n v="3"/>
    <n v="26"/>
  </r>
  <r>
    <s v="Call_7938"/>
    <x v="10"/>
    <x v="104"/>
    <x v="3"/>
    <x v="206"/>
    <n v="160"/>
    <n v="4.7"/>
    <x v="1"/>
    <x v="0"/>
    <x v="1"/>
    <x v="0"/>
    <n v="4"/>
    <n v="160"/>
  </r>
  <r>
    <s v="Call_7939"/>
    <x v="12"/>
    <x v="6"/>
    <x v="1"/>
    <x v="206"/>
    <n v="200"/>
    <n v="4.9000000000000004"/>
    <x v="1"/>
    <x v="0"/>
    <x v="0"/>
    <x v="0"/>
    <n v="3"/>
    <n v="200"/>
  </r>
  <r>
    <s v="Call_7940"/>
    <x v="12"/>
    <x v="23"/>
    <x v="0"/>
    <x v="207"/>
    <n v="135"/>
    <n v="4.9000000000000004"/>
    <x v="1"/>
    <x v="3"/>
    <x v="1"/>
    <x v="0"/>
    <n v="4"/>
    <n v="135"/>
  </r>
  <r>
    <s v="Call_7941"/>
    <x v="0"/>
    <x v="3"/>
    <x v="1"/>
    <x v="208"/>
    <n v="22"/>
    <n v="1.9"/>
    <x v="1"/>
    <x v="4"/>
    <x v="1"/>
    <x v="3"/>
    <n v="4"/>
    <n v="22"/>
  </r>
  <r>
    <s v="Call_7942"/>
    <x v="6"/>
    <x v="34"/>
    <x v="3"/>
    <x v="209"/>
    <n v="164"/>
    <n v="4.5"/>
    <x v="1"/>
    <x v="5"/>
    <x v="0"/>
    <x v="0"/>
    <n v="3"/>
    <n v="164"/>
  </r>
  <r>
    <s v="Call_7943"/>
    <x v="4"/>
    <x v="22"/>
    <x v="0"/>
    <x v="209"/>
    <n v="21"/>
    <n v="4.9000000000000004"/>
    <x v="1"/>
    <x v="5"/>
    <x v="0"/>
    <x v="0"/>
    <n v="3"/>
    <n v="21"/>
  </r>
  <r>
    <s v="Call_7944"/>
    <x v="6"/>
    <x v="131"/>
    <x v="3"/>
    <x v="210"/>
    <n v="120"/>
    <n v="4.5"/>
    <x v="1"/>
    <x v="6"/>
    <x v="0"/>
    <x v="0"/>
    <n v="3"/>
    <n v="120"/>
  </r>
  <r>
    <s v="Call_7945"/>
    <x v="5"/>
    <x v="84"/>
    <x v="2"/>
    <x v="210"/>
    <n v="93"/>
    <n v="2.7"/>
    <x v="1"/>
    <x v="6"/>
    <x v="0"/>
    <x v="1"/>
    <n v="3"/>
    <n v="93"/>
  </r>
  <r>
    <s v="Call_7946"/>
    <x v="4"/>
    <x v="3"/>
    <x v="2"/>
    <x v="210"/>
    <n v="135"/>
    <n v="2.1"/>
    <x v="1"/>
    <x v="6"/>
    <x v="1"/>
    <x v="3"/>
    <n v="4"/>
    <n v="135"/>
  </r>
  <r>
    <s v="Call_7947"/>
    <x v="12"/>
    <x v="78"/>
    <x v="0"/>
    <x v="210"/>
    <n v="210"/>
    <n v="4.2"/>
    <x v="1"/>
    <x v="6"/>
    <x v="2"/>
    <x v="2"/>
    <n v="2"/>
    <n v="210"/>
  </r>
  <r>
    <s v="Call_7948"/>
    <x v="14"/>
    <x v="47"/>
    <x v="2"/>
    <x v="211"/>
    <n v="29"/>
    <n v="4.7"/>
    <x v="1"/>
    <x v="0"/>
    <x v="0"/>
    <x v="0"/>
    <n v="3"/>
    <n v="29"/>
  </r>
  <r>
    <s v="Call_7949"/>
    <x v="8"/>
    <x v="90"/>
    <x v="4"/>
    <x v="211"/>
    <n v="111"/>
    <n v="3.9"/>
    <x v="1"/>
    <x v="0"/>
    <x v="0"/>
    <x v="2"/>
    <n v="3"/>
    <n v="111"/>
  </r>
  <r>
    <s v="Call_7950"/>
    <x v="3"/>
    <x v="89"/>
    <x v="1"/>
    <x v="212"/>
    <n v="63"/>
    <n v="4.0999999999999996"/>
    <x v="1"/>
    <x v="1"/>
    <x v="1"/>
    <x v="2"/>
    <n v="4"/>
    <n v="63"/>
  </r>
  <r>
    <s v="Call_7951"/>
    <x v="13"/>
    <x v="0"/>
    <x v="3"/>
    <x v="212"/>
    <n v="44"/>
    <n v="3.8"/>
    <x v="1"/>
    <x v="1"/>
    <x v="0"/>
    <x v="2"/>
    <n v="3"/>
    <n v="44"/>
  </r>
  <r>
    <s v="Call_7952"/>
    <x v="3"/>
    <x v="75"/>
    <x v="3"/>
    <x v="213"/>
    <n v="120"/>
    <n v="1.8"/>
    <x v="1"/>
    <x v="3"/>
    <x v="0"/>
    <x v="3"/>
    <n v="3"/>
    <n v="120"/>
  </r>
  <r>
    <s v="Call_7953"/>
    <x v="4"/>
    <x v="138"/>
    <x v="3"/>
    <x v="213"/>
    <n v="120"/>
    <n v="4.0999999999999996"/>
    <x v="1"/>
    <x v="3"/>
    <x v="2"/>
    <x v="2"/>
    <n v="2"/>
    <n v="120"/>
  </r>
  <r>
    <s v="Call_7954"/>
    <x v="8"/>
    <x v="157"/>
    <x v="1"/>
    <x v="214"/>
    <n v="40"/>
    <n v="4.4000000000000004"/>
    <x v="1"/>
    <x v="4"/>
    <x v="2"/>
    <x v="2"/>
    <n v="2"/>
    <n v="40"/>
  </r>
  <r>
    <s v="Call_7955"/>
    <x v="5"/>
    <x v="148"/>
    <x v="2"/>
    <x v="214"/>
    <n v="160"/>
    <n v="4.0999999999999996"/>
    <x v="1"/>
    <x v="4"/>
    <x v="1"/>
    <x v="2"/>
    <n v="4"/>
    <n v="160"/>
  </r>
  <r>
    <s v="Call_7956"/>
    <x v="12"/>
    <x v="21"/>
    <x v="3"/>
    <x v="215"/>
    <n v="44"/>
    <n v="3.8"/>
    <x v="1"/>
    <x v="5"/>
    <x v="0"/>
    <x v="2"/>
    <n v="3"/>
    <n v="44"/>
  </r>
  <r>
    <s v="Call_7957"/>
    <x v="3"/>
    <x v="130"/>
    <x v="1"/>
    <x v="215"/>
    <n v="80"/>
    <n v="4.3"/>
    <x v="1"/>
    <x v="5"/>
    <x v="0"/>
    <x v="2"/>
    <n v="3"/>
    <n v="80"/>
  </r>
  <r>
    <s v="Call_7958"/>
    <x v="10"/>
    <x v="143"/>
    <x v="1"/>
    <x v="216"/>
    <n v="66"/>
    <n v="4.5"/>
    <x v="1"/>
    <x v="6"/>
    <x v="0"/>
    <x v="0"/>
    <n v="3"/>
    <n v="66"/>
  </r>
  <r>
    <s v="Call_7959"/>
    <x v="13"/>
    <x v="133"/>
    <x v="4"/>
    <x v="216"/>
    <n v="82"/>
    <n v="3.4"/>
    <x v="1"/>
    <x v="6"/>
    <x v="1"/>
    <x v="1"/>
    <n v="4"/>
    <n v="82"/>
  </r>
  <r>
    <s v="Call_7960"/>
    <x v="5"/>
    <x v="38"/>
    <x v="3"/>
    <x v="216"/>
    <n v="66"/>
    <n v="4.8"/>
    <x v="1"/>
    <x v="6"/>
    <x v="0"/>
    <x v="0"/>
    <n v="3"/>
    <n v="66"/>
  </r>
  <r>
    <s v="Call_7961"/>
    <x v="12"/>
    <x v="37"/>
    <x v="2"/>
    <x v="216"/>
    <n v="92"/>
    <n v="4.9000000000000004"/>
    <x v="1"/>
    <x v="6"/>
    <x v="1"/>
    <x v="0"/>
    <n v="4"/>
    <n v="92"/>
  </r>
  <r>
    <s v="Call_7962"/>
    <x v="11"/>
    <x v="24"/>
    <x v="4"/>
    <x v="217"/>
    <n v="104"/>
    <n v="4.7"/>
    <x v="1"/>
    <x v="0"/>
    <x v="0"/>
    <x v="0"/>
    <n v="3"/>
    <n v="104"/>
  </r>
  <r>
    <s v="Call_7963"/>
    <x v="4"/>
    <x v="4"/>
    <x v="3"/>
    <x v="217"/>
    <n v="105"/>
    <n v="3.3"/>
    <x v="1"/>
    <x v="0"/>
    <x v="0"/>
    <x v="1"/>
    <n v="3"/>
    <n v="105"/>
  </r>
  <r>
    <s v="Call_7964"/>
    <x v="13"/>
    <x v="21"/>
    <x v="3"/>
    <x v="217"/>
    <n v="100"/>
    <n v="2.8"/>
    <x v="1"/>
    <x v="0"/>
    <x v="0"/>
    <x v="1"/>
    <n v="3"/>
    <n v="100"/>
  </r>
  <r>
    <s v="Call_7965"/>
    <x v="5"/>
    <x v="146"/>
    <x v="4"/>
    <x v="217"/>
    <n v="90"/>
    <n v="4.0999999999999996"/>
    <x v="1"/>
    <x v="0"/>
    <x v="0"/>
    <x v="2"/>
    <n v="3"/>
    <n v="90"/>
  </r>
  <r>
    <s v="Call_7966"/>
    <x v="2"/>
    <x v="18"/>
    <x v="0"/>
    <x v="217"/>
    <n v="110"/>
    <n v="3.5"/>
    <x v="1"/>
    <x v="0"/>
    <x v="0"/>
    <x v="2"/>
    <n v="3"/>
    <n v="110"/>
  </r>
  <r>
    <s v="Call_7967"/>
    <x v="10"/>
    <x v="66"/>
    <x v="4"/>
    <x v="218"/>
    <n v="68"/>
    <n v="2.2999999999999998"/>
    <x v="1"/>
    <x v="2"/>
    <x v="0"/>
    <x v="3"/>
    <n v="3"/>
    <n v="68"/>
  </r>
  <r>
    <s v="Call_7968"/>
    <x v="4"/>
    <x v="95"/>
    <x v="1"/>
    <x v="219"/>
    <n v="210"/>
    <n v="4.0999999999999996"/>
    <x v="1"/>
    <x v="3"/>
    <x v="0"/>
    <x v="2"/>
    <n v="3"/>
    <n v="210"/>
  </r>
  <r>
    <s v="Call_7969"/>
    <x v="1"/>
    <x v="145"/>
    <x v="0"/>
    <x v="219"/>
    <n v="111"/>
    <n v="4.3"/>
    <x v="1"/>
    <x v="3"/>
    <x v="0"/>
    <x v="2"/>
    <n v="3"/>
    <n v="111"/>
  </r>
  <r>
    <s v="Call_7970"/>
    <x v="1"/>
    <x v="41"/>
    <x v="1"/>
    <x v="220"/>
    <n v="45"/>
    <n v="4.9000000000000004"/>
    <x v="1"/>
    <x v="4"/>
    <x v="0"/>
    <x v="0"/>
    <n v="3"/>
    <n v="45"/>
  </r>
  <r>
    <s v="Call_7971"/>
    <x v="7"/>
    <x v="55"/>
    <x v="0"/>
    <x v="221"/>
    <n v="132"/>
    <n v="4"/>
    <x v="1"/>
    <x v="5"/>
    <x v="1"/>
    <x v="2"/>
    <n v="4"/>
    <n v="132"/>
  </r>
  <r>
    <s v="Call_7972"/>
    <x v="0"/>
    <x v="70"/>
    <x v="4"/>
    <x v="221"/>
    <n v="20"/>
    <n v="4.7"/>
    <x v="1"/>
    <x v="5"/>
    <x v="1"/>
    <x v="0"/>
    <n v="4"/>
    <n v="20"/>
  </r>
  <r>
    <s v="Call_7973"/>
    <x v="6"/>
    <x v="74"/>
    <x v="3"/>
    <x v="221"/>
    <n v="36"/>
    <n v="3.4"/>
    <x v="1"/>
    <x v="5"/>
    <x v="0"/>
    <x v="1"/>
    <n v="3"/>
    <n v="36"/>
  </r>
  <r>
    <s v="Call_7974"/>
    <x v="13"/>
    <x v="5"/>
    <x v="1"/>
    <x v="222"/>
    <n v="72"/>
    <n v="4"/>
    <x v="1"/>
    <x v="0"/>
    <x v="0"/>
    <x v="2"/>
    <n v="3"/>
    <n v="72"/>
  </r>
  <r>
    <s v="Call_7975"/>
    <x v="9"/>
    <x v="75"/>
    <x v="1"/>
    <x v="222"/>
    <n v="63"/>
    <n v="4.5"/>
    <x v="1"/>
    <x v="0"/>
    <x v="0"/>
    <x v="0"/>
    <n v="3"/>
    <n v="63"/>
  </r>
  <r>
    <s v="Call_7976"/>
    <x v="9"/>
    <x v="6"/>
    <x v="0"/>
    <x v="223"/>
    <n v="44"/>
    <n v="4.5"/>
    <x v="1"/>
    <x v="1"/>
    <x v="0"/>
    <x v="0"/>
    <n v="3"/>
    <n v="44"/>
  </r>
  <r>
    <s v="Call_7977"/>
    <x v="0"/>
    <x v="84"/>
    <x v="2"/>
    <x v="223"/>
    <n v="132"/>
    <n v="4.9000000000000004"/>
    <x v="1"/>
    <x v="1"/>
    <x v="0"/>
    <x v="0"/>
    <n v="3"/>
    <n v="132"/>
  </r>
  <r>
    <s v="Call_7978"/>
    <x v="12"/>
    <x v="97"/>
    <x v="3"/>
    <x v="223"/>
    <n v="46"/>
    <n v="4.4000000000000004"/>
    <x v="1"/>
    <x v="1"/>
    <x v="0"/>
    <x v="2"/>
    <n v="3"/>
    <n v="46"/>
  </r>
  <r>
    <s v="Call_7979"/>
    <x v="12"/>
    <x v="74"/>
    <x v="3"/>
    <x v="223"/>
    <n v="96"/>
    <n v="2.9"/>
    <x v="1"/>
    <x v="1"/>
    <x v="0"/>
    <x v="1"/>
    <n v="3"/>
    <n v="96"/>
  </r>
  <r>
    <s v="Call_7980"/>
    <x v="8"/>
    <x v="37"/>
    <x v="0"/>
    <x v="224"/>
    <n v="75"/>
    <n v="4.4000000000000004"/>
    <x v="1"/>
    <x v="2"/>
    <x v="1"/>
    <x v="2"/>
    <n v="4"/>
    <n v="75"/>
  </r>
  <r>
    <s v="Call_7981"/>
    <x v="5"/>
    <x v="143"/>
    <x v="3"/>
    <x v="225"/>
    <n v="88"/>
    <n v="4.3"/>
    <x v="1"/>
    <x v="3"/>
    <x v="0"/>
    <x v="2"/>
    <n v="3"/>
    <n v="88"/>
  </r>
  <r>
    <s v="Call_7982"/>
    <x v="1"/>
    <x v="41"/>
    <x v="0"/>
    <x v="225"/>
    <n v="24"/>
    <n v="4.7"/>
    <x v="1"/>
    <x v="3"/>
    <x v="0"/>
    <x v="0"/>
    <n v="3"/>
    <n v="24"/>
  </r>
  <r>
    <s v="Call_7983"/>
    <x v="3"/>
    <x v="20"/>
    <x v="4"/>
    <x v="225"/>
    <n v="96"/>
    <n v="3.2"/>
    <x v="1"/>
    <x v="3"/>
    <x v="0"/>
    <x v="1"/>
    <n v="3"/>
    <n v="96"/>
  </r>
  <r>
    <s v="Call_7984"/>
    <x v="4"/>
    <x v="111"/>
    <x v="4"/>
    <x v="226"/>
    <n v="124"/>
    <n v="2.2999999999999998"/>
    <x v="1"/>
    <x v="4"/>
    <x v="1"/>
    <x v="3"/>
    <n v="4"/>
    <n v="124"/>
  </r>
  <r>
    <s v="Call_7985"/>
    <x v="3"/>
    <x v="93"/>
    <x v="2"/>
    <x v="227"/>
    <n v="130"/>
    <n v="3.6"/>
    <x v="1"/>
    <x v="5"/>
    <x v="0"/>
    <x v="2"/>
    <n v="3"/>
    <n v="130"/>
  </r>
  <r>
    <s v="Call_7986"/>
    <x v="12"/>
    <x v="156"/>
    <x v="1"/>
    <x v="227"/>
    <n v="45"/>
    <n v="4.5999999999999996"/>
    <x v="1"/>
    <x v="5"/>
    <x v="0"/>
    <x v="0"/>
    <n v="3"/>
    <n v="45"/>
  </r>
  <r>
    <s v="Call_7987"/>
    <x v="2"/>
    <x v="90"/>
    <x v="4"/>
    <x v="227"/>
    <n v="66"/>
    <n v="4"/>
    <x v="1"/>
    <x v="5"/>
    <x v="0"/>
    <x v="2"/>
    <n v="3"/>
    <n v="66"/>
  </r>
  <r>
    <s v="Call_7988"/>
    <x v="0"/>
    <x v="32"/>
    <x v="0"/>
    <x v="227"/>
    <n v="58"/>
    <n v="4.7"/>
    <x v="1"/>
    <x v="5"/>
    <x v="0"/>
    <x v="0"/>
    <n v="3"/>
    <n v="58"/>
  </r>
  <r>
    <s v="Call_7989"/>
    <x v="13"/>
    <x v="125"/>
    <x v="4"/>
    <x v="228"/>
    <n v="152"/>
    <n v="4.3"/>
    <x v="1"/>
    <x v="6"/>
    <x v="0"/>
    <x v="2"/>
    <n v="3"/>
    <n v="152"/>
  </r>
  <r>
    <s v="Call_7990"/>
    <x v="4"/>
    <x v="33"/>
    <x v="3"/>
    <x v="228"/>
    <n v="75"/>
    <n v="2.8"/>
    <x v="1"/>
    <x v="6"/>
    <x v="0"/>
    <x v="1"/>
    <n v="3"/>
    <n v="75"/>
  </r>
  <r>
    <s v="Call_7991"/>
    <x v="10"/>
    <x v="70"/>
    <x v="1"/>
    <x v="228"/>
    <n v="78"/>
    <n v="4"/>
    <x v="1"/>
    <x v="6"/>
    <x v="1"/>
    <x v="2"/>
    <n v="4"/>
    <n v="78"/>
  </r>
  <r>
    <s v="Call_7992"/>
    <x v="0"/>
    <x v="30"/>
    <x v="2"/>
    <x v="228"/>
    <n v="69"/>
    <n v="3.9"/>
    <x v="1"/>
    <x v="6"/>
    <x v="0"/>
    <x v="2"/>
    <n v="3"/>
    <n v="69"/>
  </r>
  <r>
    <s v="Call_7993"/>
    <x v="11"/>
    <x v="55"/>
    <x v="0"/>
    <x v="229"/>
    <n v="46"/>
    <n v="3.1"/>
    <x v="1"/>
    <x v="0"/>
    <x v="1"/>
    <x v="1"/>
    <n v="4"/>
    <n v="46"/>
  </r>
  <r>
    <s v="Call_7994"/>
    <x v="13"/>
    <x v="139"/>
    <x v="4"/>
    <x v="229"/>
    <n v="64"/>
    <n v="2.7"/>
    <x v="1"/>
    <x v="0"/>
    <x v="1"/>
    <x v="1"/>
    <n v="4"/>
    <n v="64"/>
  </r>
  <r>
    <s v="Call_7995"/>
    <x v="6"/>
    <x v="99"/>
    <x v="1"/>
    <x v="229"/>
    <n v="38"/>
    <n v="4.7"/>
    <x v="1"/>
    <x v="0"/>
    <x v="0"/>
    <x v="0"/>
    <n v="3"/>
    <n v="38"/>
  </r>
  <r>
    <s v="Call_7996"/>
    <x v="0"/>
    <x v="20"/>
    <x v="1"/>
    <x v="230"/>
    <n v="90"/>
    <n v="4.3"/>
    <x v="1"/>
    <x v="2"/>
    <x v="0"/>
    <x v="2"/>
    <n v="3"/>
    <n v="90"/>
  </r>
  <r>
    <s v="Call_7997"/>
    <x v="7"/>
    <x v="131"/>
    <x v="1"/>
    <x v="230"/>
    <n v="32"/>
    <n v="3.8"/>
    <x v="1"/>
    <x v="2"/>
    <x v="0"/>
    <x v="2"/>
    <n v="3"/>
    <n v="32"/>
  </r>
  <r>
    <s v="Call_7998"/>
    <x v="8"/>
    <x v="29"/>
    <x v="4"/>
    <x v="230"/>
    <n v="120"/>
    <n v="4.4000000000000004"/>
    <x v="1"/>
    <x v="2"/>
    <x v="0"/>
    <x v="2"/>
    <n v="3"/>
    <n v="120"/>
  </r>
  <r>
    <s v="Call_7999"/>
    <x v="6"/>
    <x v="126"/>
    <x v="1"/>
    <x v="230"/>
    <n v="31"/>
    <n v="3.9"/>
    <x v="1"/>
    <x v="2"/>
    <x v="3"/>
    <x v="2"/>
    <n v="1"/>
    <n v="31"/>
  </r>
  <r>
    <s v="Call_8000"/>
    <x v="2"/>
    <x v="77"/>
    <x v="4"/>
    <x v="231"/>
    <n v="108"/>
    <n v="4.9000000000000004"/>
    <x v="1"/>
    <x v="3"/>
    <x v="0"/>
    <x v="0"/>
    <n v="3"/>
    <n v="108"/>
  </r>
  <r>
    <s v="Call_8001"/>
    <x v="0"/>
    <x v="50"/>
    <x v="4"/>
    <x v="231"/>
    <n v="180"/>
    <n v="4.2"/>
    <x v="1"/>
    <x v="3"/>
    <x v="0"/>
    <x v="2"/>
    <n v="3"/>
    <n v="180"/>
  </r>
  <r>
    <s v="Call_8002"/>
    <x v="7"/>
    <x v="54"/>
    <x v="2"/>
    <x v="232"/>
    <n v="124"/>
    <n v="4"/>
    <x v="1"/>
    <x v="4"/>
    <x v="0"/>
    <x v="2"/>
    <n v="3"/>
    <n v="124"/>
  </r>
  <r>
    <s v="Call_8003"/>
    <x v="5"/>
    <x v="67"/>
    <x v="2"/>
    <x v="232"/>
    <n v="23"/>
    <n v="4.2"/>
    <x v="1"/>
    <x v="4"/>
    <x v="0"/>
    <x v="2"/>
    <n v="3"/>
    <n v="23"/>
  </r>
  <r>
    <s v="Call_8004"/>
    <x v="12"/>
    <x v="44"/>
    <x v="0"/>
    <x v="233"/>
    <n v="24"/>
    <n v="4.8"/>
    <x v="1"/>
    <x v="5"/>
    <x v="0"/>
    <x v="0"/>
    <n v="3"/>
    <n v="24"/>
  </r>
  <r>
    <s v="Call_8005"/>
    <x v="5"/>
    <x v="116"/>
    <x v="1"/>
    <x v="234"/>
    <n v="52"/>
    <n v="1.1000000000000001"/>
    <x v="1"/>
    <x v="6"/>
    <x v="1"/>
    <x v="5"/>
    <n v="4"/>
    <n v="52"/>
  </r>
  <r>
    <s v="Call_8006"/>
    <x v="2"/>
    <x v="62"/>
    <x v="0"/>
    <x v="235"/>
    <n v="168"/>
    <n v="4"/>
    <x v="1"/>
    <x v="0"/>
    <x v="0"/>
    <x v="2"/>
    <n v="3"/>
    <n v="168"/>
  </r>
  <r>
    <s v="Call_8007"/>
    <x v="13"/>
    <x v="42"/>
    <x v="4"/>
    <x v="236"/>
    <n v="125"/>
    <n v="4.8"/>
    <x v="1"/>
    <x v="2"/>
    <x v="0"/>
    <x v="0"/>
    <n v="3"/>
    <n v="125"/>
  </r>
  <r>
    <s v="Call_8008"/>
    <x v="0"/>
    <x v="51"/>
    <x v="0"/>
    <x v="237"/>
    <n v="50"/>
    <n v="4.2"/>
    <x v="1"/>
    <x v="3"/>
    <x v="0"/>
    <x v="2"/>
    <n v="3"/>
    <n v="50"/>
  </r>
  <r>
    <s v="Call_8009"/>
    <x v="9"/>
    <x v="30"/>
    <x v="1"/>
    <x v="238"/>
    <n v="220"/>
    <n v="4.5999999999999996"/>
    <x v="1"/>
    <x v="4"/>
    <x v="0"/>
    <x v="0"/>
    <n v="3"/>
    <n v="220"/>
  </r>
  <r>
    <s v="Call_8010"/>
    <x v="6"/>
    <x v="130"/>
    <x v="0"/>
    <x v="238"/>
    <n v="180"/>
    <n v="4"/>
    <x v="1"/>
    <x v="4"/>
    <x v="0"/>
    <x v="2"/>
    <n v="3"/>
    <n v="180"/>
  </r>
  <r>
    <s v="Call_8011"/>
    <x v="2"/>
    <x v="77"/>
    <x v="1"/>
    <x v="238"/>
    <n v="110"/>
    <n v="3.9"/>
    <x v="1"/>
    <x v="4"/>
    <x v="0"/>
    <x v="2"/>
    <n v="3"/>
    <n v="110"/>
  </r>
  <r>
    <s v="Call_8012"/>
    <x v="12"/>
    <x v="151"/>
    <x v="0"/>
    <x v="238"/>
    <n v="36"/>
    <n v="2.8"/>
    <x v="1"/>
    <x v="4"/>
    <x v="1"/>
    <x v="1"/>
    <n v="4"/>
    <n v="36"/>
  </r>
  <r>
    <s v="Call_8013"/>
    <x v="1"/>
    <x v="92"/>
    <x v="2"/>
    <x v="239"/>
    <n v="93"/>
    <n v="4.7"/>
    <x v="1"/>
    <x v="5"/>
    <x v="1"/>
    <x v="0"/>
    <n v="4"/>
    <n v="93"/>
  </r>
  <r>
    <s v="Call_8014"/>
    <x v="6"/>
    <x v="134"/>
    <x v="0"/>
    <x v="239"/>
    <n v="38"/>
    <n v="4.2"/>
    <x v="1"/>
    <x v="5"/>
    <x v="0"/>
    <x v="2"/>
    <n v="3"/>
    <n v="38"/>
  </r>
  <r>
    <s v="Call_8015"/>
    <x v="2"/>
    <x v="130"/>
    <x v="2"/>
    <x v="240"/>
    <n v="66"/>
    <n v="3.9"/>
    <x v="1"/>
    <x v="6"/>
    <x v="0"/>
    <x v="2"/>
    <n v="3"/>
    <n v="66"/>
  </r>
  <r>
    <s v="Call_8016"/>
    <x v="5"/>
    <x v="42"/>
    <x v="0"/>
    <x v="240"/>
    <n v="215"/>
    <n v="4.5999999999999996"/>
    <x v="1"/>
    <x v="6"/>
    <x v="0"/>
    <x v="0"/>
    <n v="3"/>
    <n v="215"/>
  </r>
  <r>
    <s v="Call_8017"/>
    <x v="5"/>
    <x v="64"/>
    <x v="2"/>
    <x v="240"/>
    <n v="92"/>
    <n v="4.3"/>
    <x v="1"/>
    <x v="6"/>
    <x v="0"/>
    <x v="2"/>
    <n v="3"/>
    <n v="92"/>
  </r>
  <r>
    <s v="Call_8018"/>
    <x v="4"/>
    <x v="74"/>
    <x v="0"/>
    <x v="240"/>
    <n v="80"/>
    <n v="3.6"/>
    <x v="1"/>
    <x v="6"/>
    <x v="0"/>
    <x v="2"/>
    <n v="3"/>
    <n v="80"/>
  </r>
  <r>
    <s v="Call_8019"/>
    <x v="4"/>
    <x v="22"/>
    <x v="0"/>
    <x v="241"/>
    <n v="123"/>
    <n v="4.9000000000000004"/>
    <x v="1"/>
    <x v="0"/>
    <x v="0"/>
    <x v="0"/>
    <n v="3"/>
    <n v="123"/>
  </r>
  <r>
    <s v="Call_8020"/>
    <x v="12"/>
    <x v="48"/>
    <x v="3"/>
    <x v="241"/>
    <n v="23"/>
    <n v="2.4"/>
    <x v="1"/>
    <x v="0"/>
    <x v="0"/>
    <x v="3"/>
    <n v="3"/>
    <n v="23"/>
  </r>
  <r>
    <s v="Call_8021"/>
    <x v="11"/>
    <x v="127"/>
    <x v="1"/>
    <x v="241"/>
    <n v="63"/>
    <n v="4.2"/>
    <x v="1"/>
    <x v="0"/>
    <x v="1"/>
    <x v="2"/>
    <n v="4"/>
    <n v="63"/>
  </r>
  <r>
    <s v="Call_8022"/>
    <x v="14"/>
    <x v="66"/>
    <x v="4"/>
    <x v="241"/>
    <n v="52"/>
    <n v="3.9"/>
    <x v="1"/>
    <x v="0"/>
    <x v="0"/>
    <x v="2"/>
    <n v="3"/>
    <n v="52"/>
  </r>
  <r>
    <s v="Call_8023"/>
    <x v="5"/>
    <x v="99"/>
    <x v="4"/>
    <x v="241"/>
    <n v="60"/>
    <n v="4.2"/>
    <x v="1"/>
    <x v="0"/>
    <x v="0"/>
    <x v="2"/>
    <n v="3"/>
    <n v="60"/>
  </r>
  <r>
    <s v="Call_8024"/>
    <x v="4"/>
    <x v="19"/>
    <x v="2"/>
    <x v="242"/>
    <n v="87"/>
    <n v="3.9"/>
    <x v="1"/>
    <x v="1"/>
    <x v="0"/>
    <x v="2"/>
    <n v="3"/>
    <n v="87"/>
  </r>
  <r>
    <s v="Call_8025"/>
    <x v="8"/>
    <x v="74"/>
    <x v="0"/>
    <x v="243"/>
    <n v="42"/>
    <n v="4.5"/>
    <x v="1"/>
    <x v="2"/>
    <x v="0"/>
    <x v="0"/>
    <n v="3"/>
    <n v="42"/>
  </r>
  <r>
    <s v="Call_8026"/>
    <x v="10"/>
    <x v="112"/>
    <x v="1"/>
    <x v="244"/>
    <n v="37"/>
    <n v="3.8"/>
    <x v="1"/>
    <x v="3"/>
    <x v="1"/>
    <x v="2"/>
    <n v="4"/>
    <n v="37"/>
  </r>
  <r>
    <s v="Call_8027"/>
    <x v="10"/>
    <x v="51"/>
    <x v="3"/>
    <x v="244"/>
    <n v="135"/>
    <n v="3.9"/>
    <x v="1"/>
    <x v="3"/>
    <x v="0"/>
    <x v="2"/>
    <n v="3"/>
    <n v="135"/>
  </r>
  <r>
    <s v="Call_8028"/>
    <x v="8"/>
    <x v="72"/>
    <x v="3"/>
    <x v="244"/>
    <n v="88"/>
    <n v="4.7"/>
    <x v="1"/>
    <x v="3"/>
    <x v="1"/>
    <x v="0"/>
    <n v="4"/>
    <n v="88"/>
  </r>
  <r>
    <s v="Call_8029"/>
    <x v="13"/>
    <x v="130"/>
    <x v="1"/>
    <x v="244"/>
    <n v="190"/>
    <n v="3.2"/>
    <x v="1"/>
    <x v="3"/>
    <x v="0"/>
    <x v="1"/>
    <n v="3"/>
    <n v="190"/>
  </r>
  <r>
    <s v="Call_8030"/>
    <x v="13"/>
    <x v="139"/>
    <x v="3"/>
    <x v="244"/>
    <n v="81"/>
    <n v="5"/>
    <x v="1"/>
    <x v="3"/>
    <x v="1"/>
    <x v="0"/>
    <n v="4"/>
    <n v="81"/>
  </r>
  <r>
    <s v="Call_8031"/>
    <x v="10"/>
    <x v="116"/>
    <x v="1"/>
    <x v="244"/>
    <n v="44"/>
    <n v="3.7"/>
    <x v="1"/>
    <x v="3"/>
    <x v="1"/>
    <x v="2"/>
    <n v="4"/>
    <n v="44"/>
  </r>
  <r>
    <s v="Call_8032"/>
    <x v="2"/>
    <x v="10"/>
    <x v="3"/>
    <x v="245"/>
    <n v="92"/>
    <n v="3.9"/>
    <x v="1"/>
    <x v="4"/>
    <x v="1"/>
    <x v="2"/>
    <n v="4"/>
    <n v="92"/>
  </r>
  <r>
    <s v="Call_8033"/>
    <x v="10"/>
    <x v="50"/>
    <x v="0"/>
    <x v="246"/>
    <n v="90"/>
    <n v="3.1"/>
    <x v="1"/>
    <x v="5"/>
    <x v="0"/>
    <x v="1"/>
    <n v="3"/>
    <n v="90"/>
  </r>
  <r>
    <s v="Call_8034"/>
    <x v="11"/>
    <x v="90"/>
    <x v="3"/>
    <x v="246"/>
    <n v="112"/>
    <n v="2"/>
    <x v="1"/>
    <x v="5"/>
    <x v="0"/>
    <x v="3"/>
    <n v="3"/>
    <n v="112"/>
  </r>
  <r>
    <s v="Call_8035"/>
    <x v="9"/>
    <x v="76"/>
    <x v="1"/>
    <x v="246"/>
    <n v="112"/>
    <n v="4.5999999999999996"/>
    <x v="1"/>
    <x v="5"/>
    <x v="1"/>
    <x v="0"/>
    <n v="4"/>
    <n v="112"/>
  </r>
  <r>
    <s v="Call_8036"/>
    <x v="14"/>
    <x v="55"/>
    <x v="2"/>
    <x v="246"/>
    <n v="48"/>
    <n v="3.7"/>
    <x v="1"/>
    <x v="5"/>
    <x v="1"/>
    <x v="2"/>
    <n v="4"/>
    <n v="48"/>
  </r>
  <r>
    <s v="Call_8037"/>
    <x v="11"/>
    <x v="118"/>
    <x v="1"/>
    <x v="246"/>
    <n v="116"/>
    <n v="4.4000000000000004"/>
    <x v="1"/>
    <x v="5"/>
    <x v="1"/>
    <x v="2"/>
    <n v="4"/>
    <n v="116"/>
  </r>
  <r>
    <s v="Call_8038"/>
    <x v="1"/>
    <x v="95"/>
    <x v="1"/>
    <x v="246"/>
    <n v="29"/>
    <n v="2.1"/>
    <x v="1"/>
    <x v="5"/>
    <x v="0"/>
    <x v="3"/>
    <n v="3"/>
    <n v="29"/>
  </r>
  <r>
    <s v="Call_8039"/>
    <x v="9"/>
    <x v="107"/>
    <x v="3"/>
    <x v="247"/>
    <n v="170"/>
    <n v="2.2000000000000002"/>
    <x v="1"/>
    <x v="6"/>
    <x v="0"/>
    <x v="3"/>
    <n v="3"/>
    <n v="170"/>
  </r>
  <r>
    <s v="Call_8040"/>
    <x v="1"/>
    <x v="134"/>
    <x v="4"/>
    <x v="247"/>
    <n v="68"/>
    <n v="3.4"/>
    <x v="1"/>
    <x v="6"/>
    <x v="0"/>
    <x v="1"/>
    <n v="3"/>
    <n v="68"/>
  </r>
  <r>
    <s v="Call_8041"/>
    <x v="4"/>
    <x v="74"/>
    <x v="0"/>
    <x v="247"/>
    <n v="195"/>
    <n v="2.7"/>
    <x v="1"/>
    <x v="6"/>
    <x v="0"/>
    <x v="1"/>
    <n v="3"/>
    <n v="195"/>
  </r>
  <r>
    <s v="Call_8042"/>
    <x v="3"/>
    <x v="19"/>
    <x v="0"/>
    <x v="247"/>
    <n v="96"/>
    <n v="3.7"/>
    <x v="1"/>
    <x v="6"/>
    <x v="0"/>
    <x v="2"/>
    <n v="3"/>
    <n v="96"/>
  </r>
  <r>
    <s v="Call_8043"/>
    <x v="11"/>
    <x v="1"/>
    <x v="0"/>
    <x v="247"/>
    <n v="96"/>
    <n v="3.1"/>
    <x v="1"/>
    <x v="6"/>
    <x v="0"/>
    <x v="1"/>
    <n v="3"/>
    <n v="96"/>
  </r>
  <r>
    <s v="Call_8044"/>
    <x v="14"/>
    <x v="84"/>
    <x v="2"/>
    <x v="247"/>
    <n v="117"/>
    <n v="4.0999999999999996"/>
    <x v="1"/>
    <x v="6"/>
    <x v="0"/>
    <x v="2"/>
    <n v="3"/>
    <n v="117"/>
  </r>
  <r>
    <s v="Call_8045"/>
    <x v="4"/>
    <x v="26"/>
    <x v="3"/>
    <x v="247"/>
    <n v="80"/>
    <n v="4.8"/>
    <x v="1"/>
    <x v="6"/>
    <x v="2"/>
    <x v="0"/>
    <n v="2"/>
    <n v="80"/>
  </r>
  <r>
    <s v="Call_8046"/>
    <x v="8"/>
    <x v="104"/>
    <x v="4"/>
    <x v="247"/>
    <n v="117"/>
    <n v="4"/>
    <x v="1"/>
    <x v="6"/>
    <x v="1"/>
    <x v="2"/>
    <n v="4"/>
    <n v="117"/>
  </r>
  <r>
    <s v="Call_8047"/>
    <x v="10"/>
    <x v="97"/>
    <x v="0"/>
    <x v="248"/>
    <n v="40"/>
    <n v="3"/>
    <x v="1"/>
    <x v="0"/>
    <x v="0"/>
    <x v="1"/>
    <n v="3"/>
    <n v="40"/>
  </r>
  <r>
    <s v="Call_8048"/>
    <x v="13"/>
    <x v="158"/>
    <x v="4"/>
    <x v="248"/>
    <n v="117"/>
    <n v="4.8"/>
    <x v="1"/>
    <x v="0"/>
    <x v="2"/>
    <x v="0"/>
    <n v="2"/>
    <n v="117"/>
  </r>
  <r>
    <s v="Call_8049"/>
    <x v="7"/>
    <x v="67"/>
    <x v="3"/>
    <x v="248"/>
    <n v="135"/>
    <n v="4.0999999999999996"/>
    <x v="1"/>
    <x v="0"/>
    <x v="0"/>
    <x v="2"/>
    <n v="3"/>
    <n v="135"/>
  </r>
  <r>
    <s v="Call_8050"/>
    <x v="11"/>
    <x v="25"/>
    <x v="1"/>
    <x v="248"/>
    <n v="99"/>
    <n v="4.2"/>
    <x v="1"/>
    <x v="0"/>
    <x v="0"/>
    <x v="2"/>
    <n v="3"/>
    <n v="99"/>
  </r>
  <r>
    <s v="Call_8051"/>
    <x v="6"/>
    <x v="40"/>
    <x v="2"/>
    <x v="248"/>
    <n v="130"/>
    <n v="3.3"/>
    <x v="1"/>
    <x v="0"/>
    <x v="1"/>
    <x v="1"/>
    <n v="4"/>
    <n v="130"/>
  </r>
  <r>
    <s v="Call_8052"/>
    <x v="5"/>
    <x v="108"/>
    <x v="4"/>
    <x v="248"/>
    <n v="96"/>
    <n v="4.7"/>
    <x v="1"/>
    <x v="0"/>
    <x v="0"/>
    <x v="0"/>
    <n v="3"/>
    <n v="96"/>
  </r>
  <r>
    <s v="Call_8053"/>
    <x v="4"/>
    <x v="24"/>
    <x v="2"/>
    <x v="248"/>
    <n v="128"/>
    <n v="3.7"/>
    <x v="1"/>
    <x v="0"/>
    <x v="0"/>
    <x v="2"/>
    <n v="3"/>
    <n v="128"/>
  </r>
  <r>
    <s v="Call_8054"/>
    <x v="14"/>
    <x v="37"/>
    <x v="0"/>
    <x v="248"/>
    <n v="69"/>
    <n v="4.7"/>
    <x v="1"/>
    <x v="0"/>
    <x v="1"/>
    <x v="0"/>
    <n v="4"/>
    <n v="69"/>
  </r>
  <r>
    <s v="Call_8055"/>
    <x v="14"/>
    <x v="66"/>
    <x v="0"/>
    <x v="248"/>
    <n v="44"/>
    <n v="4.5999999999999996"/>
    <x v="1"/>
    <x v="0"/>
    <x v="0"/>
    <x v="0"/>
    <n v="3"/>
    <n v="44"/>
  </r>
  <r>
    <s v="Call_8056"/>
    <x v="5"/>
    <x v="112"/>
    <x v="0"/>
    <x v="248"/>
    <n v="44"/>
    <n v="4.8"/>
    <x v="1"/>
    <x v="0"/>
    <x v="1"/>
    <x v="0"/>
    <n v="4"/>
    <n v="44"/>
  </r>
  <r>
    <s v="Call_8057"/>
    <x v="9"/>
    <x v="59"/>
    <x v="4"/>
    <x v="249"/>
    <n v="135"/>
    <n v="2"/>
    <x v="1"/>
    <x v="1"/>
    <x v="0"/>
    <x v="3"/>
    <n v="3"/>
    <n v="135"/>
  </r>
  <r>
    <s v="Call_8058"/>
    <x v="3"/>
    <x v="107"/>
    <x v="2"/>
    <x v="249"/>
    <n v="45"/>
    <n v="3.9"/>
    <x v="1"/>
    <x v="1"/>
    <x v="0"/>
    <x v="2"/>
    <n v="3"/>
    <n v="45"/>
  </r>
  <r>
    <s v="Call_8059"/>
    <x v="13"/>
    <x v="62"/>
    <x v="2"/>
    <x v="249"/>
    <n v="87"/>
    <n v="3"/>
    <x v="1"/>
    <x v="1"/>
    <x v="0"/>
    <x v="1"/>
    <n v="3"/>
    <n v="87"/>
  </r>
  <r>
    <s v="Call_8060"/>
    <x v="8"/>
    <x v="67"/>
    <x v="3"/>
    <x v="250"/>
    <n v="84"/>
    <n v="4.5999999999999996"/>
    <x v="1"/>
    <x v="2"/>
    <x v="0"/>
    <x v="0"/>
    <n v="3"/>
    <n v="84"/>
  </r>
  <r>
    <s v="Call_8061"/>
    <x v="9"/>
    <x v="34"/>
    <x v="0"/>
    <x v="250"/>
    <n v="81"/>
    <n v="3.8"/>
    <x v="1"/>
    <x v="2"/>
    <x v="0"/>
    <x v="2"/>
    <n v="3"/>
    <n v="81"/>
  </r>
  <r>
    <s v="Call_8062"/>
    <x v="5"/>
    <x v="25"/>
    <x v="1"/>
    <x v="250"/>
    <n v="130"/>
    <n v="4.4000000000000004"/>
    <x v="1"/>
    <x v="2"/>
    <x v="0"/>
    <x v="2"/>
    <n v="3"/>
    <n v="130"/>
  </r>
  <r>
    <s v="Call_8063"/>
    <x v="4"/>
    <x v="96"/>
    <x v="0"/>
    <x v="251"/>
    <n v="92"/>
    <n v="2.4"/>
    <x v="1"/>
    <x v="3"/>
    <x v="0"/>
    <x v="3"/>
    <n v="3"/>
    <n v="92"/>
  </r>
  <r>
    <s v="Call_8064"/>
    <x v="12"/>
    <x v="82"/>
    <x v="3"/>
    <x v="251"/>
    <n v="48"/>
    <n v="4.5"/>
    <x v="1"/>
    <x v="3"/>
    <x v="0"/>
    <x v="0"/>
    <n v="3"/>
    <n v="48"/>
  </r>
  <r>
    <s v="Call_8065"/>
    <x v="3"/>
    <x v="6"/>
    <x v="4"/>
    <x v="251"/>
    <n v="160"/>
    <n v="4.5"/>
    <x v="1"/>
    <x v="3"/>
    <x v="0"/>
    <x v="0"/>
    <n v="3"/>
    <n v="160"/>
  </r>
  <r>
    <s v="Call_8066"/>
    <x v="7"/>
    <x v="87"/>
    <x v="3"/>
    <x v="252"/>
    <n v="155"/>
    <n v="2.7"/>
    <x v="1"/>
    <x v="4"/>
    <x v="1"/>
    <x v="1"/>
    <n v="4"/>
    <n v="155"/>
  </r>
  <r>
    <s v="Call_8067"/>
    <x v="6"/>
    <x v="117"/>
    <x v="1"/>
    <x v="252"/>
    <n v="100"/>
    <n v="4.9000000000000004"/>
    <x v="1"/>
    <x v="4"/>
    <x v="0"/>
    <x v="0"/>
    <n v="3"/>
    <n v="100"/>
  </r>
  <r>
    <s v="Call_8068"/>
    <x v="9"/>
    <x v="46"/>
    <x v="2"/>
    <x v="252"/>
    <n v="56"/>
    <n v="3.7"/>
    <x v="1"/>
    <x v="4"/>
    <x v="0"/>
    <x v="2"/>
    <n v="3"/>
    <n v="56"/>
  </r>
  <r>
    <s v="Call_8069"/>
    <x v="4"/>
    <x v="159"/>
    <x v="0"/>
    <x v="252"/>
    <n v="170"/>
    <n v="3.9"/>
    <x v="1"/>
    <x v="4"/>
    <x v="3"/>
    <x v="2"/>
    <n v="1"/>
    <n v="170"/>
  </r>
  <r>
    <s v="Call_8070"/>
    <x v="13"/>
    <x v="67"/>
    <x v="4"/>
    <x v="253"/>
    <n v="74"/>
    <n v="3.5"/>
    <x v="1"/>
    <x v="5"/>
    <x v="0"/>
    <x v="2"/>
    <n v="3"/>
    <n v="74"/>
  </r>
  <r>
    <s v="Call_8071"/>
    <x v="10"/>
    <x v="53"/>
    <x v="0"/>
    <x v="253"/>
    <n v="99"/>
    <n v="2.7"/>
    <x v="1"/>
    <x v="5"/>
    <x v="0"/>
    <x v="1"/>
    <n v="3"/>
    <n v="99"/>
  </r>
  <r>
    <s v="Call_8072"/>
    <x v="5"/>
    <x v="31"/>
    <x v="3"/>
    <x v="253"/>
    <n v="84"/>
    <n v="3.9"/>
    <x v="1"/>
    <x v="5"/>
    <x v="0"/>
    <x v="2"/>
    <n v="3"/>
    <n v="84"/>
  </r>
  <r>
    <s v="Call_8073"/>
    <x v="10"/>
    <x v="104"/>
    <x v="0"/>
    <x v="253"/>
    <n v="35"/>
    <n v="3.4"/>
    <x v="1"/>
    <x v="5"/>
    <x v="1"/>
    <x v="1"/>
    <n v="4"/>
    <n v="35"/>
  </r>
  <r>
    <s v="Call_8074"/>
    <x v="1"/>
    <x v="83"/>
    <x v="2"/>
    <x v="253"/>
    <n v="150"/>
    <n v="5"/>
    <x v="1"/>
    <x v="5"/>
    <x v="0"/>
    <x v="0"/>
    <n v="3"/>
    <n v="150"/>
  </r>
  <r>
    <s v="Call_8075"/>
    <x v="2"/>
    <x v="17"/>
    <x v="4"/>
    <x v="254"/>
    <n v="176"/>
    <n v="4.4000000000000004"/>
    <x v="1"/>
    <x v="6"/>
    <x v="0"/>
    <x v="2"/>
    <n v="3"/>
    <n v="176"/>
  </r>
  <r>
    <s v="Call_8076"/>
    <x v="2"/>
    <x v="31"/>
    <x v="4"/>
    <x v="254"/>
    <n v="84"/>
    <n v="4.3"/>
    <x v="1"/>
    <x v="6"/>
    <x v="0"/>
    <x v="2"/>
    <n v="3"/>
    <n v="84"/>
  </r>
  <r>
    <s v="Call_8077"/>
    <x v="5"/>
    <x v="131"/>
    <x v="4"/>
    <x v="254"/>
    <n v="136"/>
    <n v="4.7"/>
    <x v="1"/>
    <x v="6"/>
    <x v="0"/>
    <x v="0"/>
    <n v="3"/>
    <n v="136"/>
  </r>
  <r>
    <s v="Call_8078"/>
    <x v="4"/>
    <x v="124"/>
    <x v="4"/>
    <x v="255"/>
    <n v="70"/>
    <n v="4.0999999999999996"/>
    <x v="1"/>
    <x v="0"/>
    <x v="1"/>
    <x v="2"/>
    <n v="4"/>
    <n v="70"/>
  </r>
  <r>
    <s v="Call_8079"/>
    <x v="8"/>
    <x v="157"/>
    <x v="2"/>
    <x v="255"/>
    <n v="96"/>
    <n v="4.8"/>
    <x v="1"/>
    <x v="0"/>
    <x v="2"/>
    <x v="0"/>
    <n v="2"/>
    <n v="96"/>
  </r>
  <r>
    <s v="Call_8080"/>
    <x v="2"/>
    <x v="69"/>
    <x v="2"/>
    <x v="255"/>
    <n v="23"/>
    <n v="4.2"/>
    <x v="1"/>
    <x v="0"/>
    <x v="0"/>
    <x v="2"/>
    <n v="3"/>
    <n v="23"/>
  </r>
  <r>
    <s v="Call_8081"/>
    <x v="7"/>
    <x v="30"/>
    <x v="4"/>
    <x v="256"/>
    <n v="120"/>
    <n v="3.4"/>
    <x v="1"/>
    <x v="1"/>
    <x v="0"/>
    <x v="1"/>
    <n v="3"/>
    <n v="120"/>
  </r>
  <r>
    <s v="Call_8082"/>
    <x v="12"/>
    <x v="108"/>
    <x v="4"/>
    <x v="256"/>
    <n v="205"/>
    <n v="3.3"/>
    <x v="1"/>
    <x v="1"/>
    <x v="0"/>
    <x v="1"/>
    <n v="3"/>
    <n v="205"/>
  </r>
  <r>
    <s v="Call_8083"/>
    <x v="9"/>
    <x v="103"/>
    <x v="1"/>
    <x v="257"/>
    <n v="42"/>
    <n v="3.8"/>
    <x v="1"/>
    <x v="2"/>
    <x v="0"/>
    <x v="2"/>
    <n v="3"/>
    <n v="42"/>
  </r>
  <r>
    <s v="Call_8084"/>
    <x v="4"/>
    <x v="1"/>
    <x v="3"/>
    <x v="257"/>
    <n v="111"/>
    <n v="3.9"/>
    <x v="1"/>
    <x v="2"/>
    <x v="0"/>
    <x v="2"/>
    <n v="3"/>
    <n v="111"/>
  </r>
  <r>
    <s v="Call_8085"/>
    <x v="3"/>
    <x v="130"/>
    <x v="4"/>
    <x v="257"/>
    <n v="68"/>
    <n v="2.5"/>
    <x v="1"/>
    <x v="2"/>
    <x v="0"/>
    <x v="1"/>
    <n v="3"/>
    <n v="68"/>
  </r>
  <r>
    <s v="Call_8086"/>
    <x v="13"/>
    <x v="47"/>
    <x v="0"/>
    <x v="257"/>
    <n v="172"/>
    <n v="4.9000000000000004"/>
    <x v="1"/>
    <x v="2"/>
    <x v="0"/>
    <x v="0"/>
    <n v="3"/>
    <n v="172"/>
  </r>
  <r>
    <s v="Call_8087"/>
    <x v="11"/>
    <x v="44"/>
    <x v="4"/>
    <x v="257"/>
    <n v="152"/>
    <n v="4.8"/>
    <x v="1"/>
    <x v="2"/>
    <x v="0"/>
    <x v="0"/>
    <n v="3"/>
    <n v="152"/>
  </r>
  <r>
    <s v="Call_8088"/>
    <x v="11"/>
    <x v="31"/>
    <x v="1"/>
    <x v="257"/>
    <n v="48"/>
    <n v="4.7"/>
    <x v="1"/>
    <x v="2"/>
    <x v="0"/>
    <x v="0"/>
    <n v="3"/>
    <n v="48"/>
  </r>
  <r>
    <s v="Call_8089"/>
    <x v="6"/>
    <x v="71"/>
    <x v="1"/>
    <x v="257"/>
    <n v="25"/>
    <n v="4.7"/>
    <x v="1"/>
    <x v="2"/>
    <x v="0"/>
    <x v="0"/>
    <n v="3"/>
    <n v="25"/>
  </r>
  <r>
    <s v="Call_8090"/>
    <x v="3"/>
    <x v="5"/>
    <x v="3"/>
    <x v="258"/>
    <n v="54"/>
    <n v="3.3"/>
    <x v="1"/>
    <x v="3"/>
    <x v="0"/>
    <x v="1"/>
    <n v="3"/>
    <n v="54"/>
  </r>
  <r>
    <s v="Call_8091"/>
    <x v="3"/>
    <x v="124"/>
    <x v="2"/>
    <x v="258"/>
    <n v="108"/>
    <n v="4.7"/>
    <x v="1"/>
    <x v="3"/>
    <x v="1"/>
    <x v="0"/>
    <n v="4"/>
    <n v="108"/>
  </r>
  <r>
    <s v="Call_8092"/>
    <x v="14"/>
    <x v="53"/>
    <x v="4"/>
    <x v="258"/>
    <n v="36"/>
    <n v="4.5"/>
    <x v="1"/>
    <x v="3"/>
    <x v="0"/>
    <x v="0"/>
    <n v="3"/>
    <n v="36"/>
  </r>
  <r>
    <s v="Call_8093"/>
    <x v="0"/>
    <x v="134"/>
    <x v="1"/>
    <x v="259"/>
    <n v="140"/>
    <n v="4.5999999999999996"/>
    <x v="1"/>
    <x v="4"/>
    <x v="0"/>
    <x v="0"/>
    <n v="3"/>
    <n v="140"/>
  </r>
  <r>
    <s v="Call_8094"/>
    <x v="2"/>
    <x v="116"/>
    <x v="3"/>
    <x v="259"/>
    <n v="50"/>
    <n v="4.8"/>
    <x v="1"/>
    <x v="4"/>
    <x v="1"/>
    <x v="0"/>
    <n v="4"/>
    <n v="50"/>
  </r>
  <r>
    <s v="Call_8095"/>
    <x v="14"/>
    <x v="134"/>
    <x v="0"/>
    <x v="259"/>
    <n v="195"/>
    <n v="4.3"/>
    <x v="1"/>
    <x v="4"/>
    <x v="0"/>
    <x v="2"/>
    <n v="3"/>
    <n v="195"/>
  </r>
  <r>
    <s v="Call_8096"/>
    <x v="2"/>
    <x v="12"/>
    <x v="1"/>
    <x v="260"/>
    <n v="48"/>
    <n v="4.7"/>
    <x v="1"/>
    <x v="5"/>
    <x v="1"/>
    <x v="0"/>
    <n v="4"/>
    <n v="48"/>
  </r>
  <r>
    <s v="Call_8097"/>
    <x v="6"/>
    <x v="55"/>
    <x v="4"/>
    <x v="261"/>
    <n v="29"/>
    <n v="4.8"/>
    <x v="1"/>
    <x v="6"/>
    <x v="1"/>
    <x v="0"/>
    <n v="4"/>
    <n v="29"/>
  </r>
  <r>
    <s v="Call_8098"/>
    <x v="0"/>
    <x v="130"/>
    <x v="0"/>
    <x v="261"/>
    <n v="44"/>
    <n v="4.7"/>
    <x v="1"/>
    <x v="6"/>
    <x v="0"/>
    <x v="0"/>
    <n v="3"/>
    <n v="44"/>
  </r>
  <r>
    <s v="Call_8099"/>
    <x v="1"/>
    <x v="35"/>
    <x v="2"/>
    <x v="261"/>
    <n v="140"/>
    <n v="4.3"/>
    <x v="1"/>
    <x v="6"/>
    <x v="1"/>
    <x v="2"/>
    <n v="4"/>
    <n v="140"/>
  </r>
  <r>
    <s v="Call_8100"/>
    <x v="13"/>
    <x v="19"/>
    <x v="2"/>
    <x v="261"/>
    <n v="105"/>
    <n v="3.8"/>
    <x v="1"/>
    <x v="6"/>
    <x v="0"/>
    <x v="2"/>
    <n v="3"/>
    <n v="105"/>
  </r>
  <r>
    <s v="Call_8101"/>
    <x v="5"/>
    <x v="118"/>
    <x v="2"/>
    <x v="261"/>
    <n v="82"/>
    <n v="4.5999999999999996"/>
    <x v="1"/>
    <x v="6"/>
    <x v="1"/>
    <x v="0"/>
    <n v="4"/>
    <n v="82"/>
  </r>
  <r>
    <s v="Call_8102"/>
    <x v="0"/>
    <x v="123"/>
    <x v="0"/>
    <x v="261"/>
    <n v="24"/>
    <n v="2.9"/>
    <x v="1"/>
    <x v="6"/>
    <x v="2"/>
    <x v="1"/>
    <n v="2"/>
    <n v="24"/>
  </r>
  <r>
    <s v="Call_8103"/>
    <x v="4"/>
    <x v="37"/>
    <x v="4"/>
    <x v="262"/>
    <n v="205"/>
    <n v="4.8"/>
    <x v="1"/>
    <x v="0"/>
    <x v="1"/>
    <x v="0"/>
    <n v="4"/>
    <n v="205"/>
  </r>
  <r>
    <s v="Call_8104"/>
    <x v="1"/>
    <x v="108"/>
    <x v="1"/>
    <x v="262"/>
    <n v="225"/>
    <n v="4.9000000000000004"/>
    <x v="1"/>
    <x v="0"/>
    <x v="0"/>
    <x v="0"/>
    <n v="3"/>
    <n v="225"/>
  </r>
  <r>
    <s v="Call_8105"/>
    <x v="4"/>
    <x v="95"/>
    <x v="4"/>
    <x v="262"/>
    <n v="50"/>
    <n v="3.4"/>
    <x v="1"/>
    <x v="0"/>
    <x v="0"/>
    <x v="1"/>
    <n v="3"/>
    <n v="50"/>
  </r>
  <r>
    <s v="Call_8106"/>
    <x v="4"/>
    <x v="71"/>
    <x v="2"/>
    <x v="262"/>
    <n v="80"/>
    <n v="4.3"/>
    <x v="1"/>
    <x v="0"/>
    <x v="0"/>
    <x v="2"/>
    <n v="3"/>
    <n v="80"/>
  </r>
  <r>
    <s v="Call_8107"/>
    <x v="5"/>
    <x v="120"/>
    <x v="1"/>
    <x v="262"/>
    <n v="78"/>
    <n v="3.9"/>
    <x v="1"/>
    <x v="0"/>
    <x v="0"/>
    <x v="2"/>
    <n v="3"/>
    <n v="78"/>
  </r>
  <r>
    <s v="Call_8108"/>
    <x v="3"/>
    <x v="122"/>
    <x v="4"/>
    <x v="263"/>
    <n v="40"/>
    <n v="3.9"/>
    <x v="1"/>
    <x v="1"/>
    <x v="1"/>
    <x v="2"/>
    <n v="4"/>
    <n v="40"/>
  </r>
  <r>
    <s v="Call_8109"/>
    <x v="5"/>
    <x v="120"/>
    <x v="1"/>
    <x v="263"/>
    <n v="176"/>
    <n v="1.5"/>
    <x v="1"/>
    <x v="1"/>
    <x v="0"/>
    <x v="3"/>
    <n v="3"/>
    <n v="176"/>
  </r>
  <r>
    <s v="Call_8110"/>
    <x v="11"/>
    <x v="6"/>
    <x v="4"/>
    <x v="263"/>
    <n v="78"/>
    <n v="3"/>
    <x v="1"/>
    <x v="1"/>
    <x v="0"/>
    <x v="1"/>
    <n v="3"/>
    <n v="78"/>
  </r>
  <r>
    <s v="Call_8111"/>
    <x v="14"/>
    <x v="81"/>
    <x v="1"/>
    <x v="263"/>
    <n v="42"/>
    <n v="4.2"/>
    <x v="1"/>
    <x v="1"/>
    <x v="0"/>
    <x v="2"/>
    <n v="3"/>
    <n v="42"/>
  </r>
  <r>
    <s v="Call_8112"/>
    <x v="3"/>
    <x v="78"/>
    <x v="4"/>
    <x v="263"/>
    <n v="38"/>
    <n v="3.7"/>
    <x v="1"/>
    <x v="1"/>
    <x v="2"/>
    <x v="2"/>
    <n v="2"/>
    <n v="38"/>
  </r>
  <r>
    <s v="Call_8113"/>
    <x v="2"/>
    <x v="69"/>
    <x v="3"/>
    <x v="263"/>
    <n v="27"/>
    <n v="4.2"/>
    <x v="1"/>
    <x v="1"/>
    <x v="0"/>
    <x v="2"/>
    <n v="3"/>
    <n v="27"/>
  </r>
  <r>
    <s v="Call_8114"/>
    <x v="5"/>
    <x v="65"/>
    <x v="0"/>
    <x v="264"/>
    <n v="45"/>
    <n v="4.4000000000000004"/>
    <x v="1"/>
    <x v="2"/>
    <x v="1"/>
    <x v="2"/>
    <n v="4"/>
    <n v="45"/>
  </r>
  <r>
    <s v="Call_8115"/>
    <x v="7"/>
    <x v="74"/>
    <x v="4"/>
    <x v="264"/>
    <n v="215"/>
    <n v="4"/>
    <x v="1"/>
    <x v="2"/>
    <x v="0"/>
    <x v="2"/>
    <n v="3"/>
    <n v="215"/>
  </r>
  <r>
    <s v="Call_8116"/>
    <x v="6"/>
    <x v="23"/>
    <x v="4"/>
    <x v="265"/>
    <n v="72"/>
    <n v="4.7"/>
    <x v="1"/>
    <x v="3"/>
    <x v="1"/>
    <x v="0"/>
    <n v="4"/>
    <n v="72"/>
  </r>
  <r>
    <s v="Call_8117"/>
    <x v="3"/>
    <x v="160"/>
    <x v="2"/>
    <x v="265"/>
    <n v="160"/>
    <n v="2.8"/>
    <x v="1"/>
    <x v="3"/>
    <x v="1"/>
    <x v="1"/>
    <n v="4"/>
    <n v="160"/>
  </r>
  <r>
    <s v="Call_8118"/>
    <x v="6"/>
    <x v="76"/>
    <x v="4"/>
    <x v="265"/>
    <n v="165"/>
    <n v="2.5"/>
    <x v="1"/>
    <x v="3"/>
    <x v="1"/>
    <x v="1"/>
    <n v="4"/>
    <n v="165"/>
  </r>
  <r>
    <s v="Call_8119"/>
    <x v="1"/>
    <x v="146"/>
    <x v="2"/>
    <x v="265"/>
    <n v="120"/>
    <n v="3.4"/>
    <x v="1"/>
    <x v="3"/>
    <x v="0"/>
    <x v="1"/>
    <n v="3"/>
    <n v="120"/>
  </r>
  <r>
    <s v="Call_8120"/>
    <x v="0"/>
    <x v="122"/>
    <x v="1"/>
    <x v="265"/>
    <n v="117"/>
    <n v="4.8"/>
    <x v="1"/>
    <x v="3"/>
    <x v="1"/>
    <x v="0"/>
    <n v="4"/>
    <n v="117"/>
  </r>
  <r>
    <s v="Call_8121"/>
    <x v="8"/>
    <x v="94"/>
    <x v="3"/>
    <x v="266"/>
    <n v="29"/>
    <n v="4.3"/>
    <x v="1"/>
    <x v="4"/>
    <x v="1"/>
    <x v="2"/>
    <n v="4"/>
    <n v="29"/>
  </r>
  <r>
    <s v="Call_8122"/>
    <x v="0"/>
    <x v="54"/>
    <x v="2"/>
    <x v="266"/>
    <n v="64"/>
    <n v="4.5"/>
    <x v="1"/>
    <x v="4"/>
    <x v="0"/>
    <x v="0"/>
    <n v="3"/>
    <n v="64"/>
  </r>
  <r>
    <s v="Call_8123"/>
    <x v="11"/>
    <x v="62"/>
    <x v="1"/>
    <x v="266"/>
    <n v="84"/>
    <n v="3.6"/>
    <x v="1"/>
    <x v="4"/>
    <x v="0"/>
    <x v="2"/>
    <n v="3"/>
    <n v="84"/>
  </r>
  <r>
    <s v="Call_8124"/>
    <x v="7"/>
    <x v="55"/>
    <x v="4"/>
    <x v="266"/>
    <n v="42"/>
    <n v="3.7"/>
    <x v="1"/>
    <x v="4"/>
    <x v="1"/>
    <x v="2"/>
    <n v="4"/>
    <n v="42"/>
  </r>
  <r>
    <s v="Call_8125"/>
    <x v="3"/>
    <x v="30"/>
    <x v="4"/>
    <x v="266"/>
    <n v="120"/>
    <n v="3.5"/>
    <x v="1"/>
    <x v="4"/>
    <x v="0"/>
    <x v="2"/>
    <n v="3"/>
    <n v="120"/>
  </r>
  <r>
    <s v="Call_8126"/>
    <x v="11"/>
    <x v="116"/>
    <x v="3"/>
    <x v="267"/>
    <n v="80"/>
    <n v="4.7"/>
    <x v="1"/>
    <x v="5"/>
    <x v="1"/>
    <x v="0"/>
    <n v="4"/>
    <n v="80"/>
  </r>
  <r>
    <s v="Call_8127"/>
    <x v="8"/>
    <x v="28"/>
    <x v="2"/>
    <x v="267"/>
    <n v="185"/>
    <n v="3.5"/>
    <x v="1"/>
    <x v="5"/>
    <x v="0"/>
    <x v="2"/>
    <n v="3"/>
    <n v="185"/>
  </r>
  <r>
    <s v="Call_8128"/>
    <x v="4"/>
    <x v="73"/>
    <x v="0"/>
    <x v="268"/>
    <n v="135"/>
    <n v="3.9"/>
    <x v="1"/>
    <x v="6"/>
    <x v="0"/>
    <x v="2"/>
    <n v="3"/>
    <n v="135"/>
  </r>
  <r>
    <s v="Call_8129"/>
    <x v="4"/>
    <x v="113"/>
    <x v="2"/>
    <x v="268"/>
    <n v="20"/>
    <n v="4.8"/>
    <x v="1"/>
    <x v="6"/>
    <x v="0"/>
    <x v="0"/>
    <n v="3"/>
    <n v="20"/>
  </r>
  <r>
    <s v="Call_8130"/>
    <x v="12"/>
    <x v="101"/>
    <x v="2"/>
    <x v="268"/>
    <n v="31"/>
    <n v="4"/>
    <x v="1"/>
    <x v="6"/>
    <x v="0"/>
    <x v="2"/>
    <n v="3"/>
    <n v="31"/>
  </r>
  <r>
    <s v="Call_8131"/>
    <x v="14"/>
    <x v="17"/>
    <x v="3"/>
    <x v="269"/>
    <n v="120"/>
    <n v="4.7"/>
    <x v="1"/>
    <x v="0"/>
    <x v="0"/>
    <x v="0"/>
    <n v="3"/>
    <n v="120"/>
  </r>
  <r>
    <s v="Call_8132"/>
    <x v="1"/>
    <x v="22"/>
    <x v="1"/>
    <x v="269"/>
    <n v="117"/>
    <n v="3.6"/>
    <x v="1"/>
    <x v="0"/>
    <x v="0"/>
    <x v="2"/>
    <n v="3"/>
    <n v="117"/>
  </r>
  <r>
    <s v="Call_8133"/>
    <x v="14"/>
    <x v="77"/>
    <x v="4"/>
    <x v="269"/>
    <n v="80"/>
    <n v="4.5"/>
    <x v="1"/>
    <x v="0"/>
    <x v="0"/>
    <x v="0"/>
    <n v="3"/>
    <n v="80"/>
  </r>
  <r>
    <s v="Call_8134"/>
    <x v="14"/>
    <x v="39"/>
    <x v="0"/>
    <x v="270"/>
    <n v="117"/>
    <n v="4"/>
    <x v="1"/>
    <x v="1"/>
    <x v="0"/>
    <x v="2"/>
    <n v="3"/>
    <n v="117"/>
  </r>
  <r>
    <s v="Call_8135"/>
    <x v="8"/>
    <x v="74"/>
    <x v="3"/>
    <x v="270"/>
    <n v="60"/>
    <n v="4.5"/>
    <x v="1"/>
    <x v="1"/>
    <x v="0"/>
    <x v="0"/>
    <n v="3"/>
    <n v="60"/>
  </r>
  <r>
    <s v="Call_8136"/>
    <x v="4"/>
    <x v="79"/>
    <x v="4"/>
    <x v="271"/>
    <n v="58"/>
    <n v="3.9"/>
    <x v="1"/>
    <x v="2"/>
    <x v="2"/>
    <x v="2"/>
    <n v="2"/>
    <n v="58"/>
  </r>
  <r>
    <s v="Call_8137"/>
    <x v="12"/>
    <x v="113"/>
    <x v="0"/>
    <x v="271"/>
    <n v="41"/>
    <n v="4.3"/>
    <x v="1"/>
    <x v="2"/>
    <x v="0"/>
    <x v="2"/>
    <n v="3"/>
    <n v="41"/>
  </r>
  <r>
    <s v="Call_8138"/>
    <x v="3"/>
    <x v="21"/>
    <x v="1"/>
    <x v="271"/>
    <n v="180"/>
    <n v="3.6"/>
    <x v="1"/>
    <x v="2"/>
    <x v="0"/>
    <x v="2"/>
    <n v="3"/>
    <n v="180"/>
  </r>
  <r>
    <s v="Call_8139"/>
    <x v="13"/>
    <x v="69"/>
    <x v="1"/>
    <x v="271"/>
    <n v="42"/>
    <n v="3.6"/>
    <x v="1"/>
    <x v="2"/>
    <x v="0"/>
    <x v="2"/>
    <n v="3"/>
    <n v="42"/>
  </r>
  <r>
    <s v="Call_8140"/>
    <x v="13"/>
    <x v="2"/>
    <x v="1"/>
    <x v="272"/>
    <n v="24"/>
    <n v="4"/>
    <x v="1"/>
    <x v="3"/>
    <x v="0"/>
    <x v="2"/>
    <n v="3"/>
    <n v="24"/>
  </r>
  <r>
    <s v="Call_8141"/>
    <x v="12"/>
    <x v="58"/>
    <x v="1"/>
    <x v="272"/>
    <n v="125"/>
    <n v="4.2"/>
    <x v="1"/>
    <x v="3"/>
    <x v="0"/>
    <x v="2"/>
    <n v="3"/>
    <n v="125"/>
  </r>
  <r>
    <s v="Call_8142"/>
    <x v="12"/>
    <x v="99"/>
    <x v="0"/>
    <x v="273"/>
    <n v="78"/>
    <n v="4.3"/>
    <x v="1"/>
    <x v="4"/>
    <x v="0"/>
    <x v="2"/>
    <n v="3"/>
    <n v="78"/>
  </r>
  <r>
    <s v="Call_8143"/>
    <x v="9"/>
    <x v="66"/>
    <x v="2"/>
    <x v="273"/>
    <n v="180"/>
    <n v="3.8"/>
    <x v="1"/>
    <x v="4"/>
    <x v="0"/>
    <x v="2"/>
    <n v="3"/>
    <n v="180"/>
  </r>
  <r>
    <s v="Call_8144"/>
    <x v="7"/>
    <x v="161"/>
    <x v="0"/>
    <x v="273"/>
    <n v="84"/>
    <n v="4.4000000000000004"/>
    <x v="1"/>
    <x v="4"/>
    <x v="1"/>
    <x v="2"/>
    <n v="4"/>
    <n v="84"/>
  </r>
  <r>
    <s v="Call_8145"/>
    <x v="4"/>
    <x v="98"/>
    <x v="0"/>
    <x v="273"/>
    <n v="26"/>
    <n v="4.7"/>
    <x v="1"/>
    <x v="4"/>
    <x v="2"/>
    <x v="0"/>
    <n v="2"/>
    <n v="26"/>
  </r>
  <r>
    <s v="Call_8146"/>
    <x v="1"/>
    <x v="30"/>
    <x v="0"/>
    <x v="274"/>
    <n v="140"/>
    <n v="3.6"/>
    <x v="1"/>
    <x v="5"/>
    <x v="0"/>
    <x v="2"/>
    <n v="3"/>
    <n v="140"/>
  </r>
  <r>
    <s v="Call_8147"/>
    <x v="3"/>
    <x v="156"/>
    <x v="2"/>
    <x v="274"/>
    <n v="31"/>
    <n v="2.2000000000000002"/>
    <x v="1"/>
    <x v="5"/>
    <x v="0"/>
    <x v="3"/>
    <n v="3"/>
    <n v="31"/>
  </r>
  <r>
    <s v="Call_8148"/>
    <x v="8"/>
    <x v="113"/>
    <x v="2"/>
    <x v="274"/>
    <n v="108"/>
    <n v="4.8"/>
    <x v="1"/>
    <x v="5"/>
    <x v="0"/>
    <x v="0"/>
    <n v="3"/>
    <n v="108"/>
  </r>
  <r>
    <s v="Call_8149"/>
    <x v="7"/>
    <x v="70"/>
    <x v="3"/>
    <x v="275"/>
    <n v="58"/>
    <n v="4.3"/>
    <x v="1"/>
    <x v="6"/>
    <x v="1"/>
    <x v="2"/>
    <n v="4"/>
    <n v="58"/>
  </r>
  <r>
    <s v="Call_8150"/>
    <x v="7"/>
    <x v="90"/>
    <x v="2"/>
    <x v="275"/>
    <n v="185"/>
    <n v="2.2000000000000002"/>
    <x v="1"/>
    <x v="6"/>
    <x v="0"/>
    <x v="3"/>
    <n v="3"/>
    <n v="185"/>
  </r>
  <r>
    <s v="Call_8151"/>
    <x v="7"/>
    <x v="53"/>
    <x v="2"/>
    <x v="275"/>
    <n v="40"/>
    <n v="4.8"/>
    <x v="1"/>
    <x v="6"/>
    <x v="0"/>
    <x v="0"/>
    <n v="3"/>
    <n v="40"/>
  </r>
  <r>
    <s v="Call_8152"/>
    <x v="7"/>
    <x v="157"/>
    <x v="4"/>
    <x v="275"/>
    <n v="225"/>
    <n v="2.6"/>
    <x v="1"/>
    <x v="6"/>
    <x v="2"/>
    <x v="1"/>
    <n v="2"/>
    <n v="225"/>
  </r>
  <r>
    <s v="Call_8153"/>
    <x v="3"/>
    <x v="41"/>
    <x v="3"/>
    <x v="275"/>
    <n v="150"/>
    <n v="2.6"/>
    <x v="1"/>
    <x v="6"/>
    <x v="0"/>
    <x v="1"/>
    <n v="3"/>
    <n v="150"/>
  </r>
  <r>
    <s v="Call_8154"/>
    <x v="6"/>
    <x v="50"/>
    <x v="1"/>
    <x v="276"/>
    <n v="88"/>
    <n v="3.4"/>
    <x v="1"/>
    <x v="0"/>
    <x v="0"/>
    <x v="1"/>
    <n v="3"/>
    <n v="88"/>
  </r>
  <r>
    <s v="Call_8155"/>
    <x v="10"/>
    <x v="103"/>
    <x v="0"/>
    <x v="276"/>
    <n v="140"/>
    <n v="3.7"/>
    <x v="1"/>
    <x v="0"/>
    <x v="0"/>
    <x v="2"/>
    <n v="3"/>
    <n v="140"/>
  </r>
  <r>
    <s v="Call_8156"/>
    <x v="6"/>
    <x v="52"/>
    <x v="1"/>
    <x v="276"/>
    <n v="68"/>
    <n v="2.1"/>
    <x v="1"/>
    <x v="0"/>
    <x v="1"/>
    <x v="3"/>
    <n v="4"/>
    <n v="68"/>
  </r>
  <r>
    <s v="Call_8157"/>
    <x v="1"/>
    <x v="7"/>
    <x v="4"/>
    <x v="277"/>
    <n v="105"/>
    <n v="3.6"/>
    <x v="1"/>
    <x v="1"/>
    <x v="0"/>
    <x v="2"/>
    <n v="3"/>
    <n v="105"/>
  </r>
  <r>
    <s v="Call_8158"/>
    <x v="13"/>
    <x v="112"/>
    <x v="0"/>
    <x v="277"/>
    <n v="40"/>
    <n v="3.8"/>
    <x v="1"/>
    <x v="1"/>
    <x v="1"/>
    <x v="2"/>
    <n v="4"/>
    <n v="40"/>
  </r>
  <r>
    <s v="Call_8159"/>
    <x v="9"/>
    <x v="84"/>
    <x v="0"/>
    <x v="277"/>
    <n v="82"/>
    <n v="3.1"/>
    <x v="1"/>
    <x v="1"/>
    <x v="0"/>
    <x v="1"/>
    <n v="3"/>
    <n v="82"/>
  </r>
  <r>
    <s v="Call_8160"/>
    <x v="0"/>
    <x v="96"/>
    <x v="4"/>
    <x v="278"/>
    <n v="90"/>
    <n v="4.4000000000000004"/>
    <x v="1"/>
    <x v="2"/>
    <x v="0"/>
    <x v="2"/>
    <n v="3"/>
    <n v="90"/>
  </r>
  <r>
    <s v="Call_8161"/>
    <x v="2"/>
    <x v="133"/>
    <x v="3"/>
    <x v="279"/>
    <n v="66"/>
    <n v="4.8"/>
    <x v="1"/>
    <x v="3"/>
    <x v="1"/>
    <x v="0"/>
    <n v="4"/>
    <n v="66"/>
  </r>
  <r>
    <s v="Call_8162"/>
    <x v="14"/>
    <x v="63"/>
    <x v="1"/>
    <x v="279"/>
    <n v="78"/>
    <n v="3.5"/>
    <x v="1"/>
    <x v="3"/>
    <x v="0"/>
    <x v="2"/>
    <n v="3"/>
    <n v="78"/>
  </r>
  <r>
    <s v="Call_8163"/>
    <x v="3"/>
    <x v="6"/>
    <x v="3"/>
    <x v="280"/>
    <n v="66"/>
    <n v="4.4000000000000004"/>
    <x v="1"/>
    <x v="4"/>
    <x v="0"/>
    <x v="2"/>
    <n v="3"/>
    <n v="66"/>
  </r>
  <r>
    <s v="Call_8164"/>
    <x v="13"/>
    <x v="108"/>
    <x v="4"/>
    <x v="281"/>
    <n v="160"/>
    <n v="3.8"/>
    <x v="1"/>
    <x v="5"/>
    <x v="0"/>
    <x v="2"/>
    <n v="3"/>
    <n v="160"/>
  </r>
  <r>
    <s v="Call_8165"/>
    <x v="12"/>
    <x v="59"/>
    <x v="0"/>
    <x v="282"/>
    <n v="144"/>
    <n v="3.8"/>
    <x v="1"/>
    <x v="6"/>
    <x v="0"/>
    <x v="2"/>
    <n v="3"/>
    <n v="144"/>
  </r>
  <r>
    <s v="Call_8166"/>
    <x v="13"/>
    <x v="141"/>
    <x v="2"/>
    <x v="282"/>
    <n v="200"/>
    <n v="4.5999999999999996"/>
    <x v="1"/>
    <x v="6"/>
    <x v="0"/>
    <x v="0"/>
    <n v="3"/>
    <n v="200"/>
  </r>
  <r>
    <s v="Call_8167"/>
    <x v="5"/>
    <x v="143"/>
    <x v="1"/>
    <x v="283"/>
    <n v="220"/>
    <n v="5"/>
    <x v="1"/>
    <x v="1"/>
    <x v="0"/>
    <x v="0"/>
    <n v="3"/>
    <n v="220"/>
  </r>
  <r>
    <s v="Call_8168"/>
    <x v="3"/>
    <x v="28"/>
    <x v="3"/>
    <x v="284"/>
    <n v="112"/>
    <n v="3.2"/>
    <x v="1"/>
    <x v="2"/>
    <x v="0"/>
    <x v="1"/>
    <n v="3"/>
    <n v="112"/>
  </r>
  <r>
    <s v="Call_8169"/>
    <x v="2"/>
    <x v="129"/>
    <x v="4"/>
    <x v="284"/>
    <n v="110"/>
    <n v="3.7"/>
    <x v="1"/>
    <x v="2"/>
    <x v="0"/>
    <x v="2"/>
    <n v="3"/>
    <n v="110"/>
  </r>
  <r>
    <s v="Call_8170"/>
    <x v="11"/>
    <x v="33"/>
    <x v="0"/>
    <x v="285"/>
    <n v="160"/>
    <n v="2.7"/>
    <x v="1"/>
    <x v="3"/>
    <x v="0"/>
    <x v="1"/>
    <n v="3"/>
    <n v="160"/>
  </r>
  <r>
    <s v="Call_8171"/>
    <x v="11"/>
    <x v="78"/>
    <x v="4"/>
    <x v="285"/>
    <n v="84"/>
    <n v="4"/>
    <x v="1"/>
    <x v="3"/>
    <x v="2"/>
    <x v="2"/>
    <n v="2"/>
    <n v="84"/>
  </r>
  <r>
    <s v="Call_8172"/>
    <x v="2"/>
    <x v="108"/>
    <x v="1"/>
    <x v="285"/>
    <n v="124"/>
    <n v="2.6"/>
    <x v="1"/>
    <x v="3"/>
    <x v="0"/>
    <x v="1"/>
    <n v="3"/>
    <n v="124"/>
  </r>
  <r>
    <s v="Call_8173"/>
    <x v="11"/>
    <x v="89"/>
    <x v="2"/>
    <x v="285"/>
    <n v="84"/>
    <n v="4.5999999999999996"/>
    <x v="1"/>
    <x v="3"/>
    <x v="1"/>
    <x v="0"/>
    <n v="4"/>
    <n v="84"/>
  </r>
  <r>
    <s v="Call_8174"/>
    <x v="1"/>
    <x v="130"/>
    <x v="3"/>
    <x v="286"/>
    <n v="130"/>
    <n v="2.7"/>
    <x v="1"/>
    <x v="4"/>
    <x v="0"/>
    <x v="1"/>
    <n v="3"/>
    <n v="130"/>
  </r>
  <r>
    <s v="Call_8175"/>
    <x v="12"/>
    <x v="55"/>
    <x v="0"/>
    <x v="286"/>
    <n v="215"/>
    <n v="3.5"/>
    <x v="1"/>
    <x v="4"/>
    <x v="1"/>
    <x v="2"/>
    <n v="4"/>
    <n v="215"/>
  </r>
  <r>
    <s v="Call_8176"/>
    <x v="3"/>
    <x v="50"/>
    <x v="1"/>
    <x v="287"/>
    <n v="132"/>
    <n v="3.6"/>
    <x v="1"/>
    <x v="5"/>
    <x v="0"/>
    <x v="2"/>
    <n v="3"/>
    <n v="132"/>
  </r>
  <r>
    <s v="Call_8177"/>
    <x v="6"/>
    <x v="34"/>
    <x v="3"/>
    <x v="287"/>
    <n v="88"/>
    <n v="4.9000000000000004"/>
    <x v="1"/>
    <x v="5"/>
    <x v="0"/>
    <x v="0"/>
    <n v="3"/>
    <n v="88"/>
  </r>
  <r>
    <s v="Call_8178"/>
    <x v="0"/>
    <x v="48"/>
    <x v="1"/>
    <x v="287"/>
    <n v="140"/>
    <n v="3.9"/>
    <x v="1"/>
    <x v="5"/>
    <x v="0"/>
    <x v="2"/>
    <n v="3"/>
    <n v="140"/>
  </r>
  <r>
    <s v="Call_8179"/>
    <x v="11"/>
    <x v="5"/>
    <x v="3"/>
    <x v="288"/>
    <n v="66"/>
    <n v="4.7"/>
    <x v="1"/>
    <x v="6"/>
    <x v="0"/>
    <x v="0"/>
    <n v="3"/>
    <n v="66"/>
  </r>
  <r>
    <s v="Call_8180"/>
    <x v="8"/>
    <x v="34"/>
    <x v="0"/>
    <x v="288"/>
    <n v="23"/>
    <n v="4.5"/>
    <x v="1"/>
    <x v="6"/>
    <x v="0"/>
    <x v="0"/>
    <n v="3"/>
    <n v="23"/>
  </r>
  <r>
    <s v="Call_8181"/>
    <x v="6"/>
    <x v="148"/>
    <x v="0"/>
    <x v="289"/>
    <n v="220"/>
    <n v="4.5"/>
    <x v="1"/>
    <x v="0"/>
    <x v="1"/>
    <x v="0"/>
    <n v="4"/>
    <n v="220"/>
  </r>
  <r>
    <s v="Call_8182"/>
    <x v="7"/>
    <x v="63"/>
    <x v="4"/>
    <x v="290"/>
    <n v="175"/>
    <n v="4.4000000000000004"/>
    <x v="1"/>
    <x v="1"/>
    <x v="0"/>
    <x v="2"/>
    <n v="3"/>
    <n v="175"/>
  </r>
  <r>
    <s v="Call_8183"/>
    <x v="13"/>
    <x v="25"/>
    <x v="0"/>
    <x v="290"/>
    <n v="172"/>
    <n v="4.0999999999999996"/>
    <x v="1"/>
    <x v="1"/>
    <x v="0"/>
    <x v="2"/>
    <n v="3"/>
    <n v="172"/>
  </r>
  <r>
    <s v="Call_8184"/>
    <x v="9"/>
    <x v="129"/>
    <x v="2"/>
    <x v="290"/>
    <n v="108"/>
    <n v="3.8"/>
    <x v="1"/>
    <x v="1"/>
    <x v="0"/>
    <x v="2"/>
    <n v="3"/>
    <n v="108"/>
  </r>
  <r>
    <s v="Call_8185"/>
    <x v="8"/>
    <x v="121"/>
    <x v="0"/>
    <x v="291"/>
    <n v="43"/>
    <n v="4.2"/>
    <x v="1"/>
    <x v="2"/>
    <x v="0"/>
    <x v="2"/>
    <n v="3"/>
    <n v="43"/>
  </r>
  <r>
    <s v="Call_8186"/>
    <x v="6"/>
    <x v="40"/>
    <x v="1"/>
    <x v="291"/>
    <n v="44"/>
    <n v="2.2000000000000002"/>
    <x v="1"/>
    <x v="2"/>
    <x v="1"/>
    <x v="3"/>
    <n v="4"/>
    <n v="44"/>
  </r>
  <r>
    <s v="Call_8187"/>
    <x v="13"/>
    <x v="87"/>
    <x v="4"/>
    <x v="291"/>
    <n v="105"/>
    <n v="3.9"/>
    <x v="1"/>
    <x v="2"/>
    <x v="1"/>
    <x v="2"/>
    <n v="4"/>
    <n v="105"/>
  </r>
  <r>
    <s v="Call_8188"/>
    <x v="7"/>
    <x v="97"/>
    <x v="1"/>
    <x v="292"/>
    <n v="34"/>
    <n v="3.9"/>
    <x v="1"/>
    <x v="3"/>
    <x v="0"/>
    <x v="2"/>
    <n v="3"/>
    <n v="34"/>
  </r>
  <r>
    <s v="Call_8189"/>
    <x v="4"/>
    <x v="117"/>
    <x v="0"/>
    <x v="292"/>
    <n v="220"/>
    <n v="4.0999999999999996"/>
    <x v="1"/>
    <x v="3"/>
    <x v="0"/>
    <x v="2"/>
    <n v="3"/>
    <n v="220"/>
  </r>
  <r>
    <s v="Call_8190"/>
    <x v="0"/>
    <x v="90"/>
    <x v="4"/>
    <x v="292"/>
    <n v="225"/>
    <n v="4.5999999999999996"/>
    <x v="1"/>
    <x v="3"/>
    <x v="0"/>
    <x v="0"/>
    <n v="3"/>
    <n v="225"/>
  </r>
  <r>
    <s v="Call_8191"/>
    <x v="2"/>
    <x v="93"/>
    <x v="4"/>
    <x v="293"/>
    <n v="37"/>
    <n v="4.0999999999999996"/>
    <x v="1"/>
    <x v="4"/>
    <x v="0"/>
    <x v="2"/>
    <n v="3"/>
    <n v="37"/>
  </r>
  <r>
    <s v="Call_8192"/>
    <x v="12"/>
    <x v="47"/>
    <x v="1"/>
    <x v="293"/>
    <n v="44"/>
    <n v="5"/>
    <x v="1"/>
    <x v="4"/>
    <x v="0"/>
    <x v="0"/>
    <n v="3"/>
    <n v="44"/>
  </r>
  <r>
    <s v="Call_8193"/>
    <x v="5"/>
    <x v="17"/>
    <x v="1"/>
    <x v="294"/>
    <n v="35"/>
    <n v="2.8"/>
    <x v="1"/>
    <x v="5"/>
    <x v="0"/>
    <x v="1"/>
    <n v="3"/>
    <n v="35"/>
  </r>
  <r>
    <s v="Call_8194"/>
    <x v="12"/>
    <x v="17"/>
    <x v="0"/>
    <x v="294"/>
    <n v="145"/>
    <n v="2.7"/>
    <x v="1"/>
    <x v="5"/>
    <x v="0"/>
    <x v="1"/>
    <n v="3"/>
    <n v="145"/>
  </r>
  <r>
    <s v="Call_8195"/>
    <x v="6"/>
    <x v="51"/>
    <x v="4"/>
    <x v="294"/>
    <n v="64"/>
    <n v="3.9"/>
    <x v="1"/>
    <x v="5"/>
    <x v="0"/>
    <x v="2"/>
    <n v="3"/>
    <n v="64"/>
  </r>
  <r>
    <s v="Call_8196"/>
    <x v="12"/>
    <x v="107"/>
    <x v="0"/>
    <x v="295"/>
    <n v="185"/>
    <n v="4.3"/>
    <x v="1"/>
    <x v="6"/>
    <x v="0"/>
    <x v="2"/>
    <n v="3"/>
    <n v="185"/>
  </r>
  <r>
    <s v="Call_8197"/>
    <x v="3"/>
    <x v="74"/>
    <x v="1"/>
    <x v="295"/>
    <n v="215"/>
    <n v="2.5"/>
    <x v="1"/>
    <x v="6"/>
    <x v="0"/>
    <x v="1"/>
    <n v="3"/>
    <n v="215"/>
  </r>
  <r>
    <s v="Call_8198"/>
    <x v="8"/>
    <x v="7"/>
    <x v="2"/>
    <x v="295"/>
    <n v="88"/>
    <n v="3.4"/>
    <x v="1"/>
    <x v="6"/>
    <x v="0"/>
    <x v="1"/>
    <n v="3"/>
    <n v="88"/>
  </r>
  <r>
    <s v="Call_8199"/>
    <x v="12"/>
    <x v="99"/>
    <x v="4"/>
    <x v="295"/>
    <n v="23"/>
    <n v="3.4"/>
    <x v="1"/>
    <x v="6"/>
    <x v="0"/>
    <x v="1"/>
    <n v="3"/>
    <n v="23"/>
  </r>
  <r>
    <s v="Call_8200"/>
    <x v="2"/>
    <x v="54"/>
    <x v="2"/>
    <x v="296"/>
    <n v="180"/>
    <n v="1.8"/>
    <x v="1"/>
    <x v="0"/>
    <x v="0"/>
    <x v="3"/>
    <n v="3"/>
    <n v="180"/>
  </r>
  <r>
    <s v="Call_8201"/>
    <x v="13"/>
    <x v="53"/>
    <x v="4"/>
    <x v="297"/>
    <n v="225"/>
    <n v="3.7"/>
    <x v="1"/>
    <x v="1"/>
    <x v="0"/>
    <x v="2"/>
    <n v="3"/>
    <n v="225"/>
  </r>
  <r>
    <s v="Call_8202"/>
    <x v="4"/>
    <x v="137"/>
    <x v="1"/>
    <x v="298"/>
    <n v="74"/>
    <n v="4.0999999999999996"/>
    <x v="1"/>
    <x v="2"/>
    <x v="2"/>
    <x v="2"/>
    <n v="2"/>
    <n v="74"/>
  </r>
  <r>
    <s v="Call_8203"/>
    <x v="3"/>
    <x v="119"/>
    <x v="4"/>
    <x v="298"/>
    <n v="36"/>
    <n v="3"/>
    <x v="1"/>
    <x v="2"/>
    <x v="1"/>
    <x v="1"/>
    <n v="4"/>
    <n v="36"/>
  </r>
  <r>
    <s v="Call_8204"/>
    <x v="5"/>
    <x v="15"/>
    <x v="4"/>
    <x v="299"/>
    <n v="116"/>
    <n v="3.9"/>
    <x v="1"/>
    <x v="4"/>
    <x v="0"/>
    <x v="2"/>
    <n v="3"/>
    <n v="116"/>
  </r>
  <r>
    <s v="Call_8205"/>
    <x v="3"/>
    <x v="67"/>
    <x v="2"/>
    <x v="299"/>
    <n v="140"/>
    <n v="4"/>
    <x v="1"/>
    <x v="4"/>
    <x v="0"/>
    <x v="2"/>
    <n v="3"/>
    <n v="140"/>
  </r>
  <r>
    <s v="Call_8206"/>
    <x v="3"/>
    <x v="9"/>
    <x v="1"/>
    <x v="300"/>
    <n v="104"/>
    <n v="4.5"/>
    <x v="1"/>
    <x v="5"/>
    <x v="0"/>
    <x v="0"/>
    <n v="3"/>
    <n v="104"/>
  </r>
  <r>
    <s v="Call_8207"/>
    <x v="5"/>
    <x v="119"/>
    <x v="3"/>
    <x v="300"/>
    <n v="148"/>
    <n v="4"/>
    <x v="1"/>
    <x v="5"/>
    <x v="1"/>
    <x v="2"/>
    <n v="4"/>
    <n v="148"/>
  </r>
  <r>
    <s v="Call_8208"/>
    <x v="8"/>
    <x v="108"/>
    <x v="4"/>
    <x v="300"/>
    <n v="205"/>
    <n v="4.3"/>
    <x v="1"/>
    <x v="5"/>
    <x v="0"/>
    <x v="2"/>
    <n v="3"/>
    <n v="205"/>
  </r>
  <r>
    <s v="Call_8209"/>
    <x v="1"/>
    <x v="132"/>
    <x v="0"/>
    <x v="300"/>
    <n v="210"/>
    <n v="4.8"/>
    <x v="1"/>
    <x v="5"/>
    <x v="2"/>
    <x v="0"/>
    <n v="2"/>
    <n v="210"/>
  </r>
  <r>
    <s v="Call_8210"/>
    <x v="4"/>
    <x v="38"/>
    <x v="3"/>
    <x v="301"/>
    <n v="41"/>
    <n v="4.7"/>
    <x v="1"/>
    <x v="0"/>
    <x v="0"/>
    <x v="0"/>
    <n v="3"/>
    <n v="41"/>
  </r>
  <r>
    <s v="Call_8211"/>
    <x v="11"/>
    <x v="74"/>
    <x v="2"/>
    <x v="301"/>
    <n v="136"/>
    <n v="5"/>
    <x v="1"/>
    <x v="0"/>
    <x v="0"/>
    <x v="0"/>
    <n v="3"/>
    <n v="136"/>
  </r>
  <r>
    <s v="Call_8212"/>
    <x v="9"/>
    <x v="45"/>
    <x v="1"/>
    <x v="302"/>
    <n v="126"/>
    <n v="1.5"/>
    <x v="1"/>
    <x v="1"/>
    <x v="0"/>
    <x v="3"/>
    <n v="3"/>
    <n v="126"/>
  </r>
  <r>
    <s v="Call_8213"/>
    <x v="2"/>
    <x v="24"/>
    <x v="0"/>
    <x v="303"/>
    <n v="148"/>
    <n v="4.0999999999999996"/>
    <x v="1"/>
    <x v="2"/>
    <x v="0"/>
    <x v="2"/>
    <n v="3"/>
    <n v="148"/>
  </r>
  <r>
    <s v="Call_8214"/>
    <x v="9"/>
    <x v="72"/>
    <x v="1"/>
    <x v="303"/>
    <n v="125"/>
    <n v="3.9"/>
    <x v="1"/>
    <x v="2"/>
    <x v="1"/>
    <x v="2"/>
    <n v="4"/>
    <n v="125"/>
  </r>
  <r>
    <s v="Call_8215"/>
    <x v="6"/>
    <x v="144"/>
    <x v="2"/>
    <x v="303"/>
    <n v="25"/>
    <n v="4.0999999999999996"/>
    <x v="1"/>
    <x v="2"/>
    <x v="0"/>
    <x v="2"/>
    <n v="3"/>
    <n v="25"/>
  </r>
  <r>
    <s v="Call_8216"/>
    <x v="7"/>
    <x v="162"/>
    <x v="4"/>
    <x v="304"/>
    <n v="62"/>
    <n v="2.8"/>
    <x v="1"/>
    <x v="3"/>
    <x v="3"/>
    <x v="1"/>
    <n v="1"/>
    <n v="62"/>
  </r>
  <r>
    <s v="Call_8217"/>
    <x v="2"/>
    <x v="115"/>
    <x v="2"/>
    <x v="305"/>
    <n v="90"/>
    <n v="4.5999999999999996"/>
    <x v="1"/>
    <x v="4"/>
    <x v="1"/>
    <x v="0"/>
    <n v="4"/>
    <n v="90"/>
  </r>
  <r>
    <s v="Call_8218"/>
    <x v="1"/>
    <x v="116"/>
    <x v="3"/>
    <x v="306"/>
    <n v="33"/>
    <n v="4.8"/>
    <x v="1"/>
    <x v="5"/>
    <x v="1"/>
    <x v="0"/>
    <n v="4"/>
    <n v="33"/>
  </r>
  <r>
    <s v="Call_8219"/>
    <x v="3"/>
    <x v="42"/>
    <x v="4"/>
    <x v="306"/>
    <n v="115"/>
    <n v="2.2999999999999998"/>
    <x v="1"/>
    <x v="5"/>
    <x v="0"/>
    <x v="3"/>
    <n v="3"/>
    <n v="115"/>
  </r>
  <r>
    <s v="Call_8220"/>
    <x v="1"/>
    <x v="122"/>
    <x v="3"/>
    <x v="306"/>
    <n v="45"/>
    <n v="2.6"/>
    <x v="1"/>
    <x v="5"/>
    <x v="1"/>
    <x v="1"/>
    <n v="4"/>
    <n v="45"/>
  </r>
  <r>
    <s v="Call_8221"/>
    <x v="6"/>
    <x v="156"/>
    <x v="0"/>
    <x v="306"/>
    <n v="114"/>
    <n v="4.8"/>
    <x v="1"/>
    <x v="5"/>
    <x v="0"/>
    <x v="0"/>
    <n v="3"/>
    <n v="114"/>
  </r>
  <r>
    <s v="Call_8222"/>
    <x v="3"/>
    <x v="9"/>
    <x v="1"/>
    <x v="307"/>
    <n v="72"/>
    <n v="3.7"/>
    <x v="1"/>
    <x v="6"/>
    <x v="0"/>
    <x v="2"/>
    <n v="3"/>
    <n v="72"/>
  </r>
  <r>
    <s v="Call_8223"/>
    <x v="10"/>
    <x v="63"/>
    <x v="0"/>
    <x v="307"/>
    <n v="205"/>
    <n v="4.2"/>
    <x v="1"/>
    <x v="6"/>
    <x v="0"/>
    <x v="2"/>
    <n v="3"/>
    <n v="205"/>
  </r>
  <r>
    <s v="Call_8224"/>
    <x v="1"/>
    <x v="40"/>
    <x v="1"/>
    <x v="308"/>
    <n v="42"/>
    <n v="3.3"/>
    <x v="1"/>
    <x v="0"/>
    <x v="1"/>
    <x v="1"/>
    <n v="4"/>
    <n v="42"/>
  </r>
  <r>
    <s v="Call_8225"/>
    <x v="7"/>
    <x v="122"/>
    <x v="0"/>
    <x v="308"/>
    <n v="96"/>
    <n v="4.3"/>
    <x v="1"/>
    <x v="0"/>
    <x v="1"/>
    <x v="2"/>
    <n v="4"/>
    <n v="96"/>
  </r>
  <r>
    <s v="Call_8226"/>
    <x v="3"/>
    <x v="145"/>
    <x v="4"/>
    <x v="308"/>
    <n v="64"/>
    <n v="3.7"/>
    <x v="1"/>
    <x v="0"/>
    <x v="0"/>
    <x v="2"/>
    <n v="3"/>
    <n v="64"/>
  </r>
  <r>
    <s v="Call_8227"/>
    <x v="10"/>
    <x v="50"/>
    <x v="0"/>
    <x v="309"/>
    <n v="72"/>
    <n v="3.7"/>
    <x v="1"/>
    <x v="1"/>
    <x v="0"/>
    <x v="2"/>
    <n v="3"/>
    <n v="72"/>
  </r>
  <r>
    <s v="Call_8228"/>
    <x v="6"/>
    <x v="18"/>
    <x v="3"/>
    <x v="310"/>
    <n v="27"/>
    <n v="3.1"/>
    <x v="1"/>
    <x v="2"/>
    <x v="0"/>
    <x v="1"/>
    <n v="3"/>
    <n v="27"/>
  </r>
  <r>
    <s v="Call_8229"/>
    <x v="7"/>
    <x v="67"/>
    <x v="3"/>
    <x v="311"/>
    <n v="200"/>
    <n v="2.4"/>
    <x v="1"/>
    <x v="4"/>
    <x v="0"/>
    <x v="3"/>
    <n v="3"/>
    <n v="200"/>
  </r>
  <r>
    <s v="Call_8230"/>
    <x v="6"/>
    <x v="128"/>
    <x v="1"/>
    <x v="312"/>
    <n v="93"/>
    <n v="3.5"/>
    <x v="1"/>
    <x v="5"/>
    <x v="2"/>
    <x v="2"/>
    <n v="2"/>
    <n v="93"/>
  </r>
  <r>
    <s v="Call_8231"/>
    <x v="12"/>
    <x v="54"/>
    <x v="4"/>
    <x v="312"/>
    <n v="54"/>
    <n v="4.3"/>
    <x v="1"/>
    <x v="5"/>
    <x v="0"/>
    <x v="2"/>
    <n v="3"/>
    <n v="54"/>
  </r>
  <r>
    <s v="Call_8232"/>
    <x v="6"/>
    <x v="6"/>
    <x v="1"/>
    <x v="313"/>
    <n v="72"/>
    <n v="3.4"/>
    <x v="1"/>
    <x v="6"/>
    <x v="0"/>
    <x v="1"/>
    <n v="3"/>
    <n v="72"/>
  </r>
  <r>
    <s v="Call_8233"/>
    <x v="9"/>
    <x v="47"/>
    <x v="2"/>
    <x v="313"/>
    <n v="82"/>
    <n v="3.7"/>
    <x v="1"/>
    <x v="6"/>
    <x v="0"/>
    <x v="2"/>
    <n v="3"/>
    <n v="82"/>
  </r>
  <r>
    <s v="Call_8234"/>
    <x v="12"/>
    <x v="74"/>
    <x v="4"/>
    <x v="314"/>
    <n v="164"/>
    <n v="4.8"/>
    <x v="1"/>
    <x v="3"/>
    <x v="0"/>
    <x v="0"/>
    <n v="3"/>
    <n v="164"/>
  </r>
  <r>
    <s v="Call_8235"/>
    <x v="2"/>
    <x v="30"/>
    <x v="1"/>
    <x v="314"/>
    <n v="78"/>
    <n v="3.3"/>
    <x v="1"/>
    <x v="3"/>
    <x v="0"/>
    <x v="1"/>
    <n v="3"/>
    <n v="78"/>
  </r>
  <r>
    <s v="Call_8236"/>
    <x v="10"/>
    <x v="109"/>
    <x v="3"/>
    <x v="315"/>
    <n v="135"/>
    <n v="4.2"/>
    <x v="1"/>
    <x v="4"/>
    <x v="0"/>
    <x v="2"/>
    <n v="3"/>
    <n v="135"/>
  </r>
  <r>
    <s v="Call_8237"/>
    <x v="14"/>
    <x v="76"/>
    <x v="4"/>
    <x v="316"/>
    <n v="145"/>
    <n v="2.6"/>
    <x v="1"/>
    <x v="5"/>
    <x v="1"/>
    <x v="1"/>
    <n v="4"/>
    <n v="145"/>
  </r>
  <r>
    <s v="Call_8238"/>
    <x v="5"/>
    <x v="74"/>
    <x v="3"/>
    <x v="316"/>
    <n v="115"/>
    <n v="4.9000000000000004"/>
    <x v="1"/>
    <x v="5"/>
    <x v="0"/>
    <x v="0"/>
    <n v="3"/>
    <n v="115"/>
  </r>
  <r>
    <s v="Call_8239"/>
    <x v="13"/>
    <x v="89"/>
    <x v="1"/>
    <x v="316"/>
    <n v="117"/>
    <n v="2"/>
    <x v="1"/>
    <x v="5"/>
    <x v="1"/>
    <x v="3"/>
    <n v="4"/>
    <n v="117"/>
  </r>
  <r>
    <s v="Call_8240"/>
    <x v="14"/>
    <x v="119"/>
    <x v="0"/>
    <x v="317"/>
    <n v="36"/>
    <n v="4.7"/>
    <x v="1"/>
    <x v="6"/>
    <x v="1"/>
    <x v="0"/>
    <n v="4"/>
    <n v="36"/>
  </r>
  <r>
    <s v="Call_8241"/>
    <x v="2"/>
    <x v="64"/>
    <x v="0"/>
    <x v="317"/>
    <n v="84"/>
    <n v="2.8"/>
    <x v="1"/>
    <x v="6"/>
    <x v="0"/>
    <x v="1"/>
    <n v="3"/>
    <n v="84"/>
  </r>
  <r>
    <s v="Call_8242"/>
    <x v="8"/>
    <x v="56"/>
    <x v="0"/>
    <x v="317"/>
    <n v="66"/>
    <n v="3.2"/>
    <x v="1"/>
    <x v="6"/>
    <x v="1"/>
    <x v="1"/>
    <n v="4"/>
    <n v="66"/>
  </r>
  <r>
    <s v="Call_8243"/>
    <x v="6"/>
    <x v="52"/>
    <x v="3"/>
    <x v="317"/>
    <n v="76"/>
    <n v="4.7"/>
    <x v="1"/>
    <x v="6"/>
    <x v="1"/>
    <x v="0"/>
    <n v="4"/>
    <n v="76"/>
  </r>
  <r>
    <s v="Call_8244"/>
    <x v="11"/>
    <x v="116"/>
    <x v="3"/>
    <x v="317"/>
    <n v="185"/>
    <n v="4.8"/>
    <x v="1"/>
    <x v="6"/>
    <x v="1"/>
    <x v="0"/>
    <n v="4"/>
    <n v="185"/>
  </r>
  <r>
    <s v="Call_8245"/>
    <x v="2"/>
    <x v="116"/>
    <x v="2"/>
    <x v="318"/>
    <n v="80"/>
    <n v="4.7"/>
    <x v="1"/>
    <x v="0"/>
    <x v="1"/>
    <x v="0"/>
    <n v="4"/>
    <n v="80"/>
  </r>
  <r>
    <s v="Call_8246"/>
    <x v="7"/>
    <x v="81"/>
    <x v="3"/>
    <x v="318"/>
    <n v="148"/>
    <n v="4"/>
    <x v="1"/>
    <x v="0"/>
    <x v="0"/>
    <x v="2"/>
    <n v="3"/>
    <n v="148"/>
  </r>
  <r>
    <s v="Call_8247"/>
    <x v="2"/>
    <x v="5"/>
    <x v="4"/>
    <x v="319"/>
    <n v="180"/>
    <n v="4.9000000000000004"/>
    <x v="1"/>
    <x v="2"/>
    <x v="0"/>
    <x v="0"/>
    <n v="3"/>
    <n v="180"/>
  </r>
  <r>
    <s v="Call_8248"/>
    <x v="9"/>
    <x v="134"/>
    <x v="2"/>
    <x v="320"/>
    <n v="190"/>
    <n v="3.7"/>
    <x v="1"/>
    <x v="3"/>
    <x v="0"/>
    <x v="2"/>
    <n v="3"/>
    <n v="190"/>
  </r>
  <r>
    <s v="Call_8249"/>
    <x v="4"/>
    <x v="107"/>
    <x v="3"/>
    <x v="320"/>
    <n v="38"/>
    <n v="4.5"/>
    <x v="1"/>
    <x v="3"/>
    <x v="0"/>
    <x v="0"/>
    <n v="3"/>
    <n v="38"/>
  </r>
  <r>
    <s v="Call_8250"/>
    <x v="5"/>
    <x v="77"/>
    <x v="1"/>
    <x v="321"/>
    <n v="82"/>
    <n v="2.1"/>
    <x v="1"/>
    <x v="4"/>
    <x v="0"/>
    <x v="3"/>
    <n v="3"/>
    <n v="82"/>
  </r>
  <r>
    <s v="Call_8251"/>
    <x v="14"/>
    <x v="34"/>
    <x v="3"/>
    <x v="322"/>
    <n v="88"/>
    <n v="2.8"/>
    <x v="1"/>
    <x v="0"/>
    <x v="0"/>
    <x v="1"/>
    <n v="3"/>
    <n v="88"/>
  </r>
  <r>
    <s v="Call_8252"/>
    <x v="3"/>
    <x v="129"/>
    <x v="4"/>
    <x v="322"/>
    <n v="42"/>
    <n v="4.0999999999999996"/>
    <x v="1"/>
    <x v="0"/>
    <x v="0"/>
    <x v="2"/>
    <n v="3"/>
    <n v="42"/>
  </r>
  <r>
    <s v="Call_8253"/>
    <x v="10"/>
    <x v="163"/>
    <x v="0"/>
    <x v="323"/>
    <n v="64"/>
    <n v="3.3"/>
    <x v="1"/>
    <x v="1"/>
    <x v="3"/>
    <x v="1"/>
    <n v="1"/>
    <n v="64"/>
  </r>
  <r>
    <s v="Call_8254"/>
    <x v="7"/>
    <x v="115"/>
    <x v="0"/>
    <x v="323"/>
    <n v="105"/>
    <n v="1.7"/>
    <x v="1"/>
    <x v="1"/>
    <x v="1"/>
    <x v="3"/>
    <n v="4"/>
    <n v="105"/>
  </r>
  <r>
    <s v="Call_8255"/>
    <x v="1"/>
    <x v="20"/>
    <x v="2"/>
    <x v="323"/>
    <n v="25"/>
    <n v="3.6"/>
    <x v="1"/>
    <x v="1"/>
    <x v="0"/>
    <x v="2"/>
    <n v="3"/>
    <n v="25"/>
  </r>
  <r>
    <s v="Call_8256"/>
    <x v="0"/>
    <x v="31"/>
    <x v="1"/>
    <x v="324"/>
    <n v="176"/>
    <n v="3.6"/>
    <x v="1"/>
    <x v="2"/>
    <x v="0"/>
    <x v="2"/>
    <n v="3"/>
    <n v="176"/>
  </r>
  <r>
    <s v="Call_8257"/>
    <x v="0"/>
    <x v="32"/>
    <x v="3"/>
    <x v="325"/>
    <n v="46"/>
    <n v="4.5999999999999996"/>
    <x v="1"/>
    <x v="3"/>
    <x v="0"/>
    <x v="0"/>
    <n v="3"/>
    <n v="46"/>
  </r>
  <r>
    <s v="Call_8258"/>
    <x v="9"/>
    <x v="113"/>
    <x v="0"/>
    <x v="325"/>
    <n v="164"/>
    <n v="4.8"/>
    <x v="1"/>
    <x v="3"/>
    <x v="0"/>
    <x v="0"/>
    <n v="3"/>
    <n v="164"/>
  </r>
  <r>
    <s v="Call_8259"/>
    <x v="10"/>
    <x v="55"/>
    <x v="0"/>
    <x v="326"/>
    <n v="64"/>
    <n v="4.5"/>
    <x v="1"/>
    <x v="4"/>
    <x v="1"/>
    <x v="0"/>
    <n v="4"/>
    <n v="64"/>
  </r>
  <r>
    <s v="Call_8260"/>
    <x v="8"/>
    <x v="96"/>
    <x v="4"/>
    <x v="326"/>
    <n v="205"/>
    <n v="4.5"/>
    <x v="1"/>
    <x v="4"/>
    <x v="0"/>
    <x v="0"/>
    <n v="3"/>
    <n v="205"/>
  </r>
  <r>
    <s v="Call_8261"/>
    <x v="2"/>
    <x v="155"/>
    <x v="4"/>
    <x v="327"/>
    <n v="100"/>
    <n v="4.5999999999999996"/>
    <x v="1"/>
    <x v="5"/>
    <x v="1"/>
    <x v="0"/>
    <n v="4"/>
    <n v="100"/>
  </r>
  <r>
    <s v="Call_8262"/>
    <x v="4"/>
    <x v="101"/>
    <x v="1"/>
    <x v="327"/>
    <n v="111"/>
    <n v="4.5999999999999996"/>
    <x v="1"/>
    <x v="5"/>
    <x v="0"/>
    <x v="0"/>
    <n v="3"/>
    <n v="111"/>
  </r>
  <r>
    <s v="Call_8263"/>
    <x v="3"/>
    <x v="77"/>
    <x v="2"/>
    <x v="327"/>
    <n v="80"/>
    <n v="3.5"/>
    <x v="1"/>
    <x v="5"/>
    <x v="0"/>
    <x v="2"/>
    <n v="3"/>
    <n v="80"/>
  </r>
  <r>
    <s v="Call_8264"/>
    <x v="10"/>
    <x v="48"/>
    <x v="3"/>
    <x v="327"/>
    <n v="50"/>
    <n v="2.9"/>
    <x v="1"/>
    <x v="5"/>
    <x v="0"/>
    <x v="1"/>
    <n v="3"/>
    <n v="50"/>
  </r>
  <r>
    <s v="Call_8265"/>
    <x v="3"/>
    <x v="97"/>
    <x v="0"/>
    <x v="328"/>
    <n v="165"/>
    <n v="4.7"/>
    <x v="1"/>
    <x v="6"/>
    <x v="0"/>
    <x v="0"/>
    <n v="3"/>
    <n v="165"/>
  </r>
  <r>
    <s v="Call_8266"/>
    <x v="8"/>
    <x v="22"/>
    <x v="0"/>
    <x v="328"/>
    <n v="28"/>
    <n v="3.9"/>
    <x v="1"/>
    <x v="6"/>
    <x v="0"/>
    <x v="2"/>
    <n v="3"/>
    <n v="28"/>
  </r>
  <r>
    <s v="Call_8267"/>
    <x v="5"/>
    <x v="76"/>
    <x v="3"/>
    <x v="328"/>
    <n v="215"/>
    <n v="3.8"/>
    <x v="1"/>
    <x v="6"/>
    <x v="1"/>
    <x v="2"/>
    <n v="4"/>
    <n v="215"/>
  </r>
  <r>
    <s v="Call_8268"/>
    <x v="7"/>
    <x v="148"/>
    <x v="0"/>
    <x v="329"/>
    <n v="115"/>
    <n v="2.2999999999999998"/>
    <x v="1"/>
    <x v="0"/>
    <x v="1"/>
    <x v="3"/>
    <n v="4"/>
    <n v="115"/>
  </r>
  <r>
    <s v="Call_8269"/>
    <x v="6"/>
    <x v="114"/>
    <x v="0"/>
    <x v="329"/>
    <n v="64"/>
    <n v="3.7"/>
    <x v="1"/>
    <x v="0"/>
    <x v="1"/>
    <x v="2"/>
    <n v="4"/>
    <n v="64"/>
  </r>
  <r>
    <s v="Call_8270"/>
    <x v="9"/>
    <x v="59"/>
    <x v="2"/>
    <x v="329"/>
    <n v="40"/>
    <n v="3.9"/>
    <x v="1"/>
    <x v="0"/>
    <x v="0"/>
    <x v="2"/>
    <n v="3"/>
    <n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9C7D1E-B6E1-4A4A-A29B-76D806874E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18" firstHeaderRow="0" firstDataRow="1" firstDataCol="1"/>
  <pivotFields count="17">
    <pivotField showAll="0"/>
    <pivotField axis="axisRow" dataField="1" showAll="0">
      <items count="16">
        <item x="13"/>
        <item x="8"/>
        <item x="0"/>
        <item x="1"/>
        <item x="2"/>
        <item x="10"/>
        <item x="5"/>
        <item x="14"/>
        <item x="9"/>
        <item x="6"/>
        <item x="4"/>
        <item x="12"/>
        <item x="7"/>
        <item x="3"/>
        <item x="11"/>
        <item t="default"/>
      </items>
    </pivotField>
    <pivotField showAll="0">
      <items count="166">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pivotField showAll="0"/>
    <pivotField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ustomer ID" fld="1" subtotal="count" baseField="0" baseItem="0"/>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6322F4-9139-4C2A-9ABE-7BC7F23D07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D177" firstHeaderRow="1" firstDataRow="1" firstDataCol="1"/>
  <pivotFields count="17">
    <pivotField dataField="1" showAll="0"/>
    <pivotField showAll="0"/>
    <pivotField axis="axisRow" showAll="0">
      <items count="166">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axis="axisRow"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2">
    <field x="13"/>
    <field x="2"/>
  </rowFields>
  <rowItems count="170">
    <i>
      <x/>
    </i>
    <i r="1">
      <x/>
    </i>
    <i r="1">
      <x v="1"/>
    </i>
    <i r="1">
      <x v="2"/>
    </i>
    <i r="1">
      <x v="3"/>
    </i>
    <i r="1">
      <x v="4"/>
    </i>
    <i r="1">
      <x v="5"/>
    </i>
    <i r="1">
      <x v="6"/>
    </i>
    <i r="1">
      <x v="7"/>
    </i>
    <i r="1">
      <x v="8"/>
    </i>
    <i r="1">
      <x v="9"/>
    </i>
    <i r="1">
      <x v="10"/>
    </i>
    <i r="1">
      <x v="11"/>
    </i>
    <i r="1">
      <x v="12"/>
    </i>
    <i r="1">
      <x v="13"/>
    </i>
    <i r="1">
      <x v="14"/>
    </i>
    <i>
      <x v="1"/>
    </i>
    <i r="1">
      <x v="15"/>
    </i>
    <i r="1">
      <x v="16"/>
    </i>
    <i r="1">
      <x v="17"/>
    </i>
    <i r="1">
      <x v="18"/>
    </i>
    <i r="1">
      <x v="19"/>
    </i>
    <i r="1">
      <x v="20"/>
    </i>
    <i r="1">
      <x v="21"/>
    </i>
    <i r="1">
      <x v="22"/>
    </i>
    <i r="1">
      <x v="23"/>
    </i>
    <i r="1">
      <x v="24"/>
    </i>
    <i r="1">
      <x v="25"/>
    </i>
    <i r="1">
      <x v="26"/>
    </i>
    <i r="1">
      <x v="27"/>
    </i>
    <i r="1">
      <x v="28"/>
    </i>
    <i r="1">
      <x v="29"/>
    </i>
    <i r="1">
      <x v="30"/>
    </i>
    <i r="1">
      <x v="31"/>
    </i>
    <i r="1">
      <x v="32"/>
    </i>
    <i r="1">
      <x v="33"/>
    </i>
    <i>
      <x v="2"/>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x v="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x v="4"/>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1088F4-8876-482D-881D-4CB7B96A3E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7">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6">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m="1" x="164"/>
        <item t="default"/>
      </items>
    </pivotField>
    <pivotField showAll="0">
      <items count="6">
        <item x="2"/>
        <item h="1"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11">
    <i>
      <x v="3"/>
    </i>
    <i>
      <x/>
    </i>
    <i>
      <x v="6"/>
    </i>
    <i>
      <x v="11"/>
    </i>
    <i>
      <x v="8"/>
    </i>
    <i>
      <x v="13"/>
    </i>
    <i>
      <x v="12"/>
    </i>
    <i>
      <x v="1"/>
    </i>
    <i>
      <x v="10"/>
    </i>
    <i>
      <x v="14"/>
    </i>
    <i t="grand">
      <x/>
    </i>
  </rowItems>
  <colItems count="1">
    <i/>
  </colItems>
  <dataFields count="1">
    <dataField name="Sum of Purchase Amount" fld="5" baseField="0" baseItem="0" numFmtId="166"/>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CC4033-169C-46C3-AD34-CE36A4F530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0:B43" firstHeaderRow="1" firstDataRow="1" firstDataCol="1"/>
  <pivotFields count="17">
    <pivotField showAll="0"/>
    <pivotField showAll="0"/>
    <pivotField showAll="0">
      <items count="166">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defaultSubtotal="0">
      <items count="6">
        <item x="0"/>
        <item x="1"/>
        <item x="2"/>
        <item x="3"/>
        <item x="4"/>
        <item x="5"/>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5"/>
    <field x="14"/>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5" baseItem="0"/>
  </dataField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8D4DE0-0E30-48EA-9230-BDCBDEC0585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17">
    <pivotField showAll="0"/>
    <pivotField showAll="0"/>
    <pivotField showAll="0">
      <items count="166">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pivotField showAll="0"/>
    <pivotField showAll="0" defaultSubtotal="0">
      <items count="6">
        <item x="0"/>
        <item x="1"/>
        <item x="2"/>
        <item x="3"/>
        <item x="4"/>
        <item x="5"/>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5"/>
    <field x="14"/>
    <field x="4"/>
  </rowFields>
  <rowItems count="13">
    <i>
      <x v="1"/>
    </i>
    <i>
      <x v="2"/>
    </i>
    <i>
      <x v="3"/>
    </i>
    <i>
      <x v="4"/>
    </i>
    <i>
      <x v="5"/>
    </i>
    <i>
      <x v="6"/>
    </i>
    <i>
      <x v="7"/>
    </i>
    <i>
      <x v="8"/>
    </i>
    <i>
      <x v="9"/>
    </i>
    <i>
      <x v="10"/>
    </i>
    <i>
      <x v="11"/>
    </i>
    <i>
      <x v="12"/>
    </i>
    <i t="grand">
      <x/>
    </i>
  </rowItems>
  <colItems count="1">
    <i/>
  </colItems>
  <dataFields count="1">
    <dataField name="Sum of Purchase Amount" fld="5" baseField="0" baseItem="0"/>
  </dataField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2E7DC9-0782-4E51-9C20-C905E7578B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53:B66" firstHeaderRow="1" firstDataRow="1" firstDataCol="1"/>
  <pivotFields count="17">
    <pivotField showAll="0"/>
    <pivotField showAll="0"/>
    <pivotField showAll="0">
      <items count="166">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h="1" x="1"/>
        <item h="1" x="4"/>
        <item h="1"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pivotField showAll="0"/>
    <pivotField showAll="0" defaultSubtotal="0">
      <items count="6">
        <item x="0"/>
        <item x="1"/>
        <item x="2"/>
        <item x="3"/>
        <item x="4"/>
        <item x="5"/>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2">
    <field x="15"/>
    <field x="7"/>
  </rowFields>
  <rowItems count="13">
    <i>
      <x v="1"/>
    </i>
    <i>
      <x v="2"/>
    </i>
    <i>
      <x v="3"/>
    </i>
    <i>
      <x v="4"/>
    </i>
    <i>
      <x v="5"/>
    </i>
    <i>
      <x v="6"/>
    </i>
    <i>
      <x v="7"/>
    </i>
    <i>
      <x v="8"/>
    </i>
    <i>
      <x v="9"/>
    </i>
    <i>
      <x v="10"/>
    </i>
    <i>
      <x v="11"/>
    </i>
    <i>
      <x v="12"/>
    </i>
    <i t="grand">
      <x/>
    </i>
  </rowItems>
  <colItems count="1">
    <i/>
  </colItems>
  <dataFields count="1">
    <dataField name="Sum of Purchase Amount" fld="5" showDataAs="runTotal" baseField="15" baseItem="0"/>
  </dataFields>
  <chartFormats count="2">
    <chartFormat chart="24"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F24D3E-9862-41B9-A69A-43F624F14C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 ">
  <location ref="A3:I10" firstHeaderRow="1" firstDataRow="2" firstDataCol="1"/>
  <pivotFields count="17">
    <pivotField dataField="1" showAll="0"/>
    <pivotField showAll="0"/>
    <pivotField showAll="0">
      <items count="166">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pivotField showAll="0"/>
    <pivotField showAll="0" defaultSubtotal="0">
      <items count="6">
        <item x="0"/>
        <item x="1"/>
        <item x="2"/>
        <item x="3"/>
        <item x="4"/>
        <item x="5"/>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58511A-0A27-4182-A288-7A8BD68F60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H9" firstHeaderRow="1" firstDataRow="2" firstDataCol="1"/>
  <pivotFields count="17">
    <pivotField dataField="1" showAll="0"/>
    <pivotField showAll="0"/>
    <pivotField showAll="0">
      <items count="166">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m="1" x="4"/>
        <item x="0"/>
        <item x="2"/>
        <item x="3"/>
        <item x="1"/>
        <item t="default"/>
      </items>
    </pivotField>
    <pivotField axis="axisCol" showAll="0">
      <items count="7">
        <item x="4"/>
        <item x="5"/>
        <item x="3"/>
        <item x="1"/>
        <item x="2"/>
        <item x="0"/>
        <item t="default"/>
      </items>
    </pivotField>
    <pivotField showAll="0"/>
    <pivotField showAll="0"/>
    <pivotField showAll="0" defaultSubtotal="0">
      <items count="6">
        <item x="0"/>
        <item x="1"/>
        <item x="2"/>
        <item x="3"/>
        <item x="4"/>
        <item x="5"/>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9"/>
  </rowFields>
  <rowItems count="5">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priority="1">
      <pivotAreas count="1">
        <pivotArea type="data" collapsedLevelsAreSubtotals="1" fieldPosition="0">
          <references count="3">
            <reference field="4294967294" count="1" selected="0">
              <x v="0"/>
            </reference>
            <reference field="9" count="4">
              <x v="0"/>
              <x v="1"/>
              <x v="2"/>
              <x v="3"/>
            </reference>
            <reference field="10" count="6" selected="0">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0CDDD6-BF5D-4B87-B26F-41B981A8EB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N10" firstHeaderRow="1" firstDataRow="2" firstDataCol="1"/>
  <pivotFields count="17">
    <pivotField dataField="1" showAll="0"/>
    <pivotField showAll="0"/>
    <pivotField showAll="0">
      <items count="166">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pivotField axis="axisCol"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6">
    <i>
      <x/>
    </i>
    <i>
      <x v="1"/>
    </i>
    <i>
      <x v="2"/>
    </i>
    <i>
      <x v="3"/>
    </i>
    <i>
      <x v="4"/>
    </i>
    <i t="grand">
      <x/>
    </i>
  </rowItems>
  <colFields count="1">
    <field x="15"/>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5"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78392E-106A-4B93-A5AC-7AE75A7552C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7">
    <pivotField showAll="0"/>
    <pivotField axis="axisRow" showAll="0">
      <items count="16">
        <item x="13"/>
        <item x="8"/>
        <item x="0"/>
        <item x="1"/>
        <item x="2"/>
        <item x="10"/>
        <item x="5"/>
        <item x="14"/>
        <item x="9"/>
        <item x="6"/>
        <item x="4"/>
        <item x="12"/>
        <item x="7"/>
        <item x="3"/>
        <item x="11"/>
        <item t="default"/>
      </items>
    </pivotField>
    <pivotField showAll="0">
      <items count="166">
        <item x="162"/>
        <item x="159"/>
        <item x="91"/>
        <item x="163"/>
        <item x="126"/>
        <item m="1" x="164"/>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REVENUE PER CAL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9E9643-7D9B-4095-A6D7-DE52582B955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5:D8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6">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A22AB6-DA1A-4F75-B524-CC0DF52E130C}" name="reps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51: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40" format="3"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8F1DDE-CC2F-4FCE-90A3-7349411EEBCC}"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101:G12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7"/>
    <rowHierarchyUsage hierarchyUsage="1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990C04-AE00-47C0-89AC-703AEA78BA23}"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7:E1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AA2846-1967-42FC-997D-B276939AE7BC}"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25:C3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1"/>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3"/>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F73BB3E-84CE-4F66-9BE7-73C699241EB3}" name="selected rep"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5:A66" firstHeaderRow="1" firstDataRow="1" firstDataCol="1"/>
  <pivotFields count="1">
    <pivotField axis="axisRow" allDrilled="1" subtotalTop="0" showAll="0" defaultSubtotal="0" defaultAttributeDrillState="1">
      <items count="1">
        <item s="1" x="0"/>
      </items>
    </pivotField>
  </pivotFields>
  <rowFields count="1">
    <field x="0"/>
  </rowFields>
  <rowItems count="1">
    <i>
      <x/>
    </i>
  </rowItems>
  <formats count="1">
    <format dxfId="25">
      <pivotArea dataOnly="0" labelOnly="1" fieldPosition="0">
        <references count="1">
          <reference field="0" count="0"/>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A4ED03-DCBA-4DF1-9534-371C004138F6}" name="weekend tren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3">
  <location ref="F26:G3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38" format="0" series="1">
      <pivotArea type="data" outline="0" fieldPosition="0">
        <references count="1">
          <reference field="4294967294" count="1" selected="0">
            <x v="0"/>
          </reference>
        </references>
      </pivotArea>
    </chartFormat>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A08F4A1-CF1D-4FF6-8C1E-80004BA4FC13}" name="rep satisfaction"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87:B9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6">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A63D335-BAE9-479C-B3CB-8C1DA9A57390}" name="SUMMARY"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B2FE451-B009-4D5C-8FCD-F025B0A2EFAA}"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ACKET]" tableColumnId="10"/>
      <queryTableField id="11" name="CALLS[RATING ROUNDED]" tableColumnId="11"/>
      <queryTableField id="12" name="CALLS[X]" tableColumnId="12"/>
      <queryTableField id="13" name="CALLS[REVENUE PER CALL]"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E6FDA3F-E506-43E0-AF0B-26C9286F60B7}" sourceName="Representative">
  <pivotTables>
    <pivotTable tabId="4" name="PivotTable4"/>
  </pivotTables>
  <data>
    <tabular pivotCacheId="807740058">
      <items count="5">
        <i x="2" s="1"/>
        <i x="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3EB786C3-E904-4BCF-BF87-9BDA1BC8AED0}" sourceName="Representative">
  <pivotTables>
    <pivotTable tabId="6" name="PivotTable2"/>
    <pivotTable tabId="6" name="PivotTable1"/>
    <pivotTable tabId="6" name="PivotTable3"/>
  </pivotTables>
  <data>
    <tabular pivotCacheId="807740058">
      <items count="5">
        <i x="2"/>
        <i x="1"/>
        <i x="4"/>
        <i x="3"/>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11F7CCF5-A1C9-4EFF-8AC2-EAE629E5F61A}" sourceName="[CALLS].[Representative]">
  <pivotTables>
    <pivotTable tabId="20" name="PivotTable8"/>
    <pivotTable tabId="20" name="monthly trend"/>
    <pivotTable tabId="20" name="weekend trend"/>
    <pivotTable tabId="20" name="selected rep"/>
    <pivotTable tabId="20" name="rep satisfaction"/>
  </pivotTables>
  <data>
    <olap pivotCacheId="103381646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3ACDFDE-BFD0-4483-8D46-51B936FAFE26}"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A69BE25B-D02B-452D-82E3-1D4B107C3C70}" cache="Slicer_Representative1"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691C5197-FBCA-4BB5-A817-72CF400F0053}" cache="Slicer_Representative2" caption="Representative" level="1"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C58451-EC2B-40B0-BCD4-B2B78918509D}" name="Table_ExternalData_1" displayName="Table_ExternalData_1" ref="A3:M1003" tableType="queryTable" totalsRowShown="0">
  <autoFilter ref="A3:M1003" xr:uid="{47C58451-EC2B-40B0-BCD4-B2B78918509D}"/>
  <tableColumns count="13">
    <tableColumn id="1" xr3:uid="{33C70B0A-2C6B-43E2-8FE0-8A3D647CDFA3}" uniqueName="1" name="CALLS[Call number]" queryTableFieldId="1"/>
    <tableColumn id="2" xr3:uid="{55FD97B1-173B-4B36-A1CF-31C26B40CFB9}" uniqueName="2" name="CALLS[Customer ID]" queryTableFieldId="2"/>
    <tableColumn id="3" xr3:uid="{47249A88-47B1-425F-9B31-9E8A9F7B5AA2}" uniqueName="3" name="CALLS[Duration]" queryTableFieldId="3"/>
    <tableColumn id="4" xr3:uid="{7D93733F-DA79-4A80-AEA2-4245103134A6}" uniqueName="4" name="CALLS[Representative]" queryTableFieldId="4"/>
    <tableColumn id="5" xr3:uid="{A191740A-9187-4213-BCD2-0138AA5DADA8}" uniqueName="5" name="CALLS[Date of Call]" queryTableFieldId="5" dataDxfId="26"/>
    <tableColumn id="6" xr3:uid="{D69919D3-A91C-4D0A-887E-303C4734A324}" uniqueName="6" name="CALLS[Purchase Amount]" queryTableFieldId="6"/>
    <tableColumn id="7" xr3:uid="{5E72B704-0CD5-4D1F-BEEE-58D14151AB98}" uniqueName="7" name="CALLS[Satisfaction Rating]" queryTableFieldId="7"/>
    <tableColumn id="8" xr3:uid="{E54B1A60-1D18-4D59-80A8-EC135F247B8E}" uniqueName="8" name="CALLS[FY]" queryTableFieldId="8"/>
    <tableColumn id="9" xr3:uid="{BF9E7612-D897-45E9-B267-2552C0A9B7ED}" uniqueName="9" name="CALLS[DAY OF WEEK]" queryTableFieldId="9"/>
    <tableColumn id="10" xr3:uid="{F1DD2292-ACDA-4365-91C9-4B25DE116483}" uniqueName="10" name="CALLS[DURATION BACKET]" queryTableFieldId="10"/>
    <tableColumn id="11" xr3:uid="{DBBAF7D8-D3C9-404E-B8AA-0AB6F51199DA}" uniqueName="11" name="CALLS[RATING ROUNDED]" queryTableFieldId="11"/>
    <tableColumn id="12" xr3:uid="{DE42463B-CD74-41E5-99DE-441DF68CF89B}" uniqueName="12" name="CALLS[X]" queryTableFieldId="12"/>
    <tableColumn id="13" xr3:uid="{2135941A-EFD3-448B-A790-1CD07E476B1E}" uniqueName="13" name="CALLS[REVENUE PER CALL]"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141822-B8E7-441D-B38B-A04858C0DF39}" name="CALLS" displayName="CALLS" ref="B3:N1003" totalsRowShown="0" headerRowBorderDxfId="24" tableBorderDxfId="23" totalsRowBorderDxfId="22">
  <autoFilter ref="B3:N1003" xr:uid="{95141822-B8E7-441D-B38B-A04858C0DF39}"/>
  <tableColumns count="13">
    <tableColumn id="1" xr3:uid="{B58A795C-FA4B-434B-BF50-93E7D75F47E4}" name="Call number" dataDxfId="21"/>
    <tableColumn id="2" xr3:uid="{D29657D7-7743-4C74-AA40-28BD86760540}" name="Customer ID" dataDxfId="20"/>
    <tableColumn id="3" xr3:uid="{E82DF4B9-1D73-4A5F-9E41-F89E5C9E1CF3}" name="Duration" dataDxfId="19"/>
    <tableColumn id="4" xr3:uid="{9560ACF0-E76B-4520-B0B7-C1AF335411D1}" name="Representative" dataDxfId="18"/>
    <tableColumn id="5" xr3:uid="{72826D13-A0B4-4605-AE7C-0A5290D3EFF9}" name="Date of Call" dataDxfId="17"/>
    <tableColumn id="6" xr3:uid="{02701BCB-BC09-4BC6-8214-CF5E7EB03D59}" name="Purchase Amount" dataDxfId="16"/>
    <tableColumn id="7" xr3:uid="{3B2CD122-6905-4455-B706-404408F584E3}" name="Satisfaction Rating" dataDxfId="15"/>
    <tableColumn id="8" xr3:uid="{02881D83-57E9-4371-9C78-EB169B982112}" name="FY" dataDxfId="14">
      <calculatedColumnFormula>IF(MONTH(CALLS[[#This Row],[Date of Call]])&lt;=6, YEAR(CALLS[[#This Row],[Date of Call]]), YEAR(CALLS[[#This Row],[Date of Call]])+1)</calculatedColumnFormula>
    </tableColumn>
    <tableColumn id="9" xr3:uid="{A8A2E815-EA24-4336-9311-B155B536386B}" name="DAY OF WEEK" dataDxfId="13">
      <calculatedColumnFormula>TEXT(CALLS[[#This Row],[Date of Call]],"DDDD")</calculatedColumnFormula>
    </tableColumn>
    <tableColumn id="10" xr3:uid="{D6C02B13-ECB5-416F-8C70-9360E046E4C1}" name="DURATION BACKET" dataDxfId="12">
      <calculatedColumnFormula array="1">_xlfn.IFS(CALLS[[#This Row],[Duration]]&lt;=10,"UNDER 10 MINS",
     CALLS[[#This Row],[Duration]]&lt;=30,"10 TO 30 MINS",
     CALLS[[#This Row],[Duration]]&lt;=120,"1 TO 2 HOURS",
     TRUE,"&gt; 2 HOURS")</calculatedColumnFormula>
    </tableColumn>
    <tableColumn id="12" xr3:uid="{D7AEDA12-6B99-4B57-9A6C-3E0F69021F0A}" name="RATING ROUNDED" dataDxfId="11">
      <calculatedColumnFormula>ROUND(CALLS[[#This Row],[Satisfaction Rating]],0)</calculatedColumnFormula>
    </tableColumn>
    <tableColumn id="13" xr3:uid="{D098FCC9-A1FC-4A03-AE73-19481A2D0E74}" name="X" dataDxfId="10">
      <calculatedColumnFormula array="1">_xlfn.IFS(CALLS[[#This Row],[DURATION BACKET]]="UNDER 10 MINS",1,
     CALLS[[#This Row],[DURATION BACKET]]="10 TO 30 MINS",2,
     CALLS[[#This Row],[DURATION BACKET]]="1 TO 2 HOURS",3,
     CALLS[[#This Row],[DURATION BACKET]]="&gt; 2 HOURS",4)</calculatedColumnFormula>
    </tableColumn>
    <tableColumn id="14" xr3:uid="{0B57EBD7-CAFC-4EDB-B8D5-6C43ED7BF27B}" name="REVENUE PER CALL" dataDxfId="9">
      <calculatedColumnFormula>(CALLS[[#This Row],[Purchase Amount]]/ 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6E00A9-9747-4B6C-80F0-15F1C39FAAE3}" name="customers" displayName="customers" ref="O3:R18" totalsRowShown="0" headerRowDxfId="8" headerRowBorderDxfId="7" tableBorderDxfId="6" totalsRowBorderDxfId="5">
  <autoFilter ref="O3:R18" xr:uid="{CE6E00A9-9747-4B6C-80F0-15F1C39FAAE3}"/>
  <tableColumns count="4">
    <tableColumn id="1" xr3:uid="{EA5DEE09-64DB-4AF5-B842-F8E8B0FE7713}" name="Customer ID" dataDxfId="4"/>
    <tableColumn id="2" xr3:uid="{FFA23245-06C3-4CE7-8613-BA1F66CFE54A}" name="Gedner" dataDxfId="3"/>
    <tableColumn id="3" xr3:uid="{1564A252-C508-4AB5-9E4B-EBCA2CF25290}" name="Age" dataDxfId="2"/>
    <tableColumn id="4" xr3:uid="{223D282D-DDF0-4A90-87CF-4DC8C06A9B27}"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Century Schoolbook">
      <a:majorFont>
        <a:latin typeface="Century Schoolbook" panose="02040604050505020304"/>
        <a:ea typeface=""/>
        <a:cs typeface=""/>
        <a:font script="Jpan" typeface="ＭＳ Ｐ明朝"/>
        <a:font script="Hang" typeface="휴먼매직체"/>
        <a:font script="Hans" typeface="华文楷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Schoolbook" panose="02040604050505020304"/>
        <a:ea typeface=""/>
        <a:cs typeface=""/>
        <a:font script="Jpan" typeface="ＭＳ Ｐ明朝"/>
        <a:font script="Hang" typeface="휴먼매직체"/>
        <a:font script="Hans" typeface="宋体"/>
        <a:font script="Hant" typeface="新細明體"/>
        <a:font script="Arab" typeface="Times New Roman"/>
        <a:font script="Hebr" typeface="Times New Roman"/>
        <a:font script="Thai" typeface="Kodchiang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312939-511F-46C6-9A48-D405BCA31116}">
  <we:reference id="wa200009404" version="1.0.0.8" store="en-US" storeType="OMEX"/>
  <we:alternateReferences>
    <we:reference id="WA200009404" version="1.0.0.8" store="" storeType="OMEX"/>
  </we:alternateReferences>
  <we:properties>
    <we:property name="claude.fileId" value="&quot;6ec373da-b748-4bab-a164-eec38c4b901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3" workbookViewId="0">
      <selection activeCell="L18" sqref="L18"/>
    </sheetView>
  </sheetViews>
  <sheetFormatPr defaultRowHeight="13.8" x14ac:dyDescent="0.25"/>
  <cols>
    <col min="1" max="1" width="1.59765625" customWidth="1"/>
    <col min="2" max="2" width="3.59765625" customWidth="1"/>
    <col min="3" max="3" width="4.69921875" customWidth="1"/>
    <col min="4" max="4" width="71.09765625" customWidth="1"/>
    <col min="5" max="5" width="32.5" customWidth="1"/>
  </cols>
  <sheetData>
    <row r="1" spans="1:5" s="2" customFormat="1" ht="52.5" customHeight="1" x14ac:dyDescent="0.25">
      <c r="A1" s="1"/>
      <c r="C1" s="8" t="s">
        <v>1004</v>
      </c>
    </row>
    <row r="5" spans="1:5" ht="24" customHeight="1" x14ac:dyDescent="0.4">
      <c r="C5" s="20" t="s">
        <v>1005</v>
      </c>
      <c r="E5" s="21" t="s">
        <v>1040</v>
      </c>
    </row>
    <row r="6" spans="1:5" ht="24" customHeight="1" x14ac:dyDescent="0.25">
      <c r="C6" s="17">
        <v>1</v>
      </c>
      <c r="D6" s="11" t="s">
        <v>1038</v>
      </c>
      <c r="E6" s="12" t="s">
        <v>1041</v>
      </c>
    </row>
    <row r="7" spans="1:5" ht="24" customHeight="1" x14ac:dyDescent="0.25">
      <c r="C7" s="18">
        <v>2</v>
      </c>
      <c r="D7" s="13" t="s">
        <v>1039</v>
      </c>
      <c r="E7" s="14" t="s">
        <v>1042</v>
      </c>
    </row>
    <row r="8" spans="1:5" ht="24" customHeight="1" x14ac:dyDescent="0.25">
      <c r="C8" s="18">
        <v>3</v>
      </c>
      <c r="D8" s="13" t="s">
        <v>1043</v>
      </c>
      <c r="E8" s="14" t="s">
        <v>1044</v>
      </c>
    </row>
    <row r="9" spans="1:5" ht="24" customHeight="1" x14ac:dyDescent="0.25">
      <c r="C9" s="18">
        <v>4</v>
      </c>
      <c r="D9" s="13" t="s">
        <v>1045</v>
      </c>
      <c r="E9" s="14" t="s">
        <v>1046</v>
      </c>
    </row>
    <row r="10" spans="1:5" ht="24" customHeight="1" x14ac:dyDescent="0.25">
      <c r="C10" s="18">
        <v>5</v>
      </c>
      <c r="D10" s="13" t="s">
        <v>1047</v>
      </c>
      <c r="E10" s="14" t="s">
        <v>1048</v>
      </c>
    </row>
    <row r="11" spans="1:5" ht="24" customHeight="1" x14ac:dyDescent="0.25">
      <c r="C11" s="18">
        <v>6</v>
      </c>
      <c r="D11" s="13" t="s">
        <v>1049</v>
      </c>
      <c r="E11" s="14" t="s">
        <v>1050</v>
      </c>
    </row>
    <row r="12" spans="1:5" ht="24" customHeight="1" x14ac:dyDescent="0.25">
      <c r="C12" s="18">
        <v>7</v>
      </c>
      <c r="D12" s="13" t="s">
        <v>1055</v>
      </c>
      <c r="E12" s="14" t="s">
        <v>1056</v>
      </c>
    </row>
    <row r="13" spans="1:5" ht="24" customHeight="1" x14ac:dyDescent="0.25">
      <c r="C13" s="18">
        <v>8</v>
      </c>
      <c r="D13" s="13" t="s">
        <v>1052</v>
      </c>
      <c r="E13" s="14" t="s">
        <v>1051</v>
      </c>
    </row>
    <row r="14" spans="1:5" ht="24" customHeight="1" x14ac:dyDescent="0.25">
      <c r="C14" s="18">
        <v>9</v>
      </c>
      <c r="D14" s="13" t="s">
        <v>1053</v>
      </c>
      <c r="E14" s="14" t="s">
        <v>1061</v>
      </c>
    </row>
    <row r="15" spans="1:5" ht="24" customHeight="1" x14ac:dyDescent="0.25">
      <c r="C15" s="19">
        <v>10</v>
      </c>
      <c r="D15" s="15" t="s">
        <v>1054</v>
      </c>
      <c r="E15" s="16" t="s">
        <v>1051</v>
      </c>
    </row>
    <row r="17" spans="3:4" ht="24" customHeight="1" x14ac:dyDescent="0.25">
      <c r="C17" s="17" t="s">
        <v>1057</v>
      </c>
      <c r="D17" s="11" t="s">
        <v>1059</v>
      </c>
    </row>
    <row r="18" spans="3:4" ht="24" customHeight="1" x14ac:dyDescent="0.25">
      <c r="C18" s="19" t="s">
        <v>1058</v>
      </c>
      <c r="D18" s="15"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15A92-4E7E-4D9F-AF5A-2D28A1033CD7}">
  <dimension ref="A2:C22"/>
  <sheetViews>
    <sheetView zoomScale="89" workbookViewId="0">
      <selection activeCell="C21" sqref="C21"/>
    </sheetView>
  </sheetViews>
  <sheetFormatPr defaultRowHeight="13.8" x14ac:dyDescent="0.25"/>
  <cols>
    <col min="1" max="1" width="12.5" customWidth="1"/>
    <col min="2" max="2" width="18.69921875" customWidth="1"/>
    <col min="3" max="3" width="33.296875" customWidth="1"/>
  </cols>
  <sheetData>
    <row r="2" spans="1:3" x14ac:dyDescent="0.25">
      <c r="A2" s="34" t="s">
        <v>1062</v>
      </c>
      <c r="B2" t="s">
        <v>1064</v>
      </c>
      <c r="C2" t="s">
        <v>1065</v>
      </c>
    </row>
    <row r="3" spans="1:3" x14ac:dyDescent="0.25">
      <c r="A3" s="35" t="s">
        <v>17</v>
      </c>
      <c r="B3">
        <v>65</v>
      </c>
      <c r="C3" s="37">
        <v>3.8307692307692309</v>
      </c>
    </row>
    <row r="4" spans="1:3" x14ac:dyDescent="0.25">
      <c r="A4" s="35" t="s">
        <v>24</v>
      </c>
      <c r="B4">
        <v>63</v>
      </c>
      <c r="C4" s="37">
        <v>4.0730158730158736</v>
      </c>
    </row>
    <row r="5" spans="1:3" x14ac:dyDescent="0.25">
      <c r="A5" s="35" t="s">
        <v>20</v>
      </c>
      <c r="B5">
        <v>50</v>
      </c>
      <c r="C5" s="37">
        <v>4.0179999999999998</v>
      </c>
    </row>
    <row r="6" spans="1:3" x14ac:dyDescent="0.25">
      <c r="A6" s="35" t="s">
        <v>12</v>
      </c>
      <c r="B6">
        <v>82</v>
      </c>
      <c r="C6" s="37">
        <v>3.976829268292684</v>
      </c>
    </row>
    <row r="7" spans="1:3" x14ac:dyDescent="0.25">
      <c r="A7" s="35" t="s">
        <v>23</v>
      </c>
      <c r="B7">
        <v>79</v>
      </c>
      <c r="C7" s="37">
        <v>3.9797468354430396</v>
      </c>
    </row>
    <row r="8" spans="1:3" x14ac:dyDescent="0.25">
      <c r="A8" s="35" t="s">
        <v>7</v>
      </c>
      <c r="B8">
        <v>62</v>
      </c>
      <c r="C8" s="37">
        <v>3.7774193548387092</v>
      </c>
    </row>
    <row r="9" spans="1:3" x14ac:dyDescent="0.25">
      <c r="A9" s="35" t="s">
        <v>15</v>
      </c>
      <c r="B9">
        <v>67</v>
      </c>
      <c r="C9" s="37">
        <v>3.8522388059701487</v>
      </c>
    </row>
    <row r="10" spans="1:3" x14ac:dyDescent="0.25">
      <c r="A10" s="35" t="s">
        <v>5</v>
      </c>
      <c r="B10">
        <v>59</v>
      </c>
      <c r="C10" s="37">
        <v>3.901694915254236</v>
      </c>
    </row>
    <row r="11" spans="1:3" x14ac:dyDescent="0.25">
      <c r="A11" s="35" t="s">
        <v>22</v>
      </c>
      <c r="B11">
        <v>69</v>
      </c>
      <c r="C11" s="37">
        <v>3.62608695652174</v>
      </c>
    </row>
    <row r="12" spans="1:3" x14ac:dyDescent="0.25">
      <c r="A12" s="35" t="s">
        <v>18</v>
      </c>
      <c r="B12">
        <v>72</v>
      </c>
      <c r="C12" s="37">
        <v>3.863888888888888</v>
      </c>
    </row>
    <row r="13" spans="1:3" x14ac:dyDescent="0.25">
      <c r="A13" s="35" t="s">
        <v>8</v>
      </c>
      <c r="B13">
        <v>74</v>
      </c>
      <c r="C13" s="37">
        <v>3.9837837837837853</v>
      </c>
    </row>
    <row r="14" spans="1:3" x14ac:dyDescent="0.25">
      <c r="A14" s="35" t="s">
        <v>16</v>
      </c>
      <c r="B14">
        <v>70</v>
      </c>
      <c r="C14" s="37">
        <v>4.1300000000000008</v>
      </c>
    </row>
    <row r="15" spans="1:3" x14ac:dyDescent="0.25">
      <c r="A15" s="35" t="s">
        <v>14</v>
      </c>
      <c r="B15">
        <v>69</v>
      </c>
      <c r="C15" s="37">
        <v>3.7753623188405814</v>
      </c>
    </row>
    <row r="16" spans="1:3" x14ac:dyDescent="0.25">
      <c r="A16" s="35" t="s">
        <v>21</v>
      </c>
      <c r="B16">
        <v>60</v>
      </c>
      <c r="C16" s="37">
        <v>3.609999999999999</v>
      </c>
    </row>
    <row r="17" spans="1:3" x14ac:dyDescent="0.25">
      <c r="A17" s="35" t="s">
        <v>19</v>
      </c>
      <c r="B17">
        <v>59</v>
      </c>
      <c r="C17" s="37">
        <v>3.8389830508474563</v>
      </c>
    </row>
    <row r="18" spans="1:3" x14ac:dyDescent="0.25">
      <c r="A18" s="35" t="s">
        <v>1063</v>
      </c>
      <c r="B18">
        <v>1000</v>
      </c>
      <c r="C18" s="37">
        <v>3.8854000000000029</v>
      </c>
    </row>
    <row r="22" spans="1:3" ht="24.6" x14ac:dyDescent="0.4">
      <c r="A22" s="36"/>
      <c r="B22"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0FDF-E891-45B2-9D6F-4D044B384668}">
  <dimension ref="C7:D177"/>
  <sheetViews>
    <sheetView workbookViewId="0">
      <selection activeCell="C176" sqref="C176"/>
    </sheetView>
  </sheetViews>
  <sheetFormatPr defaultRowHeight="13.8" x14ac:dyDescent="0.25"/>
  <cols>
    <col min="3" max="3" width="12.19921875" customWidth="1"/>
    <col min="4" max="4" width="18.5" customWidth="1"/>
    <col min="5" max="5" width="14.19921875" customWidth="1"/>
  </cols>
  <sheetData>
    <row r="7" spans="3:4" x14ac:dyDescent="0.25">
      <c r="C7" s="34" t="s">
        <v>1062</v>
      </c>
      <c r="D7" t="s">
        <v>1068</v>
      </c>
    </row>
    <row r="8" spans="3:4" x14ac:dyDescent="0.25">
      <c r="C8" s="35" t="s">
        <v>1069</v>
      </c>
      <c r="D8">
        <v>27</v>
      </c>
    </row>
    <row r="9" spans="3:4" x14ac:dyDescent="0.25">
      <c r="C9" s="41">
        <v>2</v>
      </c>
      <c r="D9">
        <v>1</v>
      </c>
    </row>
    <row r="10" spans="3:4" x14ac:dyDescent="0.25">
      <c r="C10" s="41">
        <v>4</v>
      </c>
      <c r="D10">
        <v>1</v>
      </c>
    </row>
    <row r="11" spans="3:4" x14ac:dyDescent="0.25">
      <c r="C11" s="41">
        <v>6</v>
      </c>
      <c r="D11">
        <v>3</v>
      </c>
    </row>
    <row r="12" spans="3:4" x14ac:dyDescent="0.25">
      <c r="C12" s="41">
        <v>7</v>
      </c>
      <c r="D12">
        <v>1</v>
      </c>
    </row>
    <row r="13" spans="3:4" x14ac:dyDescent="0.25">
      <c r="C13" s="41">
        <v>8</v>
      </c>
      <c r="D13">
        <v>2</v>
      </c>
    </row>
    <row r="14" spans="3:4" x14ac:dyDescent="0.25">
      <c r="C14" s="41">
        <v>10</v>
      </c>
      <c r="D14">
        <v>1</v>
      </c>
    </row>
    <row r="15" spans="3:4" x14ac:dyDescent="0.25">
      <c r="C15" s="41">
        <v>11</v>
      </c>
      <c r="D15">
        <v>1</v>
      </c>
    </row>
    <row r="16" spans="3:4" x14ac:dyDescent="0.25">
      <c r="C16" s="41">
        <v>12</v>
      </c>
      <c r="D16">
        <v>1</v>
      </c>
    </row>
    <row r="17" spans="3:4" x14ac:dyDescent="0.25">
      <c r="C17" s="41">
        <v>13</v>
      </c>
      <c r="D17">
        <v>2</v>
      </c>
    </row>
    <row r="18" spans="3:4" x14ac:dyDescent="0.25">
      <c r="C18" s="41">
        <v>14</v>
      </c>
      <c r="D18">
        <v>1</v>
      </c>
    </row>
    <row r="19" spans="3:4" x14ac:dyDescent="0.25">
      <c r="C19" s="41">
        <v>15</v>
      </c>
      <c r="D19">
        <v>2</v>
      </c>
    </row>
    <row r="20" spans="3:4" x14ac:dyDescent="0.25">
      <c r="C20" s="41">
        <v>17</v>
      </c>
      <c r="D20">
        <v>2</v>
      </c>
    </row>
    <row r="21" spans="3:4" x14ac:dyDescent="0.25">
      <c r="C21" s="41">
        <v>18</v>
      </c>
      <c r="D21">
        <v>4</v>
      </c>
    </row>
    <row r="22" spans="3:4" x14ac:dyDescent="0.25">
      <c r="C22" s="41">
        <v>19</v>
      </c>
      <c r="D22">
        <v>3</v>
      </c>
    </row>
    <row r="23" spans="3:4" x14ac:dyDescent="0.25">
      <c r="C23" s="41">
        <v>20</v>
      </c>
      <c r="D23">
        <v>2</v>
      </c>
    </row>
    <row r="24" spans="3:4" x14ac:dyDescent="0.25">
      <c r="C24" s="35" t="s">
        <v>1070</v>
      </c>
      <c r="D24">
        <v>77</v>
      </c>
    </row>
    <row r="25" spans="3:4" x14ac:dyDescent="0.25">
      <c r="C25" s="41">
        <v>21</v>
      </c>
      <c r="D25">
        <v>4</v>
      </c>
    </row>
    <row r="26" spans="3:4" x14ac:dyDescent="0.25">
      <c r="C26" s="41">
        <v>23</v>
      </c>
      <c r="D26">
        <v>4</v>
      </c>
    </row>
    <row r="27" spans="3:4" x14ac:dyDescent="0.25">
      <c r="C27" s="41">
        <v>24</v>
      </c>
      <c r="D27">
        <v>1</v>
      </c>
    </row>
    <row r="28" spans="3:4" x14ac:dyDescent="0.25">
      <c r="C28" s="41">
        <v>25</v>
      </c>
      <c r="D28">
        <v>5</v>
      </c>
    </row>
    <row r="29" spans="3:4" x14ac:dyDescent="0.25">
      <c r="C29" s="41">
        <v>26</v>
      </c>
      <c r="D29">
        <v>3</v>
      </c>
    </row>
    <row r="30" spans="3:4" x14ac:dyDescent="0.25">
      <c r="C30" s="41">
        <v>27</v>
      </c>
      <c r="D30">
        <v>2</v>
      </c>
    </row>
    <row r="31" spans="3:4" x14ac:dyDescent="0.25">
      <c r="C31" s="41">
        <v>28</v>
      </c>
      <c r="D31">
        <v>6</v>
      </c>
    </row>
    <row r="32" spans="3:4" x14ac:dyDescent="0.25">
      <c r="C32" s="41">
        <v>29</v>
      </c>
      <c r="D32">
        <v>2</v>
      </c>
    </row>
    <row r="33" spans="3:4" x14ac:dyDescent="0.25">
      <c r="C33" s="41">
        <v>30</v>
      </c>
      <c r="D33">
        <v>6</v>
      </c>
    </row>
    <row r="34" spans="3:4" x14ac:dyDescent="0.25">
      <c r="C34" s="41">
        <v>31</v>
      </c>
      <c r="D34">
        <v>9</v>
      </c>
    </row>
    <row r="35" spans="3:4" x14ac:dyDescent="0.25">
      <c r="C35" s="41">
        <v>32</v>
      </c>
      <c r="D35">
        <v>3</v>
      </c>
    </row>
    <row r="36" spans="3:4" x14ac:dyDescent="0.25">
      <c r="C36" s="41">
        <v>33</v>
      </c>
      <c r="D36">
        <v>3</v>
      </c>
    </row>
    <row r="37" spans="3:4" x14ac:dyDescent="0.25">
      <c r="C37" s="41">
        <v>34</v>
      </c>
      <c r="D37">
        <v>2</v>
      </c>
    </row>
    <row r="38" spans="3:4" x14ac:dyDescent="0.25">
      <c r="C38" s="41">
        <v>35</v>
      </c>
      <c r="D38">
        <v>2</v>
      </c>
    </row>
    <row r="39" spans="3:4" x14ac:dyDescent="0.25">
      <c r="C39" s="41">
        <v>36</v>
      </c>
      <c r="D39">
        <v>4</v>
      </c>
    </row>
    <row r="40" spans="3:4" x14ac:dyDescent="0.25">
      <c r="C40" s="41">
        <v>37</v>
      </c>
      <c r="D40">
        <v>4</v>
      </c>
    </row>
    <row r="41" spans="3:4" x14ac:dyDescent="0.25">
      <c r="C41" s="41">
        <v>38</v>
      </c>
      <c r="D41">
        <v>5</v>
      </c>
    </row>
    <row r="42" spans="3:4" x14ac:dyDescent="0.25">
      <c r="C42" s="41">
        <v>39</v>
      </c>
      <c r="D42">
        <v>4</v>
      </c>
    </row>
    <row r="43" spans="3:4" x14ac:dyDescent="0.25">
      <c r="C43" s="41">
        <v>40</v>
      </c>
      <c r="D43">
        <v>8</v>
      </c>
    </row>
    <row r="44" spans="3:4" x14ac:dyDescent="0.25">
      <c r="C44" s="35" t="s">
        <v>1071</v>
      </c>
      <c r="D44">
        <v>489</v>
      </c>
    </row>
    <row r="45" spans="3:4" x14ac:dyDescent="0.25">
      <c r="C45" s="41">
        <v>41</v>
      </c>
      <c r="D45">
        <v>6</v>
      </c>
    </row>
    <row r="46" spans="3:4" x14ac:dyDescent="0.25">
      <c r="C46" s="41">
        <v>42</v>
      </c>
      <c r="D46">
        <v>3</v>
      </c>
    </row>
    <row r="47" spans="3:4" x14ac:dyDescent="0.25">
      <c r="C47" s="41">
        <v>43</v>
      </c>
      <c r="D47">
        <v>7</v>
      </c>
    </row>
    <row r="48" spans="3:4" x14ac:dyDescent="0.25">
      <c r="C48" s="41">
        <v>44</v>
      </c>
      <c r="D48">
        <v>4</v>
      </c>
    </row>
    <row r="49" spans="3:4" x14ac:dyDescent="0.25">
      <c r="C49" s="41">
        <v>45</v>
      </c>
      <c r="D49">
        <v>7</v>
      </c>
    </row>
    <row r="50" spans="3:4" x14ac:dyDescent="0.25">
      <c r="C50" s="41">
        <v>46</v>
      </c>
      <c r="D50">
        <v>2</v>
      </c>
    </row>
    <row r="51" spans="3:4" x14ac:dyDescent="0.25">
      <c r="C51" s="41">
        <v>47</v>
      </c>
      <c r="D51">
        <v>4</v>
      </c>
    </row>
    <row r="52" spans="3:4" x14ac:dyDescent="0.25">
      <c r="C52" s="41">
        <v>48</v>
      </c>
      <c r="D52">
        <v>5</v>
      </c>
    </row>
    <row r="53" spans="3:4" x14ac:dyDescent="0.25">
      <c r="C53" s="41">
        <v>49</v>
      </c>
      <c r="D53">
        <v>8</v>
      </c>
    </row>
    <row r="54" spans="3:4" x14ac:dyDescent="0.25">
      <c r="C54" s="41">
        <v>50</v>
      </c>
      <c r="D54">
        <v>9</v>
      </c>
    </row>
    <row r="55" spans="3:4" x14ac:dyDescent="0.25">
      <c r="C55" s="41">
        <v>51</v>
      </c>
      <c r="D55">
        <v>4</v>
      </c>
    </row>
    <row r="56" spans="3:4" x14ac:dyDescent="0.25">
      <c r="C56" s="41">
        <v>52</v>
      </c>
      <c r="D56">
        <v>8</v>
      </c>
    </row>
    <row r="57" spans="3:4" x14ac:dyDescent="0.25">
      <c r="C57" s="41">
        <v>53</v>
      </c>
      <c r="D57">
        <v>6</v>
      </c>
    </row>
    <row r="58" spans="3:4" x14ac:dyDescent="0.25">
      <c r="C58" s="41">
        <v>54</v>
      </c>
      <c r="D58">
        <v>8</v>
      </c>
    </row>
    <row r="59" spans="3:4" x14ac:dyDescent="0.25">
      <c r="C59" s="41">
        <v>55</v>
      </c>
      <c r="D59">
        <v>10</v>
      </c>
    </row>
    <row r="60" spans="3:4" x14ac:dyDescent="0.25">
      <c r="C60" s="41">
        <v>56</v>
      </c>
      <c r="D60">
        <v>13</v>
      </c>
    </row>
    <row r="61" spans="3:4" x14ac:dyDescent="0.25">
      <c r="C61" s="41">
        <v>57</v>
      </c>
      <c r="D61">
        <v>4</v>
      </c>
    </row>
    <row r="62" spans="3:4" x14ac:dyDescent="0.25">
      <c r="C62" s="41">
        <v>58</v>
      </c>
      <c r="D62">
        <v>8</v>
      </c>
    </row>
    <row r="63" spans="3:4" x14ac:dyDescent="0.25">
      <c r="C63" s="41">
        <v>59</v>
      </c>
      <c r="D63">
        <v>9</v>
      </c>
    </row>
    <row r="64" spans="3:4" x14ac:dyDescent="0.25">
      <c r="C64" s="41">
        <v>60</v>
      </c>
      <c r="D64">
        <v>10</v>
      </c>
    </row>
    <row r="65" spans="3:4" x14ac:dyDescent="0.25">
      <c r="C65" s="41">
        <v>61</v>
      </c>
      <c r="D65">
        <v>10</v>
      </c>
    </row>
    <row r="66" spans="3:4" x14ac:dyDescent="0.25">
      <c r="C66" s="41">
        <v>62</v>
      </c>
      <c r="D66">
        <v>8</v>
      </c>
    </row>
    <row r="67" spans="3:4" x14ac:dyDescent="0.25">
      <c r="C67" s="41">
        <v>63</v>
      </c>
      <c r="D67">
        <v>15</v>
      </c>
    </row>
    <row r="68" spans="3:4" x14ac:dyDescent="0.25">
      <c r="C68" s="41">
        <v>64</v>
      </c>
      <c r="D68">
        <v>12</v>
      </c>
    </row>
    <row r="69" spans="3:4" x14ac:dyDescent="0.25">
      <c r="C69" s="41">
        <v>65</v>
      </c>
      <c r="D69">
        <v>6</v>
      </c>
    </row>
    <row r="70" spans="3:4" x14ac:dyDescent="0.25">
      <c r="C70" s="41">
        <v>66</v>
      </c>
      <c r="D70">
        <v>5</v>
      </c>
    </row>
    <row r="71" spans="3:4" x14ac:dyDescent="0.25">
      <c r="C71" s="41">
        <v>67</v>
      </c>
      <c r="D71">
        <v>12</v>
      </c>
    </row>
    <row r="72" spans="3:4" x14ac:dyDescent="0.25">
      <c r="C72" s="41">
        <v>68</v>
      </c>
      <c r="D72">
        <v>5</v>
      </c>
    </row>
    <row r="73" spans="3:4" x14ac:dyDescent="0.25">
      <c r="C73" s="41">
        <v>69</v>
      </c>
      <c r="D73">
        <v>13</v>
      </c>
    </row>
    <row r="74" spans="3:4" x14ac:dyDescent="0.25">
      <c r="C74" s="41">
        <v>70</v>
      </c>
      <c r="D74">
        <v>8</v>
      </c>
    </row>
    <row r="75" spans="3:4" x14ac:dyDescent="0.25">
      <c r="C75" s="41">
        <v>71</v>
      </c>
      <c r="D75">
        <v>10</v>
      </c>
    </row>
    <row r="76" spans="3:4" x14ac:dyDescent="0.25">
      <c r="C76" s="41">
        <v>72</v>
      </c>
      <c r="D76">
        <v>8</v>
      </c>
    </row>
    <row r="77" spans="3:4" x14ac:dyDescent="0.25">
      <c r="C77" s="41">
        <v>73</v>
      </c>
      <c r="D77">
        <v>11</v>
      </c>
    </row>
    <row r="78" spans="3:4" x14ac:dyDescent="0.25">
      <c r="C78" s="41">
        <v>74</v>
      </c>
      <c r="D78">
        <v>10</v>
      </c>
    </row>
    <row r="79" spans="3:4" x14ac:dyDescent="0.25">
      <c r="C79" s="41">
        <v>75</v>
      </c>
      <c r="D79">
        <v>13</v>
      </c>
    </row>
    <row r="80" spans="3:4" x14ac:dyDescent="0.25">
      <c r="C80" s="41">
        <v>76</v>
      </c>
      <c r="D80">
        <v>11</v>
      </c>
    </row>
    <row r="81" spans="3:4" x14ac:dyDescent="0.25">
      <c r="C81" s="41">
        <v>77</v>
      </c>
      <c r="D81">
        <v>3</v>
      </c>
    </row>
    <row r="82" spans="3:4" x14ac:dyDescent="0.25">
      <c r="C82" s="41">
        <v>78</v>
      </c>
      <c r="D82">
        <v>11</v>
      </c>
    </row>
    <row r="83" spans="3:4" x14ac:dyDescent="0.25">
      <c r="C83" s="41">
        <v>79</v>
      </c>
      <c r="D83">
        <v>6</v>
      </c>
    </row>
    <row r="84" spans="3:4" x14ac:dyDescent="0.25">
      <c r="C84" s="41">
        <v>80</v>
      </c>
      <c r="D84">
        <v>11</v>
      </c>
    </row>
    <row r="85" spans="3:4" x14ac:dyDescent="0.25">
      <c r="C85" s="41">
        <v>81</v>
      </c>
      <c r="D85">
        <v>14</v>
      </c>
    </row>
    <row r="86" spans="3:4" x14ac:dyDescent="0.25">
      <c r="C86" s="41">
        <v>82</v>
      </c>
      <c r="D86">
        <v>6</v>
      </c>
    </row>
    <row r="87" spans="3:4" x14ac:dyDescent="0.25">
      <c r="C87" s="41">
        <v>83</v>
      </c>
      <c r="D87">
        <v>3</v>
      </c>
    </row>
    <row r="88" spans="3:4" x14ac:dyDescent="0.25">
      <c r="C88" s="41">
        <v>84</v>
      </c>
      <c r="D88">
        <v>11</v>
      </c>
    </row>
    <row r="89" spans="3:4" x14ac:dyDescent="0.25">
      <c r="C89" s="41">
        <v>85</v>
      </c>
      <c r="D89">
        <v>5</v>
      </c>
    </row>
    <row r="90" spans="3:4" x14ac:dyDescent="0.25">
      <c r="C90" s="41">
        <v>86</v>
      </c>
      <c r="D90">
        <v>6</v>
      </c>
    </row>
    <row r="91" spans="3:4" x14ac:dyDescent="0.25">
      <c r="C91" s="41">
        <v>87</v>
      </c>
      <c r="D91">
        <v>6</v>
      </c>
    </row>
    <row r="92" spans="3:4" x14ac:dyDescent="0.25">
      <c r="C92" s="41">
        <v>88</v>
      </c>
      <c r="D92">
        <v>9</v>
      </c>
    </row>
    <row r="93" spans="3:4" x14ac:dyDescent="0.25">
      <c r="C93" s="41">
        <v>89</v>
      </c>
      <c r="D93">
        <v>14</v>
      </c>
    </row>
    <row r="94" spans="3:4" x14ac:dyDescent="0.25">
      <c r="C94" s="41">
        <v>90</v>
      </c>
      <c r="D94">
        <v>10</v>
      </c>
    </row>
    <row r="95" spans="3:4" x14ac:dyDescent="0.25">
      <c r="C95" s="41">
        <v>91</v>
      </c>
      <c r="D95">
        <v>6</v>
      </c>
    </row>
    <row r="96" spans="3:4" x14ac:dyDescent="0.25">
      <c r="C96" s="41">
        <v>92</v>
      </c>
      <c r="D96">
        <v>3</v>
      </c>
    </row>
    <row r="97" spans="3:4" x14ac:dyDescent="0.25">
      <c r="C97" s="41">
        <v>93</v>
      </c>
      <c r="D97">
        <v>8</v>
      </c>
    </row>
    <row r="98" spans="3:4" x14ac:dyDescent="0.25">
      <c r="C98" s="41">
        <v>94</v>
      </c>
      <c r="D98">
        <v>10</v>
      </c>
    </row>
    <row r="99" spans="3:4" x14ac:dyDescent="0.25">
      <c r="C99" s="41">
        <v>95</v>
      </c>
      <c r="D99">
        <v>15</v>
      </c>
    </row>
    <row r="100" spans="3:4" x14ac:dyDescent="0.25">
      <c r="C100" s="41">
        <v>96</v>
      </c>
      <c r="D100">
        <v>15</v>
      </c>
    </row>
    <row r="101" spans="3:4" x14ac:dyDescent="0.25">
      <c r="C101" s="41">
        <v>97</v>
      </c>
      <c r="D101">
        <v>4</v>
      </c>
    </row>
    <row r="102" spans="3:4" x14ac:dyDescent="0.25">
      <c r="C102" s="41">
        <v>98</v>
      </c>
      <c r="D102">
        <v>5</v>
      </c>
    </row>
    <row r="103" spans="3:4" x14ac:dyDescent="0.25">
      <c r="C103" s="41">
        <v>99</v>
      </c>
      <c r="D103">
        <v>8</v>
      </c>
    </row>
    <row r="104" spans="3:4" x14ac:dyDescent="0.25">
      <c r="C104" s="41">
        <v>100</v>
      </c>
      <c r="D104">
        <v>8</v>
      </c>
    </row>
    <row r="105" spans="3:4" x14ac:dyDescent="0.25">
      <c r="C105" s="35" t="s">
        <v>1072</v>
      </c>
      <c r="D105">
        <v>349</v>
      </c>
    </row>
    <row r="106" spans="3:4" x14ac:dyDescent="0.25">
      <c r="C106" s="41">
        <v>101</v>
      </c>
      <c r="D106">
        <v>9</v>
      </c>
    </row>
    <row r="107" spans="3:4" x14ac:dyDescent="0.25">
      <c r="C107" s="41">
        <v>102</v>
      </c>
      <c r="D107">
        <v>9</v>
      </c>
    </row>
    <row r="108" spans="3:4" x14ac:dyDescent="0.25">
      <c r="C108" s="41">
        <v>103</v>
      </c>
      <c r="D108">
        <v>15</v>
      </c>
    </row>
    <row r="109" spans="3:4" x14ac:dyDescent="0.25">
      <c r="C109" s="41">
        <v>104</v>
      </c>
      <c r="D109">
        <v>9</v>
      </c>
    </row>
    <row r="110" spans="3:4" x14ac:dyDescent="0.25">
      <c r="C110" s="41">
        <v>105</v>
      </c>
      <c r="D110">
        <v>9</v>
      </c>
    </row>
    <row r="111" spans="3:4" x14ac:dyDescent="0.25">
      <c r="C111" s="41">
        <v>106</v>
      </c>
      <c r="D111">
        <v>9</v>
      </c>
    </row>
    <row r="112" spans="3:4" x14ac:dyDescent="0.25">
      <c r="C112" s="41">
        <v>107</v>
      </c>
      <c r="D112">
        <v>11</v>
      </c>
    </row>
    <row r="113" spans="3:4" x14ac:dyDescent="0.25">
      <c r="C113" s="41">
        <v>108</v>
      </c>
      <c r="D113">
        <v>10</v>
      </c>
    </row>
    <row r="114" spans="3:4" x14ac:dyDescent="0.25">
      <c r="C114" s="41">
        <v>109</v>
      </c>
      <c r="D114">
        <v>8</v>
      </c>
    </row>
    <row r="115" spans="3:4" x14ac:dyDescent="0.25">
      <c r="C115" s="41">
        <v>110</v>
      </c>
      <c r="D115">
        <v>12</v>
      </c>
    </row>
    <row r="116" spans="3:4" x14ac:dyDescent="0.25">
      <c r="C116" s="41">
        <v>111</v>
      </c>
      <c r="D116">
        <v>11</v>
      </c>
    </row>
    <row r="117" spans="3:4" x14ac:dyDescent="0.25">
      <c r="C117" s="41">
        <v>112</v>
      </c>
      <c r="D117">
        <v>2</v>
      </c>
    </row>
    <row r="118" spans="3:4" x14ac:dyDescent="0.25">
      <c r="C118" s="41">
        <v>113</v>
      </c>
      <c r="D118">
        <v>10</v>
      </c>
    </row>
    <row r="119" spans="3:4" x14ac:dyDescent="0.25">
      <c r="C119" s="41">
        <v>114</v>
      </c>
      <c r="D119">
        <v>10</v>
      </c>
    </row>
    <row r="120" spans="3:4" x14ac:dyDescent="0.25">
      <c r="C120" s="41">
        <v>115</v>
      </c>
      <c r="D120">
        <v>7</v>
      </c>
    </row>
    <row r="121" spans="3:4" x14ac:dyDescent="0.25">
      <c r="C121" s="41">
        <v>116</v>
      </c>
      <c r="D121">
        <v>6</v>
      </c>
    </row>
    <row r="122" spans="3:4" x14ac:dyDescent="0.25">
      <c r="C122" s="41">
        <v>117</v>
      </c>
      <c r="D122">
        <v>6</v>
      </c>
    </row>
    <row r="123" spans="3:4" x14ac:dyDescent="0.25">
      <c r="C123" s="41">
        <v>118</v>
      </c>
      <c r="D123">
        <v>3</v>
      </c>
    </row>
    <row r="124" spans="3:4" x14ac:dyDescent="0.25">
      <c r="C124" s="41">
        <v>119</v>
      </c>
      <c r="D124">
        <v>7</v>
      </c>
    </row>
    <row r="125" spans="3:4" x14ac:dyDescent="0.25">
      <c r="C125" s="41">
        <v>120</v>
      </c>
      <c r="D125">
        <v>7</v>
      </c>
    </row>
    <row r="126" spans="3:4" x14ac:dyDescent="0.25">
      <c r="C126" s="41">
        <v>121</v>
      </c>
      <c r="D126">
        <v>3</v>
      </c>
    </row>
    <row r="127" spans="3:4" x14ac:dyDescent="0.25">
      <c r="C127" s="41">
        <v>122</v>
      </c>
      <c r="D127">
        <v>2</v>
      </c>
    </row>
    <row r="128" spans="3:4" x14ac:dyDescent="0.25">
      <c r="C128" s="41">
        <v>123</v>
      </c>
      <c r="D128">
        <v>7</v>
      </c>
    </row>
    <row r="129" spans="3:4" x14ac:dyDescent="0.25">
      <c r="C129" s="41">
        <v>124</v>
      </c>
      <c r="D129">
        <v>11</v>
      </c>
    </row>
    <row r="130" spans="3:4" x14ac:dyDescent="0.25">
      <c r="C130" s="41">
        <v>125</v>
      </c>
      <c r="D130">
        <v>5</v>
      </c>
    </row>
    <row r="131" spans="3:4" x14ac:dyDescent="0.25">
      <c r="C131" s="41">
        <v>126</v>
      </c>
      <c r="D131">
        <v>11</v>
      </c>
    </row>
    <row r="132" spans="3:4" x14ac:dyDescent="0.25">
      <c r="C132" s="41">
        <v>127</v>
      </c>
      <c r="D132">
        <v>9</v>
      </c>
    </row>
    <row r="133" spans="3:4" x14ac:dyDescent="0.25">
      <c r="C133" s="41">
        <v>128</v>
      </c>
      <c r="D133">
        <v>8</v>
      </c>
    </row>
    <row r="134" spans="3:4" x14ac:dyDescent="0.25">
      <c r="C134" s="41">
        <v>129</v>
      </c>
      <c r="D134">
        <v>4</v>
      </c>
    </row>
    <row r="135" spans="3:4" x14ac:dyDescent="0.25">
      <c r="C135" s="41">
        <v>130</v>
      </c>
      <c r="D135">
        <v>6</v>
      </c>
    </row>
    <row r="136" spans="3:4" x14ac:dyDescent="0.25">
      <c r="C136" s="41">
        <v>131</v>
      </c>
      <c r="D136">
        <v>11</v>
      </c>
    </row>
    <row r="137" spans="3:4" x14ac:dyDescent="0.25">
      <c r="C137" s="41">
        <v>132</v>
      </c>
      <c r="D137">
        <v>7</v>
      </c>
    </row>
    <row r="138" spans="3:4" x14ac:dyDescent="0.25">
      <c r="C138" s="41">
        <v>133</v>
      </c>
      <c r="D138">
        <v>8</v>
      </c>
    </row>
    <row r="139" spans="3:4" x14ac:dyDescent="0.25">
      <c r="C139" s="41">
        <v>134</v>
      </c>
      <c r="D139">
        <v>6</v>
      </c>
    </row>
    <row r="140" spans="3:4" x14ac:dyDescent="0.25">
      <c r="C140" s="41">
        <v>135</v>
      </c>
      <c r="D140">
        <v>7</v>
      </c>
    </row>
    <row r="141" spans="3:4" x14ac:dyDescent="0.25">
      <c r="C141" s="41">
        <v>136</v>
      </c>
      <c r="D141">
        <v>2</v>
      </c>
    </row>
    <row r="142" spans="3:4" x14ac:dyDescent="0.25">
      <c r="C142" s="41">
        <v>137</v>
      </c>
      <c r="D142">
        <v>9</v>
      </c>
    </row>
    <row r="143" spans="3:4" x14ac:dyDescent="0.25">
      <c r="C143" s="41">
        <v>138</v>
      </c>
      <c r="D143">
        <v>6</v>
      </c>
    </row>
    <row r="144" spans="3:4" x14ac:dyDescent="0.25">
      <c r="C144" s="41">
        <v>139</v>
      </c>
      <c r="D144">
        <v>8</v>
      </c>
    </row>
    <row r="145" spans="3:4" x14ac:dyDescent="0.25">
      <c r="C145" s="41">
        <v>140</v>
      </c>
      <c r="D145">
        <v>3</v>
      </c>
    </row>
    <row r="146" spans="3:4" x14ac:dyDescent="0.25">
      <c r="C146" s="41">
        <v>141</v>
      </c>
      <c r="D146">
        <v>5</v>
      </c>
    </row>
    <row r="147" spans="3:4" x14ac:dyDescent="0.25">
      <c r="C147" s="41">
        <v>142</v>
      </c>
      <c r="D147">
        <v>6</v>
      </c>
    </row>
    <row r="148" spans="3:4" x14ac:dyDescent="0.25">
      <c r="C148" s="41">
        <v>143</v>
      </c>
      <c r="D148">
        <v>5</v>
      </c>
    </row>
    <row r="149" spans="3:4" x14ac:dyDescent="0.25">
      <c r="C149" s="41">
        <v>144</v>
      </c>
      <c r="D149">
        <v>8</v>
      </c>
    </row>
    <row r="150" spans="3:4" x14ac:dyDescent="0.25">
      <c r="C150" s="41">
        <v>145</v>
      </c>
      <c r="D150">
        <v>3</v>
      </c>
    </row>
    <row r="151" spans="3:4" x14ac:dyDescent="0.25">
      <c r="C151" s="41">
        <v>146</v>
      </c>
      <c r="D151">
        <v>4</v>
      </c>
    </row>
    <row r="152" spans="3:4" x14ac:dyDescent="0.25">
      <c r="C152" s="41">
        <v>147</v>
      </c>
      <c r="D152">
        <v>6</v>
      </c>
    </row>
    <row r="153" spans="3:4" x14ac:dyDescent="0.25">
      <c r="C153" s="41">
        <v>148</v>
      </c>
      <c r="D153">
        <v>1</v>
      </c>
    </row>
    <row r="154" spans="3:4" x14ac:dyDescent="0.25">
      <c r="C154" s="41">
        <v>149</v>
      </c>
      <c r="D154">
        <v>5</v>
      </c>
    </row>
    <row r="155" spans="3:4" x14ac:dyDescent="0.25">
      <c r="C155" s="41">
        <v>150</v>
      </c>
      <c r="D155">
        <v>3</v>
      </c>
    </row>
    <row r="156" spans="3:4" x14ac:dyDescent="0.25">
      <c r="C156" s="35" t="s">
        <v>1073</v>
      </c>
      <c r="D156">
        <v>58</v>
      </c>
    </row>
    <row r="157" spans="3:4" x14ac:dyDescent="0.25">
      <c r="C157" s="41">
        <v>151</v>
      </c>
      <c r="D157">
        <v>5</v>
      </c>
    </row>
    <row r="158" spans="3:4" x14ac:dyDescent="0.25">
      <c r="C158" s="41">
        <v>152</v>
      </c>
      <c r="D158">
        <v>4</v>
      </c>
    </row>
    <row r="159" spans="3:4" x14ac:dyDescent="0.25">
      <c r="C159" s="41">
        <v>153</v>
      </c>
      <c r="D159">
        <v>3</v>
      </c>
    </row>
    <row r="160" spans="3:4" x14ac:dyDescent="0.25">
      <c r="C160" s="41">
        <v>154</v>
      </c>
      <c r="D160">
        <v>5</v>
      </c>
    </row>
    <row r="161" spans="3:4" x14ac:dyDescent="0.25">
      <c r="C161" s="41">
        <v>155</v>
      </c>
      <c r="D161">
        <v>9</v>
      </c>
    </row>
    <row r="162" spans="3:4" x14ac:dyDescent="0.25">
      <c r="C162" s="41">
        <v>156</v>
      </c>
      <c r="D162">
        <v>3</v>
      </c>
    </row>
    <row r="163" spans="3:4" x14ac:dyDescent="0.25">
      <c r="C163" s="41">
        <v>157</v>
      </c>
      <c r="D163">
        <v>2</v>
      </c>
    </row>
    <row r="164" spans="3:4" x14ac:dyDescent="0.25">
      <c r="C164" s="41">
        <v>158</v>
      </c>
      <c r="D164">
        <v>6</v>
      </c>
    </row>
    <row r="165" spans="3:4" x14ac:dyDescent="0.25">
      <c r="C165" s="41">
        <v>159</v>
      </c>
      <c r="D165">
        <v>3</v>
      </c>
    </row>
    <row r="166" spans="3:4" x14ac:dyDescent="0.25">
      <c r="C166" s="41">
        <v>160</v>
      </c>
      <c r="D166">
        <v>2</v>
      </c>
    </row>
    <row r="167" spans="3:4" x14ac:dyDescent="0.25">
      <c r="C167" s="41">
        <v>162</v>
      </c>
      <c r="D167">
        <v>1</v>
      </c>
    </row>
    <row r="168" spans="3:4" x14ac:dyDescent="0.25">
      <c r="C168" s="41">
        <v>163</v>
      </c>
      <c r="D168">
        <v>2</v>
      </c>
    </row>
    <row r="169" spans="3:4" x14ac:dyDescent="0.25">
      <c r="C169" s="41">
        <v>164</v>
      </c>
      <c r="D169">
        <v>2</v>
      </c>
    </row>
    <row r="170" spans="3:4" x14ac:dyDescent="0.25">
      <c r="C170" s="41">
        <v>165</v>
      </c>
      <c r="D170">
        <v>3</v>
      </c>
    </row>
    <row r="171" spans="3:4" x14ac:dyDescent="0.25">
      <c r="C171" s="41">
        <v>166</v>
      </c>
      <c r="D171">
        <v>2</v>
      </c>
    </row>
    <row r="172" spans="3:4" x14ac:dyDescent="0.25">
      <c r="C172" s="41">
        <v>168</v>
      </c>
      <c r="D172">
        <v>2</v>
      </c>
    </row>
    <row r="173" spans="3:4" x14ac:dyDescent="0.25">
      <c r="C173" s="41">
        <v>171</v>
      </c>
      <c r="D173">
        <v>1</v>
      </c>
    </row>
    <row r="174" spans="3:4" x14ac:dyDescent="0.25">
      <c r="C174" s="41">
        <v>172</v>
      </c>
      <c r="D174">
        <v>1</v>
      </c>
    </row>
    <row r="175" spans="3:4" x14ac:dyDescent="0.25">
      <c r="C175" s="41">
        <v>173</v>
      </c>
      <c r="D175">
        <v>1</v>
      </c>
    </row>
    <row r="176" spans="3:4" x14ac:dyDescent="0.25">
      <c r="C176" s="41">
        <v>176</v>
      </c>
      <c r="D176">
        <v>1</v>
      </c>
    </row>
    <row r="177" spans="3:4" x14ac:dyDescent="0.25">
      <c r="C177" s="35" t="s">
        <v>1063</v>
      </c>
      <c r="D177">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2F53C-E8E8-41E2-9935-9916C7BD5263}">
  <dimension ref="A3:H14"/>
  <sheetViews>
    <sheetView topLeftCell="D9" workbookViewId="0">
      <selection activeCell="N14" sqref="N14"/>
    </sheetView>
  </sheetViews>
  <sheetFormatPr defaultRowHeight="13.8" x14ac:dyDescent="0.25"/>
  <cols>
    <col min="1" max="1" width="12.19921875" customWidth="1"/>
    <col min="2" max="2" width="21.69921875" customWidth="1"/>
    <col min="7" max="7" width="17.8984375" customWidth="1"/>
  </cols>
  <sheetData>
    <row r="3" spans="1:8" x14ac:dyDescent="0.25">
      <c r="A3" s="34" t="s">
        <v>1062</v>
      </c>
      <c r="B3" t="s">
        <v>1066</v>
      </c>
    </row>
    <row r="4" spans="1:8" x14ac:dyDescent="0.25">
      <c r="A4" s="35" t="s">
        <v>12</v>
      </c>
      <c r="B4" s="38">
        <v>1991</v>
      </c>
    </row>
    <row r="5" spans="1:8" ht="20.399999999999999" x14ac:dyDescent="0.35">
      <c r="A5" s="35" t="s">
        <v>17</v>
      </c>
      <c r="B5" s="38">
        <v>1655</v>
      </c>
      <c r="E5" s="39" t="s">
        <v>1067</v>
      </c>
      <c r="F5" s="40"/>
      <c r="G5" s="40"/>
      <c r="H5" s="40"/>
    </row>
    <row r="6" spans="1:8" x14ac:dyDescent="0.25">
      <c r="A6" s="35" t="s">
        <v>15</v>
      </c>
      <c r="B6" s="38">
        <v>1598</v>
      </c>
    </row>
    <row r="7" spans="1:8" x14ac:dyDescent="0.25">
      <c r="A7" s="35" t="s">
        <v>16</v>
      </c>
      <c r="B7" s="38">
        <v>1438</v>
      </c>
    </row>
    <row r="8" spans="1:8" x14ac:dyDescent="0.25">
      <c r="A8" s="35" t="s">
        <v>22</v>
      </c>
      <c r="B8" s="38">
        <v>1415</v>
      </c>
    </row>
    <row r="9" spans="1:8" x14ac:dyDescent="0.25">
      <c r="A9" s="35" t="s">
        <v>21</v>
      </c>
      <c r="B9" s="38">
        <v>1362</v>
      </c>
    </row>
    <row r="10" spans="1:8" x14ac:dyDescent="0.25">
      <c r="A10" s="35" t="s">
        <v>14</v>
      </c>
      <c r="B10" s="38">
        <v>1255</v>
      </c>
    </row>
    <row r="11" spans="1:8" x14ac:dyDescent="0.25">
      <c r="A11" s="35" t="s">
        <v>24</v>
      </c>
      <c r="B11" s="38">
        <v>1233</v>
      </c>
    </row>
    <row r="12" spans="1:8" x14ac:dyDescent="0.25">
      <c r="A12" s="35" t="s">
        <v>8</v>
      </c>
      <c r="B12" s="38">
        <v>1163</v>
      </c>
    </row>
    <row r="13" spans="1:8" x14ac:dyDescent="0.25">
      <c r="A13" s="35" t="s">
        <v>19</v>
      </c>
      <c r="B13" s="38">
        <v>1138</v>
      </c>
    </row>
    <row r="14" spans="1:8" x14ac:dyDescent="0.25">
      <c r="A14" s="35" t="s">
        <v>1063</v>
      </c>
      <c r="B14" s="38">
        <v>14248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D8241-5884-485B-853B-55483BA52B52}">
  <dimension ref="A3:L66"/>
  <sheetViews>
    <sheetView topLeftCell="A52" workbookViewId="0">
      <selection activeCell="L57" sqref="L57"/>
    </sheetView>
  </sheetViews>
  <sheetFormatPr defaultRowHeight="13.8" x14ac:dyDescent="0.25"/>
  <cols>
    <col min="1" max="1" width="12.19921875" customWidth="1"/>
    <col min="2" max="2" width="21.69921875" customWidth="1"/>
  </cols>
  <sheetData>
    <row r="3" spans="1:2" x14ac:dyDescent="0.25">
      <c r="A3" s="34" t="s">
        <v>1062</v>
      </c>
      <c r="B3" t="s">
        <v>1066</v>
      </c>
    </row>
    <row r="4" spans="1:2" x14ac:dyDescent="0.25">
      <c r="A4" s="35" t="s">
        <v>1074</v>
      </c>
      <c r="B4">
        <v>1889</v>
      </c>
    </row>
    <row r="5" spans="1:2" x14ac:dyDescent="0.25">
      <c r="A5" s="35" t="s">
        <v>1075</v>
      </c>
      <c r="B5">
        <v>2011</v>
      </c>
    </row>
    <row r="6" spans="1:2" x14ac:dyDescent="0.25">
      <c r="A6" s="35" t="s">
        <v>1076</v>
      </c>
      <c r="B6">
        <v>3040</v>
      </c>
    </row>
    <row r="7" spans="1:2" x14ac:dyDescent="0.25">
      <c r="A7" s="35" t="s">
        <v>1077</v>
      </c>
      <c r="B7">
        <v>2302</v>
      </c>
    </row>
    <row r="8" spans="1:2" x14ac:dyDescent="0.25">
      <c r="A8" s="35" t="s">
        <v>1078</v>
      </c>
      <c r="B8">
        <v>807</v>
      </c>
    </row>
    <row r="9" spans="1:2" x14ac:dyDescent="0.25">
      <c r="A9" s="35" t="s">
        <v>1079</v>
      </c>
      <c r="B9">
        <v>1031</v>
      </c>
    </row>
    <row r="10" spans="1:2" x14ac:dyDescent="0.25">
      <c r="A10" s="35" t="s">
        <v>1080</v>
      </c>
      <c r="B10">
        <v>1033</v>
      </c>
    </row>
    <row r="11" spans="1:2" x14ac:dyDescent="0.25">
      <c r="A11" s="35" t="s">
        <v>1081</v>
      </c>
      <c r="B11">
        <v>815</v>
      </c>
    </row>
    <row r="12" spans="1:2" x14ac:dyDescent="0.25">
      <c r="A12" s="35" t="s">
        <v>1082</v>
      </c>
      <c r="B12">
        <v>1812</v>
      </c>
    </row>
    <row r="13" spans="1:2" x14ac:dyDescent="0.25">
      <c r="A13" s="35" t="s">
        <v>1083</v>
      </c>
      <c r="B13">
        <v>2037</v>
      </c>
    </row>
    <row r="14" spans="1:2" x14ac:dyDescent="0.25">
      <c r="A14" s="35" t="s">
        <v>1084</v>
      </c>
      <c r="B14">
        <v>1885</v>
      </c>
    </row>
    <row r="15" spans="1:2" x14ac:dyDescent="0.25">
      <c r="A15" s="35" t="s">
        <v>1085</v>
      </c>
      <c r="B15">
        <v>1442</v>
      </c>
    </row>
    <row r="16" spans="1:2" x14ac:dyDescent="0.25">
      <c r="A16" s="35" t="s">
        <v>1063</v>
      </c>
      <c r="B16">
        <v>20104</v>
      </c>
    </row>
    <row r="30" spans="1:2" x14ac:dyDescent="0.25">
      <c r="A30" s="34" t="s">
        <v>1062</v>
      </c>
      <c r="B30" t="s">
        <v>1066</v>
      </c>
    </row>
    <row r="31" spans="1:2" x14ac:dyDescent="0.25">
      <c r="A31" s="35" t="s">
        <v>1074</v>
      </c>
      <c r="B31">
        <v>1889</v>
      </c>
    </row>
    <row r="32" spans="1:2" x14ac:dyDescent="0.25">
      <c r="A32" s="35" t="s">
        <v>1075</v>
      </c>
      <c r="B32">
        <v>3900</v>
      </c>
    </row>
    <row r="33" spans="1:2" x14ac:dyDescent="0.25">
      <c r="A33" s="35" t="s">
        <v>1076</v>
      </c>
      <c r="B33">
        <v>6940</v>
      </c>
    </row>
    <row r="34" spans="1:2" x14ac:dyDescent="0.25">
      <c r="A34" s="35" t="s">
        <v>1077</v>
      </c>
      <c r="B34">
        <v>9242</v>
      </c>
    </row>
    <row r="35" spans="1:2" x14ac:dyDescent="0.25">
      <c r="A35" s="35" t="s">
        <v>1078</v>
      </c>
      <c r="B35">
        <v>10049</v>
      </c>
    </row>
    <row r="36" spans="1:2" x14ac:dyDescent="0.25">
      <c r="A36" s="35" t="s">
        <v>1079</v>
      </c>
      <c r="B36">
        <v>11080</v>
      </c>
    </row>
    <row r="37" spans="1:2" x14ac:dyDescent="0.25">
      <c r="A37" s="35" t="s">
        <v>1080</v>
      </c>
      <c r="B37">
        <v>12113</v>
      </c>
    </row>
    <row r="38" spans="1:2" x14ac:dyDescent="0.25">
      <c r="A38" s="35" t="s">
        <v>1081</v>
      </c>
      <c r="B38">
        <v>12928</v>
      </c>
    </row>
    <row r="39" spans="1:2" x14ac:dyDescent="0.25">
      <c r="A39" s="35" t="s">
        <v>1082</v>
      </c>
      <c r="B39">
        <v>14740</v>
      </c>
    </row>
    <row r="40" spans="1:2" x14ac:dyDescent="0.25">
      <c r="A40" s="35" t="s">
        <v>1083</v>
      </c>
      <c r="B40">
        <v>16777</v>
      </c>
    </row>
    <row r="41" spans="1:2" x14ac:dyDescent="0.25">
      <c r="A41" s="35" t="s">
        <v>1084</v>
      </c>
      <c r="B41">
        <v>18662</v>
      </c>
    </row>
    <row r="42" spans="1:2" x14ac:dyDescent="0.25">
      <c r="A42" s="35" t="s">
        <v>1085</v>
      </c>
      <c r="B42">
        <v>20104</v>
      </c>
    </row>
    <row r="43" spans="1:2" x14ac:dyDescent="0.25">
      <c r="A43" s="35" t="s">
        <v>1063</v>
      </c>
    </row>
    <row r="53" spans="1:12" x14ac:dyDescent="0.25">
      <c r="A53" s="34" t="s">
        <v>1062</v>
      </c>
      <c r="B53" t="s">
        <v>1066</v>
      </c>
    </row>
    <row r="54" spans="1:12" x14ac:dyDescent="0.25">
      <c r="A54" s="35" t="s">
        <v>1074</v>
      </c>
      <c r="B54">
        <v>1889</v>
      </c>
    </row>
    <row r="55" spans="1:12" x14ac:dyDescent="0.25">
      <c r="A55" s="35" t="s">
        <v>1075</v>
      </c>
      <c r="B55">
        <v>3900</v>
      </c>
    </row>
    <row r="56" spans="1:12" x14ac:dyDescent="0.25">
      <c r="A56" s="35" t="s">
        <v>1076</v>
      </c>
      <c r="B56">
        <v>6940</v>
      </c>
    </row>
    <row r="57" spans="1:12" x14ac:dyDescent="0.25">
      <c r="A57" s="35" t="s">
        <v>1077</v>
      </c>
      <c r="B57">
        <v>9242</v>
      </c>
      <c r="L57" t="s">
        <v>1087</v>
      </c>
    </row>
    <row r="58" spans="1:12" x14ac:dyDescent="0.25">
      <c r="A58" s="35" t="s">
        <v>1078</v>
      </c>
      <c r="B58">
        <v>10049</v>
      </c>
    </row>
    <row r="59" spans="1:12" x14ac:dyDescent="0.25">
      <c r="A59" s="35" t="s">
        <v>1079</v>
      </c>
      <c r="B59">
        <v>11080</v>
      </c>
    </row>
    <row r="60" spans="1:12" x14ac:dyDescent="0.25">
      <c r="A60" s="35" t="s">
        <v>1080</v>
      </c>
      <c r="B60">
        <v>12113</v>
      </c>
    </row>
    <row r="61" spans="1:12" x14ac:dyDescent="0.25">
      <c r="A61" s="35" t="s">
        <v>1081</v>
      </c>
      <c r="B61">
        <v>12928</v>
      </c>
    </row>
    <row r="62" spans="1:12" x14ac:dyDescent="0.25">
      <c r="A62" s="35" t="s">
        <v>1082</v>
      </c>
      <c r="B62">
        <v>14740</v>
      </c>
    </row>
    <row r="63" spans="1:12" x14ac:dyDescent="0.25">
      <c r="A63" s="35" t="s">
        <v>1083</v>
      </c>
      <c r="B63">
        <v>16777</v>
      </c>
    </row>
    <row r="64" spans="1:12" x14ac:dyDescent="0.25">
      <c r="A64" s="35" t="s">
        <v>1084</v>
      </c>
      <c r="B64">
        <v>18662</v>
      </c>
    </row>
    <row r="65" spans="1:2" x14ac:dyDescent="0.25">
      <c r="A65" s="35" t="s">
        <v>1085</v>
      </c>
      <c r="B65">
        <v>20104</v>
      </c>
    </row>
    <row r="66" spans="1:2" x14ac:dyDescent="0.25">
      <c r="A66" s="35" t="s">
        <v>1063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9CBD8-A877-407E-B3D6-497384F4D3D9}">
  <dimension ref="A3:I10"/>
  <sheetViews>
    <sheetView topLeftCell="C1" zoomScale="147" workbookViewId="0">
      <selection activeCell="H6" sqref="H6"/>
    </sheetView>
  </sheetViews>
  <sheetFormatPr defaultRowHeight="13.8" x14ac:dyDescent="0.25"/>
  <cols>
    <col min="1" max="1" width="18.69921875" customWidth="1"/>
    <col min="2" max="2" width="7" customWidth="1"/>
    <col min="3" max="3" width="9.796875" customWidth="1"/>
    <col min="4" max="4" width="9.09765625" customWidth="1"/>
    <col min="5" max="5" width="11.796875" customWidth="1"/>
    <col min="6" max="6" width="9.69921875" customWidth="1"/>
    <col min="7" max="7" width="11.59765625" customWidth="1"/>
    <col min="8" max="8" width="10.5" customWidth="1"/>
    <col min="9" max="9" width="13.59765625" customWidth="1"/>
    <col min="10" max="10" width="4" customWidth="1"/>
    <col min="11" max="12" width="4" bestFit="1" customWidth="1"/>
    <col min="13" max="13" width="11.796875" bestFit="1" customWidth="1"/>
    <col min="14" max="14" width="9.5" bestFit="1" customWidth="1"/>
    <col min="15" max="18" width="4" bestFit="1" customWidth="1"/>
    <col min="19" max="19" width="12.09765625" bestFit="1" customWidth="1"/>
    <col min="20" max="20" width="12.3984375" bestFit="1" customWidth="1"/>
    <col min="21" max="24" width="4" bestFit="1" customWidth="1"/>
    <col min="25" max="25" width="15.09765625" bestFit="1" customWidth="1"/>
    <col min="26" max="26" width="10.19921875" bestFit="1" customWidth="1"/>
    <col min="27" max="30" width="4" bestFit="1" customWidth="1"/>
    <col min="31" max="31" width="12.796875" bestFit="1" customWidth="1"/>
    <col min="32" max="32" width="7.8984375" bestFit="1" customWidth="1"/>
    <col min="33" max="36" width="4" bestFit="1" customWidth="1"/>
    <col min="37" max="37" width="10.5" bestFit="1" customWidth="1"/>
    <col min="38" max="38" width="10.09765625" bestFit="1" customWidth="1"/>
    <col min="39" max="42" width="4" bestFit="1" customWidth="1"/>
    <col min="43" max="43" width="12.69921875" bestFit="1" customWidth="1"/>
    <col min="44" max="44" width="10.3984375" bestFit="1" customWidth="1"/>
  </cols>
  <sheetData>
    <row r="3" spans="1:9" x14ac:dyDescent="0.25">
      <c r="A3" s="34" t="s">
        <v>1068</v>
      </c>
      <c r="B3" s="34" t="s">
        <v>1087</v>
      </c>
    </row>
    <row r="4" spans="1:9" x14ac:dyDescent="0.25">
      <c r="A4" s="34" t="s">
        <v>1062</v>
      </c>
      <c r="B4" t="s">
        <v>1090</v>
      </c>
      <c r="C4" t="s">
        <v>1091</v>
      </c>
      <c r="D4" t="s">
        <v>1092</v>
      </c>
      <c r="E4" t="s">
        <v>1093</v>
      </c>
      <c r="F4" t="s">
        <v>1094</v>
      </c>
      <c r="G4" t="s">
        <v>1095</v>
      </c>
      <c r="H4" t="s">
        <v>1096</v>
      </c>
      <c r="I4" t="s">
        <v>1063</v>
      </c>
    </row>
    <row r="5" spans="1:9" x14ac:dyDescent="0.25">
      <c r="A5" s="35" t="s">
        <v>11</v>
      </c>
      <c r="B5" s="43">
        <v>0.19047619047619047</v>
      </c>
      <c r="C5" s="43">
        <v>0.15873015873015872</v>
      </c>
      <c r="D5" s="43">
        <v>6.8783068783068779E-2</v>
      </c>
      <c r="E5" s="43">
        <v>0.12169312169312169</v>
      </c>
      <c r="F5" s="43">
        <v>0.12169312169312169</v>
      </c>
      <c r="G5" s="43">
        <v>0.12698412698412698</v>
      </c>
      <c r="H5" s="43">
        <v>0.21164021164021163</v>
      </c>
      <c r="I5" s="43">
        <v>1</v>
      </c>
    </row>
    <row r="6" spans="1:9" x14ac:dyDescent="0.25">
      <c r="A6" s="35" t="s">
        <v>9</v>
      </c>
      <c r="B6" s="43">
        <v>0.12844036697247707</v>
      </c>
      <c r="C6" s="43">
        <v>0.11009174311926606</v>
      </c>
      <c r="D6" s="43">
        <v>0.20183486238532111</v>
      </c>
      <c r="E6" s="43">
        <v>0.16513761467889909</v>
      </c>
      <c r="F6" s="43">
        <v>0.15137614678899083</v>
      </c>
      <c r="G6" s="43">
        <v>0.13302752293577982</v>
      </c>
      <c r="H6" s="43">
        <v>0.11009174311926606</v>
      </c>
      <c r="I6" s="43">
        <v>1</v>
      </c>
    </row>
    <row r="7" spans="1:9" x14ac:dyDescent="0.25">
      <c r="A7" s="35" t="s">
        <v>6</v>
      </c>
      <c r="B7" s="43">
        <v>0.14492753623188406</v>
      </c>
      <c r="C7" s="43">
        <v>0.16425120772946861</v>
      </c>
      <c r="D7" s="43">
        <v>0.12560386473429952</v>
      </c>
      <c r="E7" s="43">
        <v>0.18357487922705315</v>
      </c>
      <c r="F7" s="43">
        <v>0.13043478260869565</v>
      </c>
      <c r="G7" s="43">
        <v>0.13043478260869565</v>
      </c>
      <c r="H7" s="43">
        <v>0.12077294685990338</v>
      </c>
      <c r="I7" s="43">
        <v>1</v>
      </c>
    </row>
    <row r="8" spans="1:9" x14ac:dyDescent="0.25">
      <c r="A8" s="35" t="s">
        <v>13</v>
      </c>
      <c r="B8" s="43">
        <v>0.13440860215053763</v>
      </c>
      <c r="C8" s="43">
        <v>0.12365591397849462</v>
      </c>
      <c r="D8" s="43">
        <v>0.15053763440860216</v>
      </c>
      <c r="E8" s="43">
        <v>0.15591397849462366</v>
      </c>
      <c r="F8" s="43">
        <v>9.6774193548387094E-2</v>
      </c>
      <c r="G8" s="43">
        <v>0.15591397849462366</v>
      </c>
      <c r="H8" s="43">
        <v>0.18279569892473119</v>
      </c>
      <c r="I8" s="43">
        <v>1</v>
      </c>
    </row>
    <row r="9" spans="1:9" x14ac:dyDescent="0.25">
      <c r="A9" s="35" t="s">
        <v>10</v>
      </c>
      <c r="B9" s="43">
        <v>0.13500000000000001</v>
      </c>
      <c r="C9" s="43">
        <v>0.11</v>
      </c>
      <c r="D9" s="43">
        <v>0.13500000000000001</v>
      </c>
      <c r="E9" s="43">
        <v>0.13500000000000001</v>
      </c>
      <c r="F9" s="43">
        <v>0.13500000000000001</v>
      </c>
      <c r="G9" s="43">
        <v>0.16</v>
      </c>
      <c r="H9" s="43">
        <v>0.19</v>
      </c>
      <c r="I9" s="43">
        <v>1</v>
      </c>
    </row>
    <row r="10" spans="1:9" x14ac:dyDescent="0.25">
      <c r="A10" s="35" t="s">
        <v>1063</v>
      </c>
      <c r="B10" s="43">
        <v>0.14599999999999999</v>
      </c>
      <c r="C10" s="43">
        <v>0.13300000000000001</v>
      </c>
      <c r="D10" s="43">
        <v>0.13800000000000001</v>
      </c>
      <c r="E10" s="43">
        <v>0.153</v>
      </c>
      <c r="F10" s="43">
        <v>0.128</v>
      </c>
      <c r="G10" s="43">
        <v>0.14099999999999999</v>
      </c>
      <c r="H10" s="43">
        <v>0.161</v>
      </c>
      <c r="I10" s="43">
        <v>1</v>
      </c>
    </row>
  </sheetData>
  <conditionalFormatting pivot="1" sqref="B5:H9">
    <cfRule type="colorScale" priority="1">
      <colorScale>
        <cfvo type="min"/>
        <cfvo type="max"/>
        <color rgb="FFFFEF9C"/>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7BD62-14EB-4E7D-9FC8-8CC1715BF250}">
  <dimension ref="A3:H9"/>
  <sheetViews>
    <sheetView workbookViewId="0">
      <selection activeCell="D13" sqref="D13"/>
    </sheetView>
  </sheetViews>
  <sheetFormatPr defaultRowHeight="13.8" x14ac:dyDescent="0.25"/>
  <cols>
    <col min="1" max="1" width="18.5" customWidth="1"/>
    <col min="2" max="2" width="15.19921875" customWidth="1"/>
    <col min="3" max="4" width="5.8984375" customWidth="1"/>
    <col min="5" max="7" width="6.8984375" customWidth="1"/>
    <col min="8" max="8" width="10.3984375" customWidth="1"/>
    <col min="9" max="9" width="9" customWidth="1"/>
    <col min="10" max="1001" width="9" bestFit="1" customWidth="1"/>
    <col min="1002" max="1002" width="10.3984375" bestFit="1" customWidth="1"/>
  </cols>
  <sheetData>
    <row r="3" spans="1:8" x14ac:dyDescent="0.25">
      <c r="A3" s="34" t="s">
        <v>1068</v>
      </c>
      <c r="B3" s="34" t="s">
        <v>1089</v>
      </c>
    </row>
    <row r="4" spans="1:8" x14ac:dyDescent="0.25">
      <c r="A4" s="34" t="s">
        <v>1062</v>
      </c>
      <c r="B4">
        <v>0</v>
      </c>
      <c r="C4">
        <v>1</v>
      </c>
      <c r="D4">
        <v>2</v>
      </c>
      <c r="E4">
        <v>3</v>
      </c>
      <c r="F4">
        <v>4</v>
      </c>
      <c r="G4">
        <v>5</v>
      </c>
      <c r="H4" t="s">
        <v>1063</v>
      </c>
    </row>
    <row r="5" spans="1:8" x14ac:dyDescent="0.25">
      <c r="A5" s="35" t="s">
        <v>1099</v>
      </c>
      <c r="B5" s="43">
        <v>0</v>
      </c>
      <c r="C5" s="43">
        <v>7.1123755334281651E-3</v>
      </c>
      <c r="D5" s="43">
        <v>5.8321479374110953E-2</v>
      </c>
      <c r="E5" s="43">
        <v>0.20056899004267426</v>
      </c>
      <c r="F5" s="43">
        <v>0.4267425320056899</v>
      </c>
      <c r="G5" s="43">
        <v>0.30725462304409673</v>
      </c>
      <c r="H5" s="43">
        <v>1</v>
      </c>
    </row>
    <row r="6" spans="1:8" x14ac:dyDescent="0.25">
      <c r="A6" s="35" t="s">
        <v>1100</v>
      </c>
      <c r="B6" s="43">
        <v>0</v>
      </c>
      <c r="C6" s="43">
        <v>0</v>
      </c>
      <c r="D6" s="43">
        <v>7.8431372549019607E-2</v>
      </c>
      <c r="E6" s="43">
        <v>0.11764705882352941</v>
      </c>
      <c r="F6" s="43">
        <v>0.50980392156862742</v>
      </c>
      <c r="G6" s="43">
        <v>0.29411764705882354</v>
      </c>
      <c r="H6" s="43">
        <v>1</v>
      </c>
    </row>
    <row r="7" spans="1:8" x14ac:dyDescent="0.25">
      <c r="A7" s="35" t="s">
        <v>1101</v>
      </c>
      <c r="B7" s="43">
        <v>0</v>
      </c>
      <c r="C7" s="43">
        <v>0</v>
      </c>
      <c r="D7" s="43">
        <v>0</v>
      </c>
      <c r="E7" s="43">
        <v>0.22222222222222221</v>
      </c>
      <c r="F7" s="43">
        <v>0.55555555555555558</v>
      </c>
      <c r="G7" s="43">
        <v>0.22222222222222221</v>
      </c>
      <c r="H7" s="43">
        <v>1</v>
      </c>
    </row>
    <row r="8" spans="1:8" x14ac:dyDescent="0.25">
      <c r="A8" s="35" t="s">
        <v>1103</v>
      </c>
      <c r="B8" s="43">
        <v>4.2194092827004216E-3</v>
      </c>
      <c r="C8" s="43">
        <v>1.2658227848101266E-2</v>
      </c>
      <c r="D8" s="43">
        <v>5.9071729957805907E-2</v>
      </c>
      <c r="E8" s="43">
        <v>0.20253164556962025</v>
      </c>
      <c r="F8" s="43">
        <v>0.40928270042194093</v>
      </c>
      <c r="G8" s="43">
        <v>0.31223628691983124</v>
      </c>
      <c r="H8" s="43">
        <v>1</v>
      </c>
    </row>
    <row r="9" spans="1:8" x14ac:dyDescent="0.25">
      <c r="A9" s="35" t="s">
        <v>1063</v>
      </c>
      <c r="B9" s="43">
        <v>1E-3</v>
      </c>
      <c r="C9" s="43">
        <v>8.0000000000000002E-3</v>
      </c>
      <c r="D9" s="43">
        <v>5.8999999999999997E-2</v>
      </c>
      <c r="E9" s="43">
        <v>0.19700000000000001</v>
      </c>
      <c r="F9" s="43">
        <v>0.42799999999999999</v>
      </c>
      <c r="G9" s="43">
        <v>0.307</v>
      </c>
      <c r="H9" s="43">
        <v>1</v>
      </c>
    </row>
  </sheetData>
  <conditionalFormatting pivot="1" sqref="B5:G7">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FFDB0-F8D8-4743-ADCA-DF62AD748BB1}">
  <dimension ref="A3:N10"/>
  <sheetViews>
    <sheetView workbookViewId="0">
      <selection activeCell="K8" sqref="K8"/>
    </sheetView>
  </sheetViews>
  <sheetFormatPr defaultRowHeight="13.8" x14ac:dyDescent="0.25"/>
  <cols>
    <col min="1" max="1" width="18.5" customWidth="1"/>
    <col min="2" max="2" width="15.19921875" customWidth="1"/>
    <col min="3" max="3" width="4" customWidth="1"/>
    <col min="4" max="4" width="4.09765625" customWidth="1"/>
    <col min="5" max="5" width="3.8984375" customWidth="1"/>
    <col min="6" max="6" width="4.296875" customWidth="1"/>
    <col min="7" max="7" width="3.59765625" customWidth="1"/>
    <col min="8" max="8" width="3.09765625" customWidth="1"/>
    <col min="9" max="9" width="3.8984375" customWidth="1"/>
    <col min="10" max="10" width="4.09765625" customWidth="1"/>
    <col min="11" max="11" width="3.8984375" customWidth="1"/>
    <col min="12" max="12" width="4.09765625" customWidth="1"/>
    <col min="13" max="13" width="4.19921875" customWidth="1"/>
    <col min="14" max="14" width="10.3984375" customWidth="1"/>
  </cols>
  <sheetData>
    <row r="3" spans="1:14" x14ac:dyDescent="0.25">
      <c r="A3" s="34" t="s">
        <v>1068</v>
      </c>
      <c r="B3" s="34" t="s">
        <v>1089</v>
      </c>
    </row>
    <row r="4" spans="1:14" x14ac:dyDescent="0.25">
      <c r="A4" s="34" t="s">
        <v>1062</v>
      </c>
      <c r="B4" t="s">
        <v>1074</v>
      </c>
      <c r="C4" t="s">
        <v>1075</v>
      </c>
      <c r="D4" t="s">
        <v>1076</v>
      </c>
      <c r="E4" t="s">
        <v>1077</v>
      </c>
      <c r="F4" t="s">
        <v>1078</v>
      </c>
      <c r="G4" t="s">
        <v>1079</v>
      </c>
      <c r="H4" t="s">
        <v>1080</v>
      </c>
      <c r="I4" t="s">
        <v>1081</v>
      </c>
      <c r="J4" t="s">
        <v>1082</v>
      </c>
      <c r="K4" t="s">
        <v>1083</v>
      </c>
      <c r="L4" t="s">
        <v>1084</v>
      </c>
      <c r="M4" t="s">
        <v>1085</v>
      </c>
      <c r="N4" t="s">
        <v>1063</v>
      </c>
    </row>
    <row r="5" spans="1:14" x14ac:dyDescent="0.25">
      <c r="A5" s="35" t="s">
        <v>11</v>
      </c>
      <c r="B5">
        <v>16</v>
      </c>
      <c r="C5">
        <v>14</v>
      </c>
      <c r="D5">
        <v>26</v>
      </c>
      <c r="E5">
        <v>29</v>
      </c>
      <c r="F5">
        <v>17</v>
      </c>
      <c r="G5">
        <v>15</v>
      </c>
      <c r="H5">
        <v>15</v>
      </c>
      <c r="I5">
        <v>7</v>
      </c>
      <c r="J5">
        <v>11</v>
      </c>
      <c r="K5">
        <v>24</v>
      </c>
      <c r="L5">
        <v>9</v>
      </c>
      <c r="M5">
        <v>6</v>
      </c>
      <c r="N5">
        <v>189</v>
      </c>
    </row>
    <row r="6" spans="1:14" x14ac:dyDescent="0.25">
      <c r="A6" s="35" t="s">
        <v>9</v>
      </c>
      <c r="B6">
        <v>19</v>
      </c>
      <c r="C6">
        <v>10</v>
      </c>
      <c r="D6">
        <v>40</v>
      </c>
      <c r="E6">
        <v>40</v>
      </c>
      <c r="F6">
        <v>13</v>
      </c>
      <c r="G6">
        <v>12</v>
      </c>
      <c r="H6">
        <v>9</v>
      </c>
      <c r="I6">
        <v>13</v>
      </c>
      <c r="J6">
        <v>18</v>
      </c>
      <c r="K6">
        <v>21</v>
      </c>
      <c r="L6">
        <v>14</v>
      </c>
      <c r="M6">
        <v>9</v>
      </c>
      <c r="N6">
        <v>218</v>
      </c>
    </row>
    <row r="7" spans="1:14" x14ac:dyDescent="0.25">
      <c r="A7" s="35" t="s">
        <v>6</v>
      </c>
      <c r="B7">
        <v>13</v>
      </c>
      <c r="C7">
        <v>13</v>
      </c>
      <c r="D7">
        <v>28</v>
      </c>
      <c r="E7">
        <v>24</v>
      </c>
      <c r="F7">
        <v>23</v>
      </c>
      <c r="G7">
        <v>17</v>
      </c>
      <c r="H7">
        <v>11</v>
      </c>
      <c r="I7">
        <v>11</v>
      </c>
      <c r="J7">
        <v>14</v>
      </c>
      <c r="K7">
        <v>30</v>
      </c>
      <c r="L7">
        <v>14</v>
      </c>
      <c r="M7">
        <v>9</v>
      </c>
      <c r="N7">
        <v>207</v>
      </c>
    </row>
    <row r="8" spans="1:14" x14ac:dyDescent="0.25">
      <c r="A8" s="35" t="s">
        <v>13</v>
      </c>
      <c r="B8">
        <v>10</v>
      </c>
      <c r="C8">
        <v>11</v>
      </c>
      <c r="D8">
        <v>30</v>
      </c>
      <c r="E8">
        <v>23</v>
      </c>
      <c r="F8">
        <v>22</v>
      </c>
      <c r="G8">
        <v>11</v>
      </c>
      <c r="H8">
        <v>17</v>
      </c>
      <c r="I8">
        <v>12</v>
      </c>
      <c r="J8">
        <v>13</v>
      </c>
      <c r="K8">
        <v>15</v>
      </c>
      <c r="L8">
        <v>8</v>
      </c>
      <c r="M8">
        <v>14</v>
      </c>
      <c r="N8">
        <v>186</v>
      </c>
    </row>
    <row r="9" spans="1:14" x14ac:dyDescent="0.25">
      <c r="A9" s="35" t="s">
        <v>10</v>
      </c>
      <c r="B9">
        <v>21</v>
      </c>
      <c r="C9">
        <v>18</v>
      </c>
      <c r="D9">
        <v>31</v>
      </c>
      <c r="E9">
        <v>20</v>
      </c>
      <c r="F9">
        <v>8</v>
      </c>
      <c r="G9">
        <v>12</v>
      </c>
      <c r="H9">
        <v>12</v>
      </c>
      <c r="I9">
        <v>7</v>
      </c>
      <c r="J9">
        <v>20</v>
      </c>
      <c r="K9">
        <v>24</v>
      </c>
      <c r="L9">
        <v>12</v>
      </c>
      <c r="M9">
        <v>15</v>
      </c>
      <c r="N9">
        <v>200</v>
      </c>
    </row>
    <row r="10" spans="1:14" x14ac:dyDescent="0.25">
      <c r="A10" s="35" t="s">
        <v>1063</v>
      </c>
      <c r="B10">
        <v>79</v>
      </c>
      <c r="C10">
        <v>66</v>
      </c>
      <c r="D10">
        <v>155</v>
      </c>
      <c r="E10">
        <v>136</v>
      </c>
      <c r="F10">
        <v>83</v>
      </c>
      <c r="G10">
        <v>67</v>
      </c>
      <c r="H10">
        <v>64</v>
      </c>
      <c r="I10">
        <v>50</v>
      </c>
      <c r="J10">
        <v>76</v>
      </c>
      <c r="K10">
        <v>114</v>
      </c>
      <c r="L10">
        <v>57</v>
      </c>
      <c r="M10">
        <v>53</v>
      </c>
      <c r="N10">
        <v>1000</v>
      </c>
    </row>
  </sheetData>
  <conditionalFormatting pivot="1" sqref="B5:M9">
    <cfRule type="dataBar" priority="1">
      <dataBar>
        <cfvo type="min"/>
        <cfvo type="max"/>
        <color rgb="FF638EC6"/>
      </dataBar>
      <extLst>
        <ext xmlns:x14="http://schemas.microsoft.com/office/spreadsheetml/2009/9/main" uri="{B025F937-C7B1-47D3-B67F-A62EFF666E3E}">
          <x14:id>{7DE25EA4-6144-4904-8612-4D12988BC758}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7DE25EA4-6144-4904-8612-4D12988BC758}">
            <x14:dataBar minLength="0" maxLength="100" gradient="0">
              <x14:cfvo type="autoMin"/>
              <x14:cfvo type="autoMax"/>
              <x14:negativeFillColor rgb="FFFF0000"/>
              <x14:axisColor rgb="FF000000"/>
            </x14:dataBar>
          </x14:cfRule>
          <xm:sqref>B5:M9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3C3EB-054C-4EDB-9202-867E9F789E9E}">
  <dimension ref="A3:B19"/>
  <sheetViews>
    <sheetView workbookViewId="0">
      <selection activeCell="B18" sqref="B18"/>
    </sheetView>
  </sheetViews>
  <sheetFormatPr defaultRowHeight="13.8" x14ac:dyDescent="0.25"/>
  <cols>
    <col min="1" max="1" width="12.19921875" customWidth="1"/>
    <col min="2" max="2" width="23.296875" customWidth="1"/>
    <col min="3" max="3" width="15.19921875" customWidth="1"/>
    <col min="4" max="5" width="15.19921875" bestFit="1" customWidth="1"/>
  </cols>
  <sheetData>
    <row r="3" spans="1:2" x14ac:dyDescent="0.25">
      <c r="A3" s="34" t="s">
        <v>1062</v>
      </c>
      <c r="B3" t="s">
        <v>1105</v>
      </c>
    </row>
    <row r="4" spans="1:2" x14ac:dyDescent="0.25">
      <c r="A4" s="35" t="s">
        <v>17</v>
      </c>
      <c r="B4">
        <v>6785</v>
      </c>
    </row>
    <row r="5" spans="1:2" x14ac:dyDescent="0.25">
      <c r="A5" s="35" t="s">
        <v>24</v>
      </c>
      <c r="B5">
        <v>5634</v>
      </c>
    </row>
    <row r="6" spans="1:2" x14ac:dyDescent="0.25">
      <c r="A6" s="35" t="s">
        <v>20</v>
      </c>
      <c r="B6">
        <v>4804</v>
      </c>
    </row>
    <row r="7" spans="1:2" x14ac:dyDescent="0.25">
      <c r="A7" s="35" t="s">
        <v>12</v>
      </c>
      <c r="B7">
        <v>7689</v>
      </c>
    </row>
    <row r="8" spans="1:2" x14ac:dyDescent="0.25">
      <c r="A8" s="35" t="s">
        <v>23</v>
      </c>
      <c r="B8">
        <v>7747</v>
      </c>
    </row>
    <row r="9" spans="1:2" x14ac:dyDescent="0.25">
      <c r="A9" s="35" t="s">
        <v>7</v>
      </c>
      <c r="B9">
        <v>6176</v>
      </c>
    </row>
    <row r="10" spans="1:2" x14ac:dyDescent="0.25">
      <c r="A10" s="35" t="s">
        <v>15</v>
      </c>
      <c r="B10">
        <v>7216</v>
      </c>
    </row>
    <row r="11" spans="1:2" x14ac:dyDescent="0.25">
      <c r="A11" s="35" t="s">
        <v>5</v>
      </c>
      <c r="B11">
        <v>5009</v>
      </c>
    </row>
    <row r="12" spans="1:2" x14ac:dyDescent="0.25">
      <c r="A12" s="35" t="s">
        <v>22</v>
      </c>
      <c r="B12">
        <v>6601</v>
      </c>
    </row>
    <row r="13" spans="1:2" x14ac:dyDescent="0.25">
      <c r="A13" s="35" t="s">
        <v>18</v>
      </c>
      <c r="B13">
        <v>6242</v>
      </c>
    </row>
    <row r="14" spans="1:2" x14ac:dyDescent="0.25">
      <c r="A14" s="35" t="s">
        <v>8</v>
      </c>
      <c r="B14">
        <v>6749</v>
      </c>
    </row>
    <row r="15" spans="1:2" x14ac:dyDescent="0.25">
      <c r="A15" s="35" t="s">
        <v>16</v>
      </c>
      <c r="B15">
        <v>6819</v>
      </c>
    </row>
    <row r="16" spans="1:2" x14ac:dyDescent="0.25">
      <c r="A16" s="35" t="s">
        <v>14</v>
      </c>
      <c r="B16">
        <v>7230</v>
      </c>
    </row>
    <row r="17" spans="1:2" x14ac:dyDescent="0.25">
      <c r="A17" s="35" t="s">
        <v>21</v>
      </c>
      <c r="B17">
        <v>5404</v>
      </c>
    </row>
    <row r="18" spans="1:2" x14ac:dyDescent="0.25">
      <c r="A18" s="35" t="s">
        <v>19</v>
      </c>
      <c r="B18">
        <v>6518</v>
      </c>
    </row>
    <row r="19" spans="1:2" x14ac:dyDescent="0.25">
      <c r="A19" s="35" t="s">
        <v>1063</v>
      </c>
      <c r="B19">
        <v>96623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63D52-A85B-4BB8-9F95-66AAC5C794CD}">
  <dimension ref="A1:M1003"/>
  <sheetViews>
    <sheetView zoomScale="64" workbookViewId="0"/>
  </sheetViews>
  <sheetFormatPr defaultRowHeight="13.8" x14ac:dyDescent="0.25"/>
  <cols>
    <col min="1" max="1" width="22.5" bestFit="1" customWidth="1"/>
    <col min="2" max="2" width="22.8984375" bestFit="1" customWidth="1"/>
    <col min="3" max="3" width="19.59765625" bestFit="1" customWidth="1"/>
    <col min="4" max="4" width="25.3984375" bestFit="1" customWidth="1"/>
    <col min="5" max="5" width="22" bestFit="1" customWidth="1"/>
    <col min="6" max="6" width="27.8984375" bestFit="1" customWidth="1"/>
    <col min="7" max="7" width="29.5" bestFit="1" customWidth="1"/>
    <col min="8" max="8" width="13.5" bestFit="1" customWidth="1"/>
    <col min="9" max="9" width="25.296875" bestFit="1" customWidth="1"/>
    <col min="10" max="10" width="31.19921875" bestFit="1" customWidth="1"/>
    <col min="11" max="11" width="30.19921875" bestFit="1" customWidth="1"/>
    <col min="12" max="12" width="12.19921875" bestFit="1" customWidth="1"/>
    <col min="13" max="13" width="32.19921875" bestFit="1" customWidth="1"/>
  </cols>
  <sheetData>
    <row r="1" spans="1:13" x14ac:dyDescent="0.25">
      <c r="A1" s="47" t="s">
        <v>1124</v>
      </c>
    </row>
    <row r="3" spans="1:13" x14ac:dyDescent="0.25">
      <c r="A3" t="s">
        <v>1111</v>
      </c>
      <c r="B3" t="s">
        <v>1112</v>
      </c>
      <c r="C3" t="s">
        <v>1113</v>
      </c>
      <c r="D3" t="s">
        <v>1114</v>
      </c>
      <c r="E3" t="s">
        <v>1115</v>
      </c>
      <c r="F3" t="s">
        <v>1116</v>
      </c>
      <c r="G3" t="s">
        <v>1117</v>
      </c>
      <c r="H3" t="s">
        <v>1118</v>
      </c>
      <c r="I3" t="s">
        <v>1119</v>
      </c>
      <c r="J3" t="s">
        <v>1120</v>
      </c>
      <c r="K3" t="s">
        <v>1121</v>
      </c>
      <c r="L3" t="s">
        <v>1122</v>
      </c>
      <c r="M3" t="s">
        <v>1123</v>
      </c>
    </row>
    <row r="4" spans="1:13" x14ac:dyDescent="0.25">
      <c r="A4" t="s">
        <v>26</v>
      </c>
      <c r="B4" t="s">
        <v>20</v>
      </c>
      <c r="C4">
        <v>116</v>
      </c>
      <c r="D4" t="s">
        <v>10</v>
      </c>
      <c r="E4" s="46">
        <v>44927</v>
      </c>
      <c r="F4">
        <v>128</v>
      </c>
      <c r="G4">
        <v>4.9000000000000004</v>
      </c>
      <c r="H4">
        <v>2023</v>
      </c>
      <c r="I4" t="s">
        <v>1090</v>
      </c>
      <c r="J4" t="s">
        <v>1099</v>
      </c>
      <c r="K4">
        <v>5</v>
      </c>
      <c r="L4">
        <v>3</v>
      </c>
      <c r="M4">
        <v>128</v>
      </c>
    </row>
    <row r="5" spans="1:13" x14ac:dyDescent="0.25">
      <c r="A5" t="s">
        <v>27</v>
      </c>
      <c r="B5" t="s">
        <v>12</v>
      </c>
      <c r="C5">
        <v>119</v>
      </c>
      <c r="D5" t="s">
        <v>10</v>
      </c>
      <c r="E5" s="46">
        <v>44927</v>
      </c>
      <c r="F5">
        <v>135</v>
      </c>
      <c r="G5">
        <v>2.9</v>
      </c>
      <c r="H5">
        <v>2023</v>
      </c>
      <c r="I5" t="s">
        <v>1090</v>
      </c>
      <c r="J5" t="s">
        <v>1099</v>
      </c>
      <c r="K5">
        <v>3</v>
      </c>
      <c r="L5">
        <v>3</v>
      </c>
      <c r="M5">
        <v>135</v>
      </c>
    </row>
    <row r="6" spans="1:13" x14ac:dyDescent="0.25">
      <c r="A6" t="s">
        <v>28</v>
      </c>
      <c r="B6" t="s">
        <v>23</v>
      </c>
      <c r="C6">
        <v>68</v>
      </c>
      <c r="D6" t="s">
        <v>9</v>
      </c>
      <c r="E6" s="46">
        <v>44927</v>
      </c>
      <c r="F6">
        <v>66</v>
      </c>
      <c r="G6">
        <v>4.7</v>
      </c>
      <c r="H6">
        <v>2023</v>
      </c>
      <c r="I6" t="s">
        <v>1090</v>
      </c>
      <c r="J6" t="s">
        <v>1099</v>
      </c>
      <c r="K6">
        <v>5</v>
      </c>
      <c r="L6">
        <v>3</v>
      </c>
      <c r="M6">
        <v>66</v>
      </c>
    </row>
    <row r="7" spans="1:13" x14ac:dyDescent="0.25">
      <c r="A7" t="s">
        <v>29</v>
      </c>
      <c r="B7" t="s">
        <v>21</v>
      </c>
      <c r="C7">
        <v>119</v>
      </c>
      <c r="D7" t="s">
        <v>9</v>
      </c>
      <c r="E7" s="46">
        <v>44927</v>
      </c>
      <c r="F7">
        <v>22</v>
      </c>
      <c r="G7">
        <v>2.9</v>
      </c>
      <c r="H7">
        <v>2023</v>
      </c>
      <c r="I7" t="s">
        <v>1090</v>
      </c>
      <c r="J7" t="s">
        <v>1099</v>
      </c>
      <c r="K7">
        <v>3</v>
      </c>
      <c r="L7">
        <v>3</v>
      </c>
      <c r="M7">
        <v>22</v>
      </c>
    </row>
    <row r="8" spans="1:13" x14ac:dyDescent="0.25">
      <c r="A8" t="s">
        <v>30</v>
      </c>
      <c r="B8" t="s">
        <v>8</v>
      </c>
      <c r="C8">
        <v>128</v>
      </c>
      <c r="D8" t="s">
        <v>11</v>
      </c>
      <c r="E8" s="46">
        <v>44928</v>
      </c>
      <c r="F8">
        <v>31</v>
      </c>
      <c r="G8">
        <v>2.8</v>
      </c>
      <c r="H8">
        <v>2023</v>
      </c>
      <c r="I8" t="s">
        <v>1091</v>
      </c>
      <c r="J8" t="s">
        <v>1103</v>
      </c>
      <c r="K8">
        <v>3</v>
      </c>
      <c r="L8">
        <v>4</v>
      </c>
      <c r="M8">
        <v>31</v>
      </c>
    </row>
    <row r="9" spans="1:13" x14ac:dyDescent="0.25">
      <c r="A9" t="s">
        <v>31</v>
      </c>
      <c r="B9" t="s">
        <v>8</v>
      </c>
      <c r="C9">
        <v>49</v>
      </c>
      <c r="D9" t="s">
        <v>9</v>
      </c>
      <c r="E9" s="46">
        <v>44929</v>
      </c>
      <c r="F9">
        <v>135</v>
      </c>
      <c r="G9">
        <v>4.8</v>
      </c>
      <c r="H9">
        <v>2023</v>
      </c>
      <c r="I9" t="s">
        <v>1092</v>
      </c>
      <c r="J9" t="s">
        <v>1099</v>
      </c>
      <c r="K9">
        <v>5</v>
      </c>
      <c r="L9">
        <v>3</v>
      </c>
      <c r="M9">
        <v>135</v>
      </c>
    </row>
    <row r="10" spans="1:13" x14ac:dyDescent="0.25">
      <c r="A10" t="s">
        <v>32</v>
      </c>
      <c r="B10" t="s">
        <v>15</v>
      </c>
      <c r="C10">
        <v>84</v>
      </c>
      <c r="D10" t="s">
        <v>10</v>
      </c>
      <c r="E10" s="46">
        <v>44929</v>
      </c>
      <c r="F10">
        <v>60</v>
      </c>
      <c r="G10">
        <v>4.7</v>
      </c>
      <c r="H10">
        <v>2023</v>
      </c>
      <c r="I10" t="s">
        <v>1092</v>
      </c>
      <c r="J10" t="s">
        <v>1099</v>
      </c>
      <c r="K10">
        <v>5</v>
      </c>
      <c r="L10">
        <v>3</v>
      </c>
      <c r="M10">
        <v>60</v>
      </c>
    </row>
    <row r="11" spans="1:13" x14ac:dyDescent="0.25">
      <c r="A11" t="s">
        <v>33</v>
      </c>
      <c r="B11" t="s">
        <v>20</v>
      </c>
      <c r="C11">
        <v>103</v>
      </c>
      <c r="D11" t="s">
        <v>13</v>
      </c>
      <c r="E11" s="46">
        <v>44929</v>
      </c>
      <c r="F11">
        <v>148</v>
      </c>
      <c r="G11">
        <v>4.4000000000000004</v>
      </c>
      <c r="H11">
        <v>2023</v>
      </c>
      <c r="I11" t="s">
        <v>1092</v>
      </c>
      <c r="J11" t="s">
        <v>1099</v>
      </c>
      <c r="K11">
        <v>4</v>
      </c>
      <c r="L11">
        <v>3</v>
      </c>
      <c r="M11">
        <v>148</v>
      </c>
    </row>
    <row r="12" spans="1:13" x14ac:dyDescent="0.25">
      <c r="A12" t="s">
        <v>34</v>
      </c>
      <c r="B12" t="s">
        <v>23</v>
      </c>
      <c r="C12">
        <v>31</v>
      </c>
      <c r="D12" t="s">
        <v>9</v>
      </c>
      <c r="E12" s="46">
        <v>44929</v>
      </c>
      <c r="F12">
        <v>135</v>
      </c>
      <c r="G12">
        <v>3.6</v>
      </c>
      <c r="H12">
        <v>2023</v>
      </c>
      <c r="I12" t="s">
        <v>1092</v>
      </c>
      <c r="J12" t="s">
        <v>1099</v>
      </c>
      <c r="K12">
        <v>4</v>
      </c>
      <c r="L12">
        <v>3</v>
      </c>
      <c r="M12">
        <v>135</v>
      </c>
    </row>
    <row r="13" spans="1:13" x14ac:dyDescent="0.25">
      <c r="A13" t="s">
        <v>35</v>
      </c>
      <c r="B13" t="s">
        <v>18</v>
      </c>
      <c r="C13">
        <v>44</v>
      </c>
      <c r="D13" t="s">
        <v>6</v>
      </c>
      <c r="E13" s="46">
        <v>44929</v>
      </c>
      <c r="F13">
        <v>105</v>
      </c>
      <c r="G13">
        <v>2.9</v>
      </c>
      <c r="H13">
        <v>2023</v>
      </c>
      <c r="I13" t="s">
        <v>1092</v>
      </c>
      <c r="J13" t="s">
        <v>1099</v>
      </c>
      <c r="K13">
        <v>3</v>
      </c>
      <c r="L13">
        <v>3</v>
      </c>
      <c r="M13">
        <v>105</v>
      </c>
    </row>
    <row r="14" spans="1:13" x14ac:dyDescent="0.25">
      <c r="A14" t="s">
        <v>36</v>
      </c>
      <c r="B14" t="s">
        <v>8</v>
      </c>
      <c r="C14">
        <v>102</v>
      </c>
      <c r="D14" t="s">
        <v>9</v>
      </c>
      <c r="E14" s="46">
        <v>44929</v>
      </c>
      <c r="F14">
        <v>69</v>
      </c>
      <c r="G14">
        <v>4.9000000000000004</v>
      </c>
      <c r="H14">
        <v>2023</v>
      </c>
      <c r="I14" t="s">
        <v>1092</v>
      </c>
      <c r="J14" t="s">
        <v>1099</v>
      </c>
      <c r="K14">
        <v>5</v>
      </c>
      <c r="L14">
        <v>3</v>
      </c>
      <c r="M14">
        <v>69</v>
      </c>
    </row>
    <row r="15" spans="1:13" x14ac:dyDescent="0.25">
      <c r="A15" t="s">
        <v>37</v>
      </c>
      <c r="B15" t="s">
        <v>14</v>
      </c>
      <c r="C15">
        <v>135</v>
      </c>
      <c r="D15" t="s">
        <v>10</v>
      </c>
      <c r="E15" s="46">
        <v>44929</v>
      </c>
      <c r="F15">
        <v>46</v>
      </c>
      <c r="G15">
        <v>3.4</v>
      </c>
      <c r="H15">
        <v>2023</v>
      </c>
      <c r="I15" t="s">
        <v>1092</v>
      </c>
      <c r="J15" t="s">
        <v>1103</v>
      </c>
      <c r="K15">
        <v>3</v>
      </c>
      <c r="L15">
        <v>4</v>
      </c>
      <c r="M15">
        <v>46</v>
      </c>
    </row>
    <row r="16" spans="1:13" x14ac:dyDescent="0.25">
      <c r="A16" t="s">
        <v>38</v>
      </c>
      <c r="B16" t="s">
        <v>24</v>
      </c>
      <c r="C16">
        <v>98</v>
      </c>
      <c r="D16" t="s">
        <v>9</v>
      </c>
      <c r="E16" s="46">
        <v>44930</v>
      </c>
      <c r="F16">
        <v>108</v>
      </c>
      <c r="G16">
        <v>3.5</v>
      </c>
      <c r="H16">
        <v>2023</v>
      </c>
      <c r="I16" t="s">
        <v>1093</v>
      </c>
      <c r="J16" t="s">
        <v>1099</v>
      </c>
      <c r="K16">
        <v>4</v>
      </c>
      <c r="L16">
        <v>3</v>
      </c>
      <c r="M16">
        <v>108</v>
      </c>
    </row>
    <row r="17" spans="1:13" x14ac:dyDescent="0.25">
      <c r="A17" t="s">
        <v>39</v>
      </c>
      <c r="B17" t="s">
        <v>18</v>
      </c>
      <c r="C17">
        <v>139</v>
      </c>
      <c r="D17" t="s">
        <v>9</v>
      </c>
      <c r="E17" s="46">
        <v>44930</v>
      </c>
      <c r="F17">
        <v>96</v>
      </c>
      <c r="G17">
        <v>4</v>
      </c>
      <c r="H17">
        <v>2023</v>
      </c>
      <c r="I17" t="s">
        <v>1093</v>
      </c>
      <c r="J17" t="s">
        <v>1103</v>
      </c>
      <c r="K17">
        <v>4</v>
      </c>
      <c r="L17">
        <v>4</v>
      </c>
      <c r="M17">
        <v>96</v>
      </c>
    </row>
    <row r="18" spans="1:13" x14ac:dyDescent="0.25">
      <c r="A18" t="s">
        <v>40</v>
      </c>
      <c r="B18" t="s">
        <v>14</v>
      </c>
      <c r="C18">
        <v>48</v>
      </c>
      <c r="D18" t="s">
        <v>11</v>
      </c>
      <c r="E18" s="46">
        <v>44930</v>
      </c>
      <c r="F18">
        <v>68</v>
      </c>
      <c r="G18">
        <v>4.9000000000000004</v>
      </c>
      <c r="H18">
        <v>2023</v>
      </c>
      <c r="I18" t="s">
        <v>1093</v>
      </c>
      <c r="J18" t="s">
        <v>1099</v>
      </c>
      <c r="K18">
        <v>5</v>
      </c>
      <c r="L18">
        <v>3</v>
      </c>
      <c r="M18">
        <v>68</v>
      </c>
    </row>
    <row r="19" spans="1:13" x14ac:dyDescent="0.25">
      <c r="A19" t="s">
        <v>41</v>
      </c>
      <c r="B19" t="s">
        <v>18</v>
      </c>
      <c r="C19">
        <v>176</v>
      </c>
      <c r="D19" t="s">
        <v>10</v>
      </c>
      <c r="E19" s="46">
        <v>44931</v>
      </c>
      <c r="F19">
        <v>24</v>
      </c>
      <c r="G19">
        <v>4.8</v>
      </c>
      <c r="H19">
        <v>2023</v>
      </c>
      <c r="I19" t="s">
        <v>1094</v>
      </c>
      <c r="J19" t="s">
        <v>1103</v>
      </c>
      <c r="K19">
        <v>5</v>
      </c>
      <c r="L19">
        <v>4</v>
      </c>
      <c r="M19">
        <v>24</v>
      </c>
    </row>
    <row r="20" spans="1:13" x14ac:dyDescent="0.25">
      <c r="A20" t="s">
        <v>42</v>
      </c>
      <c r="B20" t="s">
        <v>18</v>
      </c>
      <c r="C20">
        <v>99</v>
      </c>
      <c r="D20" t="s">
        <v>11</v>
      </c>
      <c r="E20" s="46">
        <v>44931</v>
      </c>
      <c r="F20">
        <v>195</v>
      </c>
      <c r="G20">
        <v>3.9</v>
      </c>
      <c r="H20">
        <v>2023</v>
      </c>
      <c r="I20" t="s">
        <v>1094</v>
      </c>
      <c r="J20" t="s">
        <v>1099</v>
      </c>
      <c r="K20">
        <v>4</v>
      </c>
      <c r="L20">
        <v>3</v>
      </c>
      <c r="M20">
        <v>195</v>
      </c>
    </row>
    <row r="21" spans="1:13" x14ac:dyDescent="0.25">
      <c r="A21" t="s">
        <v>43</v>
      </c>
      <c r="B21" t="s">
        <v>22</v>
      </c>
      <c r="C21">
        <v>28</v>
      </c>
      <c r="D21" t="s">
        <v>6</v>
      </c>
      <c r="E21" s="46">
        <v>44931</v>
      </c>
      <c r="F21">
        <v>28</v>
      </c>
      <c r="G21">
        <v>3.8</v>
      </c>
      <c r="H21">
        <v>2023</v>
      </c>
      <c r="I21" t="s">
        <v>1094</v>
      </c>
      <c r="J21" t="s">
        <v>1100</v>
      </c>
      <c r="K21">
        <v>4</v>
      </c>
      <c r="L21">
        <v>2</v>
      </c>
      <c r="M21">
        <v>28</v>
      </c>
    </row>
    <row r="22" spans="1:13" x14ac:dyDescent="0.25">
      <c r="A22" t="s">
        <v>44</v>
      </c>
      <c r="B22" t="s">
        <v>15</v>
      </c>
      <c r="C22">
        <v>54</v>
      </c>
      <c r="D22" t="s">
        <v>9</v>
      </c>
      <c r="E22" s="46">
        <v>44931</v>
      </c>
      <c r="F22">
        <v>170</v>
      </c>
      <c r="G22">
        <v>4.3</v>
      </c>
      <c r="H22">
        <v>2023</v>
      </c>
      <c r="I22" t="s">
        <v>1094</v>
      </c>
      <c r="J22" t="s">
        <v>1099</v>
      </c>
      <c r="K22">
        <v>4</v>
      </c>
      <c r="L22">
        <v>3</v>
      </c>
      <c r="M22">
        <v>170</v>
      </c>
    </row>
    <row r="23" spans="1:13" x14ac:dyDescent="0.25">
      <c r="A23" t="s">
        <v>45</v>
      </c>
      <c r="B23" t="s">
        <v>7</v>
      </c>
      <c r="C23">
        <v>48</v>
      </c>
      <c r="D23" t="s">
        <v>10</v>
      </c>
      <c r="E23" s="46">
        <v>44932</v>
      </c>
      <c r="F23">
        <v>30</v>
      </c>
      <c r="G23">
        <v>4.4000000000000004</v>
      </c>
      <c r="H23">
        <v>2023</v>
      </c>
      <c r="I23" t="s">
        <v>1095</v>
      </c>
      <c r="J23" t="s">
        <v>1099</v>
      </c>
      <c r="K23">
        <v>4</v>
      </c>
      <c r="L23">
        <v>3</v>
      </c>
      <c r="M23">
        <v>30</v>
      </c>
    </row>
    <row r="24" spans="1:13" x14ac:dyDescent="0.25">
      <c r="A24" t="s">
        <v>46</v>
      </c>
      <c r="B24" t="s">
        <v>12</v>
      </c>
      <c r="C24">
        <v>128</v>
      </c>
      <c r="D24" t="s">
        <v>10</v>
      </c>
      <c r="E24" s="46">
        <v>44932</v>
      </c>
      <c r="F24">
        <v>72</v>
      </c>
      <c r="G24">
        <v>5</v>
      </c>
      <c r="H24">
        <v>2023</v>
      </c>
      <c r="I24" t="s">
        <v>1095</v>
      </c>
      <c r="J24" t="s">
        <v>1103</v>
      </c>
      <c r="K24">
        <v>5</v>
      </c>
      <c r="L24">
        <v>4</v>
      </c>
      <c r="M24">
        <v>72</v>
      </c>
    </row>
    <row r="25" spans="1:13" x14ac:dyDescent="0.25">
      <c r="A25" t="s">
        <v>47</v>
      </c>
      <c r="B25" t="s">
        <v>12</v>
      </c>
      <c r="C25">
        <v>38</v>
      </c>
      <c r="D25" t="s">
        <v>13</v>
      </c>
      <c r="E25" s="46">
        <v>44933</v>
      </c>
      <c r="F25">
        <v>92</v>
      </c>
      <c r="G25">
        <v>4.9000000000000004</v>
      </c>
      <c r="H25">
        <v>2023</v>
      </c>
      <c r="I25" t="s">
        <v>1096</v>
      </c>
      <c r="J25" t="s">
        <v>1099</v>
      </c>
      <c r="K25">
        <v>5</v>
      </c>
      <c r="L25">
        <v>3</v>
      </c>
      <c r="M25">
        <v>92</v>
      </c>
    </row>
    <row r="26" spans="1:13" x14ac:dyDescent="0.25">
      <c r="A26" t="s">
        <v>48</v>
      </c>
      <c r="B26" t="s">
        <v>20</v>
      </c>
      <c r="C26">
        <v>67</v>
      </c>
      <c r="D26" t="s">
        <v>13</v>
      </c>
      <c r="E26" s="46">
        <v>44934</v>
      </c>
      <c r="F26">
        <v>165</v>
      </c>
      <c r="G26">
        <v>4.5</v>
      </c>
      <c r="H26">
        <v>2023</v>
      </c>
      <c r="I26" t="s">
        <v>1090</v>
      </c>
      <c r="J26" t="s">
        <v>1099</v>
      </c>
      <c r="K26">
        <v>5</v>
      </c>
      <c r="L26">
        <v>3</v>
      </c>
      <c r="M26">
        <v>165</v>
      </c>
    </row>
    <row r="27" spans="1:13" x14ac:dyDescent="0.25">
      <c r="A27" t="s">
        <v>49</v>
      </c>
      <c r="B27" t="s">
        <v>19</v>
      </c>
      <c r="C27">
        <v>58</v>
      </c>
      <c r="D27" t="s">
        <v>9</v>
      </c>
      <c r="E27" s="46">
        <v>44934</v>
      </c>
      <c r="F27">
        <v>140</v>
      </c>
      <c r="G27">
        <v>2.1</v>
      </c>
      <c r="H27">
        <v>2023</v>
      </c>
      <c r="I27" t="s">
        <v>1090</v>
      </c>
      <c r="J27" t="s">
        <v>1099</v>
      </c>
      <c r="K27">
        <v>2</v>
      </c>
      <c r="L27">
        <v>3</v>
      </c>
      <c r="M27">
        <v>140</v>
      </c>
    </row>
    <row r="28" spans="1:13" x14ac:dyDescent="0.25">
      <c r="A28" t="s">
        <v>50</v>
      </c>
      <c r="B28" t="s">
        <v>18</v>
      </c>
      <c r="C28">
        <v>54</v>
      </c>
      <c r="D28" t="s">
        <v>11</v>
      </c>
      <c r="E28" s="46">
        <v>44934</v>
      </c>
      <c r="F28">
        <v>111</v>
      </c>
      <c r="G28">
        <v>3.3</v>
      </c>
      <c r="H28">
        <v>2023</v>
      </c>
      <c r="I28" t="s">
        <v>1090</v>
      </c>
      <c r="J28" t="s">
        <v>1099</v>
      </c>
      <c r="K28">
        <v>3</v>
      </c>
      <c r="L28">
        <v>3</v>
      </c>
      <c r="M28">
        <v>111</v>
      </c>
    </row>
    <row r="29" spans="1:13" x14ac:dyDescent="0.25">
      <c r="A29" t="s">
        <v>51</v>
      </c>
      <c r="B29" t="s">
        <v>16</v>
      </c>
      <c r="C29">
        <v>28</v>
      </c>
      <c r="D29" t="s">
        <v>10</v>
      </c>
      <c r="E29" s="46">
        <v>44935</v>
      </c>
      <c r="F29">
        <v>63</v>
      </c>
      <c r="G29">
        <v>4.0999999999999996</v>
      </c>
      <c r="H29">
        <v>2023</v>
      </c>
      <c r="I29" t="s">
        <v>1091</v>
      </c>
      <c r="J29" t="s">
        <v>1100</v>
      </c>
      <c r="K29">
        <v>4</v>
      </c>
      <c r="L29">
        <v>2</v>
      </c>
      <c r="M29">
        <v>63</v>
      </c>
    </row>
    <row r="30" spans="1:13" x14ac:dyDescent="0.25">
      <c r="A30" t="s">
        <v>52</v>
      </c>
      <c r="B30" t="s">
        <v>24</v>
      </c>
      <c r="C30">
        <v>73</v>
      </c>
      <c r="D30" t="s">
        <v>10</v>
      </c>
      <c r="E30" s="46">
        <v>44935</v>
      </c>
      <c r="F30">
        <v>80</v>
      </c>
      <c r="G30">
        <v>4.2</v>
      </c>
      <c r="H30">
        <v>2023</v>
      </c>
      <c r="I30" t="s">
        <v>1091</v>
      </c>
      <c r="J30" t="s">
        <v>1099</v>
      </c>
      <c r="K30">
        <v>4</v>
      </c>
      <c r="L30">
        <v>3</v>
      </c>
      <c r="M30">
        <v>80</v>
      </c>
    </row>
    <row r="31" spans="1:13" x14ac:dyDescent="0.25">
      <c r="A31" t="s">
        <v>53</v>
      </c>
      <c r="B31" t="s">
        <v>8</v>
      </c>
      <c r="C31">
        <v>81</v>
      </c>
      <c r="D31" t="s">
        <v>10</v>
      </c>
      <c r="E31" s="46">
        <v>44936</v>
      </c>
      <c r="F31">
        <v>50</v>
      </c>
      <c r="G31">
        <v>4.5999999999999996</v>
      </c>
      <c r="H31">
        <v>2023</v>
      </c>
      <c r="I31" t="s">
        <v>1092</v>
      </c>
      <c r="J31" t="s">
        <v>1099</v>
      </c>
      <c r="K31">
        <v>5</v>
      </c>
      <c r="L31">
        <v>3</v>
      </c>
      <c r="M31">
        <v>50</v>
      </c>
    </row>
    <row r="32" spans="1:13" x14ac:dyDescent="0.25">
      <c r="A32" t="s">
        <v>54</v>
      </c>
      <c r="B32" t="s">
        <v>22</v>
      </c>
      <c r="C32">
        <v>31</v>
      </c>
      <c r="D32" t="s">
        <v>13</v>
      </c>
      <c r="E32" s="46">
        <v>44936</v>
      </c>
      <c r="F32">
        <v>123</v>
      </c>
      <c r="G32">
        <v>2.9</v>
      </c>
      <c r="H32">
        <v>2023</v>
      </c>
      <c r="I32" t="s">
        <v>1092</v>
      </c>
      <c r="J32" t="s">
        <v>1099</v>
      </c>
      <c r="K32">
        <v>3</v>
      </c>
      <c r="L32">
        <v>3</v>
      </c>
      <c r="M32">
        <v>123</v>
      </c>
    </row>
    <row r="33" spans="1:13" x14ac:dyDescent="0.25">
      <c r="A33" t="s">
        <v>55</v>
      </c>
      <c r="B33" t="s">
        <v>19</v>
      </c>
      <c r="C33">
        <v>155</v>
      </c>
      <c r="D33" t="s">
        <v>11</v>
      </c>
      <c r="E33" s="46">
        <v>44936</v>
      </c>
      <c r="F33">
        <v>110</v>
      </c>
      <c r="G33">
        <v>4.8</v>
      </c>
      <c r="H33">
        <v>2023</v>
      </c>
      <c r="I33" t="s">
        <v>1092</v>
      </c>
      <c r="J33" t="s">
        <v>1103</v>
      </c>
      <c r="K33">
        <v>5</v>
      </c>
      <c r="L33">
        <v>4</v>
      </c>
      <c r="M33">
        <v>110</v>
      </c>
    </row>
    <row r="34" spans="1:13" x14ac:dyDescent="0.25">
      <c r="A34" t="s">
        <v>56</v>
      </c>
      <c r="B34" t="s">
        <v>22</v>
      </c>
      <c r="C34">
        <v>80</v>
      </c>
      <c r="D34" t="s">
        <v>10</v>
      </c>
      <c r="E34" s="46">
        <v>44936</v>
      </c>
      <c r="F34">
        <v>140</v>
      </c>
      <c r="G34">
        <v>4.2</v>
      </c>
      <c r="H34">
        <v>2023</v>
      </c>
      <c r="I34" t="s">
        <v>1092</v>
      </c>
      <c r="J34" t="s">
        <v>1099</v>
      </c>
      <c r="K34">
        <v>4</v>
      </c>
      <c r="L34">
        <v>3</v>
      </c>
      <c r="M34">
        <v>140</v>
      </c>
    </row>
    <row r="35" spans="1:13" x14ac:dyDescent="0.25">
      <c r="A35" t="s">
        <v>57</v>
      </c>
      <c r="B35" t="s">
        <v>8</v>
      </c>
      <c r="C35">
        <v>82</v>
      </c>
      <c r="D35" t="s">
        <v>10</v>
      </c>
      <c r="E35" s="46">
        <v>44938</v>
      </c>
      <c r="F35">
        <v>42</v>
      </c>
      <c r="G35">
        <v>3.7</v>
      </c>
      <c r="H35">
        <v>2023</v>
      </c>
      <c r="I35" t="s">
        <v>1094</v>
      </c>
      <c r="J35" t="s">
        <v>1099</v>
      </c>
      <c r="K35">
        <v>4</v>
      </c>
      <c r="L35">
        <v>3</v>
      </c>
      <c r="M35">
        <v>42</v>
      </c>
    </row>
    <row r="36" spans="1:13" x14ac:dyDescent="0.25">
      <c r="A36" t="s">
        <v>58</v>
      </c>
      <c r="B36" t="s">
        <v>8</v>
      </c>
      <c r="C36">
        <v>29</v>
      </c>
      <c r="D36" t="s">
        <v>11</v>
      </c>
      <c r="E36" s="46">
        <v>44938</v>
      </c>
      <c r="F36">
        <v>170</v>
      </c>
      <c r="G36">
        <v>5</v>
      </c>
      <c r="H36">
        <v>2023</v>
      </c>
      <c r="I36" t="s">
        <v>1094</v>
      </c>
      <c r="J36" t="s">
        <v>1100</v>
      </c>
      <c r="K36">
        <v>5</v>
      </c>
      <c r="L36">
        <v>2</v>
      </c>
      <c r="M36">
        <v>170</v>
      </c>
    </row>
    <row r="37" spans="1:13" x14ac:dyDescent="0.25">
      <c r="A37" t="s">
        <v>59</v>
      </c>
      <c r="B37" t="s">
        <v>7</v>
      </c>
      <c r="C37">
        <v>160</v>
      </c>
      <c r="D37" t="s">
        <v>9</v>
      </c>
      <c r="E37" s="46">
        <v>44940</v>
      </c>
      <c r="F37">
        <v>105</v>
      </c>
      <c r="G37">
        <v>5</v>
      </c>
      <c r="H37">
        <v>2023</v>
      </c>
      <c r="I37" t="s">
        <v>1096</v>
      </c>
      <c r="J37" t="s">
        <v>1103</v>
      </c>
      <c r="K37">
        <v>5</v>
      </c>
      <c r="L37">
        <v>4</v>
      </c>
      <c r="M37">
        <v>105</v>
      </c>
    </row>
    <row r="38" spans="1:13" x14ac:dyDescent="0.25">
      <c r="A38" t="s">
        <v>60</v>
      </c>
      <c r="B38" t="s">
        <v>17</v>
      </c>
      <c r="C38">
        <v>105</v>
      </c>
      <c r="D38" t="s">
        <v>10</v>
      </c>
      <c r="E38" s="46">
        <v>44941</v>
      </c>
      <c r="F38">
        <v>125</v>
      </c>
      <c r="G38">
        <v>4.8</v>
      </c>
      <c r="H38">
        <v>2023</v>
      </c>
      <c r="I38" t="s">
        <v>1090</v>
      </c>
      <c r="J38" t="s">
        <v>1099</v>
      </c>
      <c r="K38">
        <v>5</v>
      </c>
      <c r="L38">
        <v>3</v>
      </c>
      <c r="M38">
        <v>125</v>
      </c>
    </row>
    <row r="39" spans="1:13" x14ac:dyDescent="0.25">
      <c r="A39" t="s">
        <v>61</v>
      </c>
      <c r="B39" t="s">
        <v>22</v>
      </c>
      <c r="C39">
        <v>75</v>
      </c>
      <c r="D39" t="s">
        <v>6</v>
      </c>
      <c r="E39" s="46">
        <v>44941</v>
      </c>
      <c r="F39">
        <v>26</v>
      </c>
      <c r="G39">
        <v>2.4</v>
      </c>
      <c r="H39">
        <v>2023</v>
      </c>
      <c r="I39" t="s">
        <v>1090</v>
      </c>
      <c r="J39" t="s">
        <v>1099</v>
      </c>
      <c r="K39">
        <v>2</v>
      </c>
      <c r="L39">
        <v>3</v>
      </c>
      <c r="M39">
        <v>26</v>
      </c>
    </row>
    <row r="40" spans="1:13" x14ac:dyDescent="0.25">
      <c r="A40" t="s">
        <v>62</v>
      </c>
      <c r="B40" t="s">
        <v>19</v>
      </c>
      <c r="C40">
        <v>94</v>
      </c>
      <c r="D40" t="s">
        <v>6</v>
      </c>
      <c r="E40" s="46">
        <v>44942</v>
      </c>
      <c r="F40">
        <v>120</v>
      </c>
      <c r="G40">
        <v>3.1</v>
      </c>
      <c r="H40">
        <v>2023</v>
      </c>
      <c r="I40" t="s">
        <v>1091</v>
      </c>
      <c r="J40" t="s">
        <v>1099</v>
      </c>
      <c r="K40">
        <v>3</v>
      </c>
      <c r="L40">
        <v>3</v>
      </c>
      <c r="M40">
        <v>120</v>
      </c>
    </row>
    <row r="41" spans="1:13" x14ac:dyDescent="0.25">
      <c r="A41" t="s">
        <v>63</v>
      </c>
      <c r="B41" t="s">
        <v>12</v>
      </c>
      <c r="C41">
        <v>90</v>
      </c>
      <c r="D41" t="s">
        <v>9</v>
      </c>
      <c r="E41" s="46">
        <v>44942</v>
      </c>
      <c r="F41">
        <v>132</v>
      </c>
      <c r="G41">
        <v>3.2</v>
      </c>
      <c r="H41">
        <v>2023</v>
      </c>
      <c r="I41" t="s">
        <v>1091</v>
      </c>
      <c r="J41" t="s">
        <v>1099</v>
      </c>
      <c r="K41">
        <v>3</v>
      </c>
      <c r="L41">
        <v>3</v>
      </c>
      <c r="M41">
        <v>132</v>
      </c>
    </row>
    <row r="42" spans="1:13" x14ac:dyDescent="0.25">
      <c r="A42" t="s">
        <v>64</v>
      </c>
      <c r="B42" t="s">
        <v>19</v>
      </c>
      <c r="C42">
        <v>81</v>
      </c>
      <c r="D42" t="s">
        <v>13</v>
      </c>
      <c r="E42" s="46">
        <v>44943</v>
      </c>
      <c r="F42">
        <v>86</v>
      </c>
      <c r="G42">
        <v>2.4</v>
      </c>
      <c r="H42">
        <v>2023</v>
      </c>
      <c r="I42" t="s">
        <v>1092</v>
      </c>
      <c r="J42" t="s">
        <v>1099</v>
      </c>
      <c r="K42">
        <v>2</v>
      </c>
      <c r="L42">
        <v>3</v>
      </c>
      <c r="M42">
        <v>86</v>
      </c>
    </row>
    <row r="43" spans="1:13" x14ac:dyDescent="0.25">
      <c r="A43" t="s">
        <v>65</v>
      </c>
      <c r="B43" t="s">
        <v>22</v>
      </c>
      <c r="C43">
        <v>106</v>
      </c>
      <c r="D43" t="s">
        <v>10</v>
      </c>
      <c r="E43" s="46">
        <v>44943</v>
      </c>
      <c r="F43">
        <v>108</v>
      </c>
      <c r="G43">
        <v>5</v>
      </c>
      <c r="H43">
        <v>2023</v>
      </c>
      <c r="I43" t="s">
        <v>1092</v>
      </c>
      <c r="J43" t="s">
        <v>1099</v>
      </c>
      <c r="K43">
        <v>5</v>
      </c>
      <c r="L43">
        <v>3</v>
      </c>
      <c r="M43">
        <v>108</v>
      </c>
    </row>
    <row r="44" spans="1:13" x14ac:dyDescent="0.25">
      <c r="A44" t="s">
        <v>66</v>
      </c>
      <c r="B44" t="s">
        <v>12</v>
      </c>
      <c r="C44">
        <v>74</v>
      </c>
      <c r="D44" t="s">
        <v>13</v>
      </c>
      <c r="E44" s="46">
        <v>44943</v>
      </c>
      <c r="F44">
        <v>96</v>
      </c>
      <c r="G44">
        <v>4.7</v>
      </c>
      <c r="H44">
        <v>2023</v>
      </c>
      <c r="I44" t="s">
        <v>1092</v>
      </c>
      <c r="J44" t="s">
        <v>1099</v>
      </c>
      <c r="K44">
        <v>5</v>
      </c>
      <c r="L44">
        <v>3</v>
      </c>
      <c r="M44">
        <v>96</v>
      </c>
    </row>
    <row r="45" spans="1:13" x14ac:dyDescent="0.25">
      <c r="A45" t="s">
        <v>67</v>
      </c>
      <c r="B45" t="s">
        <v>18</v>
      </c>
      <c r="C45">
        <v>105</v>
      </c>
      <c r="D45" t="s">
        <v>9</v>
      </c>
      <c r="E45" s="46">
        <v>44944</v>
      </c>
      <c r="F45">
        <v>80</v>
      </c>
      <c r="G45">
        <v>4.7</v>
      </c>
      <c r="H45">
        <v>2023</v>
      </c>
      <c r="I45" t="s">
        <v>1093</v>
      </c>
      <c r="J45" t="s">
        <v>1099</v>
      </c>
      <c r="K45">
        <v>5</v>
      </c>
      <c r="L45">
        <v>3</v>
      </c>
      <c r="M45">
        <v>80</v>
      </c>
    </row>
    <row r="46" spans="1:13" x14ac:dyDescent="0.25">
      <c r="A46" t="s">
        <v>68</v>
      </c>
      <c r="B46" t="s">
        <v>22</v>
      </c>
      <c r="C46">
        <v>89</v>
      </c>
      <c r="D46" t="s">
        <v>10</v>
      </c>
      <c r="E46" s="46">
        <v>44944</v>
      </c>
      <c r="F46">
        <v>155</v>
      </c>
      <c r="G46">
        <v>4.0999999999999996</v>
      </c>
      <c r="H46">
        <v>2023</v>
      </c>
      <c r="I46" t="s">
        <v>1093</v>
      </c>
      <c r="J46" t="s">
        <v>1099</v>
      </c>
      <c r="K46">
        <v>4</v>
      </c>
      <c r="L46">
        <v>3</v>
      </c>
      <c r="M46">
        <v>155</v>
      </c>
    </row>
    <row r="47" spans="1:13" x14ac:dyDescent="0.25">
      <c r="A47" t="s">
        <v>69</v>
      </c>
      <c r="B47" t="s">
        <v>14</v>
      </c>
      <c r="C47">
        <v>132</v>
      </c>
      <c r="D47" t="s">
        <v>6</v>
      </c>
      <c r="E47" s="46">
        <v>44944</v>
      </c>
      <c r="F47">
        <v>168</v>
      </c>
      <c r="G47">
        <v>4.0999999999999996</v>
      </c>
      <c r="H47">
        <v>2023</v>
      </c>
      <c r="I47" t="s">
        <v>1093</v>
      </c>
      <c r="J47" t="s">
        <v>1103</v>
      </c>
      <c r="K47">
        <v>4</v>
      </c>
      <c r="L47">
        <v>4</v>
      </c>
      <c r="M47">
        <v>168</v>
      </c>
    </row>
    <row r="48" spans="1:13" x14ac:dyDescent="0.25">
      <c r="A48" t="s">
        <v>70</v>
      </c>
      <c r="B48" t="s">
        <v>17</v>
      </c>
      <c r="C48">
        <v>105</v>
      </c>
      <c r="D48" t="s">
        <v>11</v>
      </c>
      <c r="E48" s="46">
        <v>44944</v>
      </c>
      <c r="F48">
        <v>56</v>
      </c>
      <c r="G48">
        <v>3.6</v>
      </c>
      <c r="H48">
        <v>2023</v>
      </c>
      <c r="I48" t="s">
        <v>1093</v>
      </c>
      <c r="J48" t="s">
        <v>1099</v>
      </c>
      <c r="K48">
        <v>4</v>
      </c>
      <c r="L48">
        <v>3</v>
      </c>
      <c r="M48">
        <v>56</v>
      </c>
    </row>
    <row r="49" spans="1:13" x14ac:dyDescent="0.25">
      <c r="A49" t="s">
        <v>71</v>
      </c>
      <c r="B49" t="s">
        <v>8</v>
      </c>
      <c r="C49">
        <v>13</v>
      </c>
      <c r="D49" t="s">
        <v>6</v>
      </c>
      <c r="E49" s="46">
        <v>44945</v>
      </c>
      <c r="F49">
        <v>32</v>
      </c>
      <c r="G49">
        <v>4.4000000000000004</v>
      </c>
      <c r="H49">
        <v>2023</v>
      </c>
      <c r="I49" t="s">
        <v>1094</v>
      </c>
      <c r="J49" t="s">
        <v>1100</v>
      </c>
      <c r="K49">
        <v>4</v>
      </c>
      <c r="L49">
        <v>2</v>
      </c>
      <c r="M49">
        <v>32</v>
      </c>
    </row>
    <row r="50" spans="1:13" x14ac:dyDescent="0.25">
      <c r="A50" t="s">
        <v>72</v>
      </c>
      <c r="B50" t="s">
        <v>21</v>
      </c>
      <c r="C50">
        <v>131</v>
      </c>
      <c r="D50" t="s">
        <v>11</v>
      </c>
      <c r="E50" s="46">
        <v>44945</v>
      </c>
      <c r="F50">
        <v>78</v>
      </c>
      <c r="G50">
        <v>4.4000000000000004</v>
      </c>
      <c r="H50">
        <v>2023</v>
      </c>
      <c r="I50" t="s">
        <v>1094</v>
      </c>
      <c r="J50" t="s">
        <v>1103</v>
      </c>
      <c r="K50">
        <v>4</v>
      </c>
      <c r="L50">
        <v>4</v>
      </c>
      <c r="M50">
        <v>78</v>
      </c>
    </row>
    <row r="51" spans="1:13" x14ac:dyDescent="0.25">
      <c r="A51" t="s">
        <v>73</v>
      </c>
      <c r="B51" t="s">
        <v>12</v>
      </c>
      <c r="C51">
        <v>104</v>
      </c>
      <c r="D51" t="s">
        <v>10</v>
      </c>
      <c r="E51" s="46">
        <v>44945</v>
      </c>
      <c r="F51">
        <v>86</v>
      </c>
      <c r="G51">
        <v>4</v>
      </c>
      <c r="H51">
        <v>2023</v>
      </c>
      <c r="I51" t="s">
        <v>1094</v>
      </c>
      <c r="J51" t="s">
        <v>1099</v>
      </c>
      <c r="K51">
        <v>4</v>
      </c>
      <c r="L51">
        <v>3</v>
      </c>
      <c r="M51">
        <v>86</v>
      </c>
    </row>
    <row r="52" spans="1:13" x14ac:dyDescent="0.25">
      <c r="A52" t="s">
        <v>74</v>
      </c>
      <c r="B52" t="s">
        <v>20</v>
      </c>
      <c r="C52">
        <v>90</v>
      </c>
      <c r="D52" t="s">
        <v>9</v>
      </c>
      <c r="E52" s="46">
        <v>44946</v>
      </c>
      <c r="F52">
        <v>64</v>
      </c>
      <c r="G52">
        <v>3.8</v>
      </c>
      <c r="H52">
        <v>2023</v>
      </c>
      <c r="I52" t="s">
        <v>1095</v>
      </c>
      <c r="J52" t="s">
        <v>1099</v>
      </c>
      <c r="K52">
        <v>4</v>
      </c>
      <c r="L52">
        <v>3</v>
      </c>
      <c r="M52">
        <v>64</v>
      </c>
    </row>
    <row r="53" spans="1:13" x14ac:dyDescent="0.25">
      <c r="A53" t="s">
        <v>75</v>
      </c>
      <c r="B53" t="s">
        <v>16</v>
      </c>
      <c r="C53">
        <v>37</v>
      </c>
      <c r="D53" t="s">
        <v>9</v>
      </c>
      <c r="E53" s="46">
        <v>44946</v>
      </c>
      <c r="F53">
        <v>96</v>
      </c>
      <c r="G53">
        <v>3.6</v>
      </c>
      <c r="H53">
        <v>2023</v>
      </c>
      <c r="I53" t="s">
        <v>1095</v>
      </c>
      <c r="J53" t="s">
        <v>1099</v>
      </c>
      <c r="K53">
        <v>4</v>
      </c>
      <c r="L53">
        <v>3</v>
      </c>
      <c r="M53">
        <v>96</v>
      </c>
    </row>
    <row r="54" spans="1:13" x14ac:dyDescent="0.25">
      <c r="A54" t="s">
        <v>76</v>
      </c>
      <c r="B54" t="s">
        <v>24</v>
      </c>
      <c r="C54">
        <v>149</v>
      </c>
      <c r="D54" t="s">
        <v>11</v>
      </c>
      <c r="E54" s="46">
        <v>44946</v>
      </c>
      <c r="F54">
        <v>72</v>
      </c>
      <c r="G54">
        <v>4.3</v>
      </c>
      <c r="H54">
        <v>2023</v>
      </c>
      <c r="I54" t="s">
        <v>1095</v>
      </c>
      <c r="J54" t="s">
        <v>1103</v>
      </c>
      <c r="K54">
        <v>4</v>
      </c>
      <c r="L54">
        <v>4</v>
      </c>
      <c r="M54">
        <v>72</v>
      </c>
    </row>
    <row r="55" spans="1:13" x14ac:dyDescent="0.25">
      <c r="A55" t="s">
        <v>77</v>
      </c>
      <c r="B55" t="s">
        <v>14</v>
      </c>
      <c r="C55">
        <v>100</v>
      </c>
      <c r="D55" t="s">
        <v>13</v>
      </c>
      <c r="E55" s="46">
        <v>44947</v>
      </c>
      <c r="F55">
        <v>135</v>
      </c>
      <c r="G55">
        <v>3.8</v>
      </c>
      <c r="H55">
        <v>2023</v>
      </c>
      <c r="I55" t="s">
        <v>1096</v>
      </c>
      <c r="J55" t="s">
        <v>1099</v>
      </c>
      <c r="K55">
        <v>4</v>
      </c>
      <c r="L55">
        <v>3</v>
      </c>
      <c r="M55">
        <v>135</v>
      </c>
    </row>
    <row r="56" spans="1:13" x14ac:dyDescent="0.25">
      <c r="A56" t="s">
        <v>78</v>
      </c>
      <c r="B56" t="s">
        <v>14</v>
      </c>
      <c r="C56">
        <v>79</v>
      </c>
      <c r="D56" t="s">
        <v>6</v>
      </c>
      <c r="E56" s="46">
        <v>44947</v>
      </c>
      <c r="F56">
        <v>140</v>
      </c>
      <c r="G56">
        <v>4.5</v>
      </c>
      <c r="H56">
        <v>2023</v>
      </c>
      <c r="I56" t="s">
        <v>1096</v>
      </c>
      <c r="J56" t="s">
        <v>1099</v>
      </c>
      <c r="K56">
        <v>5</v>
      </c>
      <c r="L56">
        <v>3</v>
      </c>
      <c r="M56">
        <v>140</v>
      </c>
    </row>
    <row r="57" spans="1:13" x14ac:dyDescent="0.25">
      <c r="A57" t="s">
        <v>79</v>
      </c>
      <c r="B57" t="s">
        <v>5</v>
      </c>
      <c r="C57">
        <v>157</v>
      </c>
      <c r="D57" t="s">
        <v>11</v>
      </c>
      <c r="E57" s="46">
        <v>44947</v>
      </c>
      <c r="F57">
        <v>69</v>
      </c>
      <c r="G57">
        <v>4.5</v>
      </c>
      <c r="H57">
        <v>2023</v>
      </c>
      <c r="I57" t="s">
        <v>1096</v>
      </c>
      <c r="J57" t="s">
        <v>1103</v>
      </c>
      <c r="K57">
        <v>5</v>
      </c>
      <c r="L57">
        <v>4</v>
      </c>
      <c r="M57">
        <v>69</v>
      </c>
    </row>
    <row r="58" spans="1:13" x14ac:dyDescent="0.25">
      <c r="A58" t="s">
        <v>80</v>
      </c>
      <c r="B58" t="s">
        <v>14</v>
      </c>
      <c r="C58">
        <v>59</v>
      </c>
      <c r="D58" t="s">
        <v>10</v>
      </c>
      <c r="E58" s="46">
        <v>44948</v>
      </c>
      <c r="F58">
        <v>136</v>
      </c>
      <c r="G58">
        <v>4.5999999999999996</v>
      </c>
      <c r="H58">
        <v>2023</v>
      </c>
      <c r="I58" t="s">
        <v>1090</v>
      </c>
      <c r="J58" t="s">
        <v>1099</v>
      </c>
      <c r="K58">
        <v>5</v>
      </c>
      <c r="L58">
        <v>3</v>
      </c>
      <c r="M58">
        <v>136</v>
      </c>
    </row>
    <row r="59" spans="1:13" x14ac:dyDescent="0.25">
      <c r="A59" t="s">
        <v>81</v>
      </c>
      <c r="B59" t="s">
        <v>16</v>
      </c>
      <c r="C59">
        <v>83</v>
      </c>
      <c r="D59" t="s">
        <v>11</v>
      </c>
      <c r="E59" s="46">
        <v>44948</v>
      </c>
      <c r="F59">
        <v>28</v>
      </c>
      <c r="G59">
        <v>4.5</v>
      </c>
      <c r="H59">
        <v>2023</v>
      </c>
      <c r="I59" t="s">
        <v>1090</v>
      </c>
      <c r="J59" t="s">
        <v>1099</v>
      </c>
      <c r="K59">
        <v>5</v>
      </c>
      <c r="L59">
        <v>3</v>
      </c>
      <c r="M59">
        <v>28</v>
      </c>
    </row>
    <row r="60" spans="1:13" x14ac:dyDescent="0.25">
      <c r="A60" t="s">
        <v>82</v>
      </c>
      <c r="B60" t="s">
        <v>5</v>
      </c>
      <c r="C60">
        <v>58</v>
      </c>
      <c r="D60" t="s">
        <v>9</v>
      </c>
      <c r="E60" s="46">
        <v>44949</v>
      </c>
      <c r="F60">
        <v>135</v>
      </c>
      <c r="G60">
        <v>3.3</v>
      </c>
      <c r="H60">
        <v>2023</v>
      </c>
      <c r="I60" t="s">
        <v>1091</v>
      </c>
      <c r="J60" t="s">
        <v>1099</v>
      </c>
      <c r="K60">
        <v>3</v>
      </c>
      <c r="L60">
        <v>3</v>
      </c>
      <c r="M60">
        <v>135</v>
      </c>
    </row>
    <row r="61" spans="1:13" x14ac:dyDescent="0.25">
      <c r="A61" t="s">
        <v>83</v>
      </c>
      <c r="B61" t="s">
        <v>19</v>
      </c>
      <c r="C61">
        <v>118</v>
      </c>
      <c r="D61" t="s">
        <v>9</v>
      </c>
      <c r="E61" s="46">
        <v>44949</v>
      </c>
      <c r="F61">
        <v>126</v>
      </c>
      <c r="G61">
        <v>2.2999999999999998</v>
      </c>
      <c r="H61">
        <v>2023</v>
      </c>
      <c r="I61" t="s">
        <v>1091</v>
      </c>
      <c r="J61" t="s">
        <v>1099</v>
      </c>
      <c r="K61">
        <v>2</v>
      </c>
      <c r="L61">
        <v>3</v>
      </c>
      <c r="M61">
        <v>126</v>
      </c>
    </row>
    <row r="62" spans="1:13" x14ac:dyDescent="0.25">
      <c r="A62" t="s">
        <v>84</v>
      </c>
      <c r="B62" t="s">
        <v>8</v>
      </c>
      <c r="C62">
        <v>63</v>
      </c>
      <c r="D62" t="s">
        <v>10</v>
      </c>
      <c r="E62" s="46">
        <v>44949</v>
      </c>
      <c r="F62">
        <v>160</v>
      </c>
      <c r="G62">
        <v>4.3</v>
      </c>
      <c r="H62">
        <v>2023</v>
      </c>
      <c r="I62" t="s">
        <v>1091</v>
      </c>
      <c r="J62" t="s">
        <v>1099</v>
      </c>
      <c r="K62">
        <v>4</v>
      </c>
      <c r="L62">
        <v>3</v>
      </c>
      <c r="M62">
        <v>160</v>
      </c>
    </row>
    <row r="63" spans="1:13" x14ac:dyDescent="0.25">
      <c r="A63" t="s">
        <v>85</v>
      </c>
      <c r="B63" t="s">
        <v>5</v>
      </c>
      <c r="C63">
        <v>95</v>
      </c>
      <c r="D63" t="s">
        <v>9</v>
      </c>
      <c r="E63" s="46">
        <v>44950</v>
      </c>
      <c r="F63">
        <v>48</v>
      </c>
      <c r="G63">
        <v>4.5999999999999996</v>
      </c>
      <c r="H63">
        <v>2023</v>
      </c>
      <c r="I63" t="s">
        <v>1092</v>
      </c>
      <c r="J63" t="s">
        <v>1099</v>
      </c>
      <c r="K63">
        <v>5</v>
      </c>
      <c r="L63">
        <v>3</v>
      </c>
      <c r="M63">
        <v>48</v>
      </c>
    </row>
    <row r="64" spans="1:13" x14ac:dyDescent="0.25">
      <c r="A64" t="s">
        <v>86</v>
      </c>
      <c r="B64" t="s">
        <v>14</v>
      </c>
      <c r="C64">
        <v>74</v>
      </c>
      <c r="D64" t="s">
        <v>11</v>
      </c>
      <c r="E64" s="46">
        <v>44950</v>
      </c>
      <c r="F64">
        <v>66</v>
      </c>
      <c r="G64">
        <v>4</v>
      </c>
      <c r="H64">
        <v>2023</v>
      </c>
      <c r="I64" t="s">
        <v>1092</v>
      </c>
      <c r="J64" t="s">
        <v>1099</v>
      </c>
      <c r="K64">
        <v>4</v>
      </c>
      <c r="L64">
        <v>3</v>
      </c>
      <c r="M64">
        <v>66</v>
      </c>
    </row>
    <row r="65" spans="1:13" x14ac:dyDescent="0.25">
      <c r="A65" t="s">
        <v>87</v>
      </c>
      <c r="B65" t="s">
        <v>18</v>
      </c>
      <c r="C65">
        <v>130</v>
      </c>
      <c r="D65" t="s">
        <v>13</v>
      </c>
      <c r="E65" s="46">
        <v>44950</v>
      </c>
      <c r="F65">
        <v>126</v>
      </c>
      <c r="G65">
        <v>2.5</v>
      </c>
      <c r="H65">
        <v>2023</v>
      </c>
      <c r="I65" t="s">
        <v>1092</v>
      </c>
      <c r="J65" t="s">
        <v>1103</v>
      </c>
      <c r="K65">
        <v>3</v>
      </c>
      <c r="L65">
        <v>4</v>
      </c>
      <c r="M65">
        <v>126</v>
      </c>
    </row>
    <row r="66" spans="1:13" x14ac:dyDescent="0.25">
      <c r="A66" t="s">
        <v>88</v>
      </c>
      <c r="B66" t="s">
        <v>19</v>
      </c>
      <c r="C66">
        <v>110</v>
      </c>
      <c r="D66" t="s">
        <v>6</v>
      </c>
      <c r="E66" s="46">
        <v>44950</v>
      </c>
      <c r="F66">
        <v>96</v>
      </c>
      <c r="G66">
        <v>5</v>
      </c>
      <c r="H66">
        <v>2023</v>
      </c>
      <c r="I66" t="s">
        <v>1092</v>
      </c>
      <c r="J66" t="s">
        <v>1099</v>
      </c>
      <c r="K66">
        <v>5</v>
      </c>
      <c r="L66">
        <v>3</v>
      </c>
      <c r="M66">
        <v>96</v>
      </c>
    </row>
    <row r="67" spans="1:13" x14ac:dyDescent="0.25">
      <c r="A67" t="s">
        <v>89</v>
      </c>
      <c r="B67" t="s">
        <v>14</v>
      </c>
      <c r="C67">
        <v>71</v>
      </c>
      <c r="D67" t="s">
        <v>10</v>
      </c>
      <c r="E67" s="46">
        <v>44951</v>
      </c>
      <c r="F67">
        <v>90</v>
      </c>
      <c r="G67">
        <v>3.8</v>
      </c>
      <c r="H67">
        <v>2023</v>
      </c>
      <c r="I67" t="s">
        <v>1093</v>
      </c>
      <c r="J67" t="s">
        <v>1099</v>
      </c>
      <c r="K67">
        <v>4</v>
      </c>
      <c r="L67">
        <v>3</v>
      </c>
      <c r="M67">
        <v>90</v>
      </c>
    </row>
    <row r="68" spans="1:13" x14ac:dyDescent="0.25">
      <c r="A68" t="s">
        <v>90</v>
      </c>
      <c r="B68" t="s">
        <v>17</v>
      </c>
      <c r="C68">
        <v>147</v>
      </c>
      <c r="D68" t="s">
        <v>13</v>
      </c>
      <c r="E68" s="46">
        <v>44951</v>
      </c>
      <c r="F68">
        <v>105</v>
      </c>
      <c r="G68">
        <v>4.4000000000000004</v>
      </c>
      <c r="H68">
        <v>2023</v>
      </c>
      <c r="I68" t="s">
        <v>1093</v>
      </c>
      <c r="J68" t="s">
        <v>1103</v>
      </c>
      <c r="K68">
        <v>4</v>
      </c>
      <c r="L68">
        <v>4</v>
      </c>
      <c r="M68">
        <v>105</v>
      </c>
    </row>
    <row r="69" spans="1:13" x14ac:dyDescent="0.25">
      <c r="A69" t="s">
        <v>91</v>
      </c>
      <c r="B69" t="s">
        <v>12</v>
      </c>
      <c r="C69">
        <v>69</v>
      </c>
      <c r="D69" t="s">
        <v>9</v>
      </c>
      <c r="E69" s="46">
        <v>44952</v>
      </c>
      <c r="F69">
        <v>40</v>
      </c>
      <c r="G69">
        <v>3.8</v>
      </c>
      <c r="H69">
        <v>2023</v>
      </c>
      <c r="I69" t="s">
        <v>1094</v>
      </c>
      <c r="J69" t="s">
        <v>1099</v>
      </c>
      <c r="K69">
        <v>4</v>
      </c>
      <c r="L69">
        <v>3</v>
      </c>
      <c r="M69">
        <v>40</v>
      </c>
    </row>
    <row r="70" spans="1:13" x14ac:dyDescent="0.25">
      <c r="A70" t="s">
        <v>92</v>
      </c>
      <c r="B70" t="s">
        <v>19</v>
      </c>
      <c r="C70">
        <v>50</v>
      </c>
      <c r="D70" t="s">
        <v>10</v>
      </c>
      <c r="E70" s="46">
        <v>44952</v>
      </c>
      <c r="F70">
        <v>60</v>
      </c>
      <c r="G70">
        <v>2</v>
      </c>
      <c r="H70">
        <v>2023</v>
      </c>
      <c r="I70" t="s">
        <v>1094</v>
      </c>
      <c r="J70" t="s">
        <v>1099</v>
      </c>
      <c r="K70">
        <v>2</v>
      </c>
      <c r="L70">
        <v>3</v>
      </c>
      <c r="M70">
        <v>60</v>
      </c>
    </row>
    <row r="71" spans="1:13" x14ac:dyDescent="0.25">
      <c r="A71" t="s">
        <v>93</v>
      </c>
      <c r="B71" t="s">
        <v>18</v>
      </c>
      <c r="C71">
        <v>124</v>
      </c>
      <c r="D71" t="s">
        <v>13</v>
      </c>
      <c r="E71" s="46">
        <v>44953</v>
      </c>
      <c r="F71">
        <v>215</v>
      </c>
      <c r="G71">
        <v>4.0999999999999996</v>
      </c>
      <c r="H71">
        <v>2023</v>
      </c>
      <c r="I71" t="s">
        <v>1095</v>
      </c>
      <c r="J71" t="s">
        <v>1103</v>
      </c>
      <c r="K71">
        <v>4</v>
      </c>
      <c r="L71">
        <v>4</v>
      </c>
      <c r="M71">
        <v>215</v>
      </c>
    </row>
    <row r="72" spans="1:13" x14ac:dyDescent="0.25">
      <c r="A72" t="s">
        <v>94</v>
      </c>
      <c r="B72" t="s">
        <v>23</v>
      </c>
      <c r="C72">
        <v>81</v>
      </c>
      <c r="D72" t="s">
        <v>11</v>
      </c>
      <c r="E72" s="46">
        <v>44953</v>
      </c>
      <c r="F72">
        <v>156</v>
      </c>
      <c r="G72">
        <v>2.6</v>
      </c>
      <c r="H72">
        <v>2023</v>
      </c>
      <c r="I72" t="s">
        <v>1095</v>
      </c>
      <c r="J72" t="s">
        <v>1099</v>
      </c>
      <c r="K72">
        <v>3</v>
      </c>
      <c r="L72">
        <v>3</v>
      </c>
      <c r="M72">
        <v>156</v>
      </c>
    </row>
    <row r="73" spans="1:13" x14ac:dyDescent="0.25">
      <c r="A73" t="s">
        <v>95</v>
      </c>
      <c r="B73" t="s">
        <v>7</v>
      </c>
      <c r="C73">
        <v>141</v>
      </c>
      <c r="D73" t="s">
        <v>6</v>
      </c>
      <c r="E73" s="46">
        <v>44953</v>
      </c>
      <c r="F73">
        <v>54</v>
      </c>
      <c r="G73">
        <v>0</v>
      </c>
      <c r="H73">
        <v>2023</v>
      </c>
      <c r="I73" t="s">
        <v>1095</v>
      </c>
      <c r="J73" t="s">
        <v>1103</v>
      </c>
      <c r="K73">
        <v>0</v>
      </c>
      <c r="L73">
        <v>4</v>
      </c>
      <c r="M73">
        <v>54</v>
      </c>
    </row>
    <row r="74" spans="1:13" x14ac:dyDescent="0.25">
      <c r="A74" t="s">
        <v>96</v>
      </c>
      <c r="B74" t="s">
        <v>7</v>
      </c>
      <c r="C74">
        <v>168</v>
      </c>
      <c r="D74" t="s">
        <v>6</v>
      </c>
      <c r="E74" s="46">
        <v>44954</v>
      </c>
      <c r="F74">
        <v>160</v>
      </c>
      <c r="G74">
        <v>3.9</v>
      </c>
      <c r="H74">
        <v>2023</v>
      </c>
      <c r="I74" t="s">
        <v>1096</v>
      </c>
      <c r="J74" t="s">
        <v>1103</v>
      </c>
      <c r="K74">
        <v>4</v>
      </c>
      <c r="L74">
        <v>4</v>
      </c>
      <c r="M74">
        <v>160</v>
      </c>
    </row>
    <row r="75" spans="1:13" x14ac:dyDescent="0.25">
      <c r="A75" t="s">
        <v>97</v>
      </c>
      <c r="B75" t="s">
        <v>17</v>
      </c>
      <c r="C75">
        <v>101</v>
      </c>
      <c r="D75" t="s">
        <v>11</v>
      </c>
      <c r="E75" s="46">
        <v>44954</v>
      </c>
      <c r="F75">
        <v>80</v>
      </c>
      <c r="G75">
        <v>4.8</v>
      </c>
      <c r="H75">
        <v>2023</v>
      </c>
      <c r="I75" t="s">
        <v>1096</v>
      </c>
      <c r="J75" t="s">
        <v>1099</v>
      </c>
      <c r="K75">
        <v>5</v>
      </c>
      <c r="L75">
        <v>3</v>
      </c>
      <c r="M75">
        <v>80</v>
      </c>
    </row>
    <row r="76" spans="1:13" x14ac:dyDescent="0.25">
      <c r="A76" t="s">
        <v>98</v>
      </c>
      <c r="B76" t="s">
        <v>14</v>
      </c>
      <c r="C76">
        <v>67</v>
      </c>
      <c r="D76" t="s">
        <v>11</v>
      </c>
      <c r="E76" s="46">
        <v>44954</v>
      </c>
      <c r="F76">
        <v>168</v>
      </c>
      <c r="G76">
        <v>2.6</v>
      </c>
      <c r="H76">
        <v>2023</v>
      </c>
      <c r="I76" t="s">
        <v>1096</v>
      </c>
      <c r="J76" t="s">
        <v>1099</v>
      </c>
      <c r="K76">
        <v>3</v>
      </c>
      <c r="L76">
        <v>3</v>
      </c>
      <c r="M76">
        <v>168</v>
      </c>
    </row>
    <row r="77" spans="1:13" x14ac:dyDescent="0.25">
      <c r="A77" t="s">
        <v>99</v>
      </c>
      <c r="B77" t="s">
        <v>5</v>
      </c>
      <c r="C77">
        <v>114</v>
      </c>
      <c r="D77" t="s">
        <v>6</v>
      </c>
      <c r="E77" s="46">
        <v>44956</v>
      </c>
      <c r="F77">
        <v>42</v>
      </c>
      <c r="G77">
        <v>2.6</v>
      </c>
      <c r="H77">
        <v>2023</v>
      </c>
      <c r="I77" t="s">
        <v>1091</v>
      </c>
      <c r="J77" t="s">
        <v>1099</v>
      </c>
      <c r="K77">
        <v>3</v>
      </c>
      <c r="L77">
        <v>3</v>
      </c>
      <c r="M77">
        <v>42</v>
      </c>
    </row>
    <row r="78" spans="1:13" x14ac:dyDescent="0.25">
      <c r="A78" t="s">
        <v>100</v>
      </c>
      <c r="B78" t="s">
        <v>23</v>
      </c>
      <c r="C78">
        <v>42</v>
      </c>
      <c r="D78" t="s">
        <v>11</v>
      </c>
      <c r="E78" s="46">
        <v>44956</v>
      </c>
      <c r="F78">
        <v>205</v>
      </c>
      <c r="G78">
        <v>3.6</v>
      </c>
      <c r="H78">
        <v>2023</v>
      </c>
      <c r="I78" t="s">
        <v>1091</v>
      </c>
      <c r="J78" t="s">
        <v>1099</v>
      </c>
      <c r="K78">
        <v>4</v>
      </c>
      <c r="L78">
        <v>3</v>
      </c>
      <c r="M78">
        <v>205</v>
      </c>
    </row>
    <row r="79" spans="1:13" x14ac:dyDescent="0.25">
      <c r="A79" t="s">
        <v>101</v>
      </c>
      <c r="B79" t="s">
        <v>8</v>
      </c>
      <c r="C79">
        <v>69</v>
      </c>
      <c r="D79" t="s">
        <v>6</v>
      </c>
      <c r="E79" s="46">
        <v>44956</v>
      </c>
      <c r="F79">
        <v>108</v>
      </c>
      <c r="G79">
        <v>3.3</v>
      </c>
      <c r="H79">
        <v>2023</v>
      </c>
      <c r="I79" t="s">
        <v>1091</v>
      </c>
      <c r="J79" t="s">
        <v>1099</v>
      </c>
      <c r="K79">
        <v>3</v>
      </c>
      <c r="L79">
        <v>3</v>
      </c>
      <c r="M79">
        <v>108</v>
      </c>
    </row>
    <row r="80" spans="1:13" x14ac:dyDescent="0.25">
      <c r="A80" t="s">
        <v>102</v>
      </c>
      <c r="B80" t="s">
        <v>18</v>
      </c>
      <c r="C80">
        <v>145</v>
      </c>
      <c r="D80" t="s">
        <v>9</v>
      </c>
      <c r="E80" s="46">
        <v>44956</v>
      </c>
      <c r="F80">
        <v>78</v>
      </c>
      <c r="G80">
        <v>1.9</v>
      </c>
      <c r="H80">
        <v>2023</v>
      </c>
      <c r="I80" t="s">
        <v>1091</v>
      </c>
      <c r="J80" t="s">
        <v>1103</v>
      </c>
      <c r="K80">
        <v>2</v>
      </c>
      <c r="L80">
        <v>4</v>
      </c>
      <c r="M80">
        <v>78</v>
      </c>
    </row>
    <row r="81" spans="1:13" x14ac:dyDescent="0.25">
      <c r="A81" t="s">
        <v>103</v>
      </c>
      <c r="B81" t="s">
        <v>12</v>
      </c>
      <c r="C81">
        <v>43</v>
      </c>
      <c r="D81" t="s">
        <v>6</v>
      </c>
      <c r="E81" s="46">
        <v>44956</v>
      </c>
      <c r="F81">
        <v>23</v>
      </c>
      <c r="G81">
        <v>4.9000000000000004</v>
      </c>
      <c r="H81">
        <v>2023</v>
      </c>
      <c r="I81" t="s">
        <v>1091</v>
      </c>
      <c r="J81" t="s">
        <v>1099</v>
      </c>
      <c r="K81">
        <v>5</v>
      </c>
      <c r="L81">
        <v>3</v>
      </c>
      <c r="M81">
        <v>23</v>
      </c>
    </row>
    <row r="82" spans="1:13" x14ac:dyDescent="0.25">
      <c r="A82" t="s">
        <v>104</v>
      </c>
      <c r="B82" t="s">
        <v>8</v>
      </c>
      <c r="C82">
        <v>62</v>
      </c>
      <c r="D82" t="s">
        <v>10</v>
      </c>
      <c r="E82" s="46">
        <v>44957</v>
      </c>
      <c r="F82">
        <v>99</v>
      </c>
      <c r="G82">
        <v>3.6</v>
      </c>
      <c r="H82">
        <v>2023</v>
      </c>
      <c r="I82" t="s">
        <v>1092</v>
      </c>
      <c r="J82" t="s">
        <v>1099</v>
      </c>
      <c r="K82">
        <v>4</v>
      </c>
      <c r="L82">
        <v>3</v>
      </c>
      <c r="M82">
        <v>99</v>
      </c>
    </row>
    <row r="83" spans="1:13" x14ac:dyDescent="0.25">
      <c r="A83" t="s">
        <v>105</v>
      </c>
      <c r="B83" t="s">
        <v>22</v>
      </c>
      <c r="C83">
        <v>79</v>
      </c>
      <c r="D83" t="s">
        <v>6</v>
      </c>
      <c r="E83" s="46">
        <v>44958</v>
      </c>
      <c r="F83">
        <v>148</v>
      </c>
      <c r="G83">
        <v>4.5</v>
      </c>
      <c r="H83">
        <v>2023</v>
      </c>
      <c r="I83" t="s">
        <v>1093</v>
      </c>
      <c r="J83" t="s">
        <v>1099</v>
      </c>
      <c r="K83">
        <v>5</v>
      </c>
      <c r="L83">
        <v>3</v>
      </c>
      <c r="M83">
        <v>148</v>
      </c>
    </row>
    <row r="84" spans="1:13" x14ac:dyDescent="0.25">
      <c r="A84" t="s">
        <v>106</v>
      </c>
      <c r="B84" t="s">
        <v>18</v>
      </c>
      <c r="C84">
        <v>45</v>
      </c>
      <c r="D84" t="s">
        <v>13</v>
      </c>
      <c r="E84" s="46">
        <v>44958</v>
      </c>
      <c r="F84">
        <v>34</v>
      </c>
      <c r="G84">
        <v>3.7</v>
      </c>
      <c r="H84">
        <v>2023</v>
      </c>
      <c r="I84" t="s">
        <v>1093</v>
      </c>
      <c r="J84" t="s">
        <v>1099</v>
      </c>
      <c r="K84">
        <v>4</v>
      </c>
      <c r="L84">
        <v>3</v>
      </c>
      <c r="M84">
        <v>34</v>
      </c>
    </row>
    <row r="85" spans="1:13" x14ac:dyDescent="0.25">
      <c r="A85" t="s">
        <v>107</v>
      </c>
      <c r="B85" t="s">
        <v>8</v>
      </c>
      <c r="C85">
        <v>137</v>
      </c>
      <c r="D85" t="s">
        <v>6</v>
      </c>
      <c r="E85" s="46">
        <v>44958</v>
      </c>
      <c r="F85">
        <v>86</v>
      </c>
      <c r="G85">
        <v>4.8</v>
      </c>
      <c r="H85">
        <v>2023</v>
      </c>
      <c r="I85" t="s">
        <v>1093</v>
      </c>
      <c r="J85" t="s">
        <v>1103</v>
      </c>
      <c r="K85">
        <v>5</v>
      </c>
      <c r="L85">
        <v>4</v>
      </c>
      <c r="M85">
        <v>86</v>
      </c>
    </row>
    <row r="86" spans="1:13" x14ac:dyDescent="0.25">
      <c r="A86" t="s">
        <v>108</v>
      </c>
      <c r="B86" t="s">
        <v>5</v>
      </c>
      <c r="C86">
        <v>109</v>
      </c>
      <c r="D86" t="s">
        <v>10</v>
      </c>
      <c r="E86" s="46">
        <v>44958</v>
      </c>
      <c r="F86">
        <v>105</v>
      </c>
      <c r="G86">
        <v>3.3</v>
      </c>
      <c r="H86">
        <v>2023</v>
      </c>
      <c r="I86" t="s">
        <v>1093</v>
      </c>
      <c r="J86" t="s">
        <v>1099</v>
      </c>
      <c r="K86">
        <v>3</v>
      </c>
      <c r="L86">
        <v>3</v>
      </c>
      <c r="M86">
        <v>105</v>
      </c>
    </row>
    <row r="87" spans="1:13" x14ac:dyDescent="0.25">
      <c r="A87" t="s">
        <v>109</v>
      </c>
      <c r="B87" t="s">
        <v>12</v>
      </c>
      <c r="C87">
        <v>78</v>
      </c>
      <c r="D87" t="s">
        <v>10</v>
      </c>
      <c r="E87" s="46">
        <v>44958</v>
      </c>
      <c r="F87">
        <v>62</v>
      </c>
      <c r="G87">
        <v>3.1</v>
      </c>
      <c r="H87">
        <v>2023</v>
      </c>
      <c r="I87" t="s">
        <v>1093</v>
      </c>
      <c r="J87" t="s">
        <v>1099</v>
      </c>
      <c r="K87">
        <v>3</v>
      </c>
      <c r="L87">
        <v>3</v>
      </c>
      <c r="M87">
        <v>62</v>
      </c>
    </row>
    <row r="88" spans="1:13" x14ac:dyDescent="0.25">
      <c r="A88" t="s">
        <v>110</v>
      </c>
      <c r="B88" t="s">
        <v>8</v>
      </c>
      <c r="C88">
        <v>137</v>
      </c>
      <c r="D88" t="s">
        <v>13</v>
      </c>
      <c r="E88" s="46">
        <v>44958</v>
      </c>
      <c r="F88">
        <v>90</v>
      </c>
      <c r="G88">
        <v>4.0999999999999996</v>
      </c>
      <c r="H88">
        <v>2023</v>
      </c>
      <c r="I88" t="s">
        <v>1093</v>
      </c>
      <c r="J88" t="s">
        <v>1103</v>
      </c>
      <c r="K88">
        <v>4</v>
      </c>
      <c r="L88">
        <v>4</v>
      </c>
      <c r="M88">
        <v>90</v>
      </c>
    </row>
    <row r="89" spans="1:13" x14ac:dyDescent="0.25">
      <c r="A89" t="s">
        <v>111</v>
      </c>
      <c r="B89" t="s">
        <v>21</v>
      </c>
      <c r="C89">
        <v>99</v>
      </c>
      <c r="D89" t="s">
        <v>10</v>
      </c>
      <c r="E89" s="46">
        <v>44959</v>
      </c>
      <c r="F89">
        <v>112</v>
      </c>
      <c r="G89">
        <v>4.9000000000000004</v>
      </c>
      <c r="H89">
        <v>2023</v>
      </c>
      <c r="I89" t="s">
        <v>1094</v>
      </c>
      <c r="J89" t="s">
        <v>1099</v>
      </c>
      <c r="K89">
        <v>5</v>
      </c>
      <c r="L89">
        <v>3</v>
      </c>
      <c r="M89">
        <v>112</v>
      </c>
    </row>
    <row r="90" spans="1:13" x14ac:dyDescent="0.25">
      <c r="A90" t="s">
        <v>112</v>
      </c>
      <c r="B90" t="s">
        <v>19</v>
      </c>
      <c r="C90">
        <v>100</v>
      </c>
      <c r="D90" t="s">
        <v>10</v>
      </c>
      <c r="E90" s="46">
        <v>44959</v>
      </c>
      <c r="F90">
        <v>135</v>
      </c>
      <c r="G90">
        <v>4</v>
      </c>
      <c r="H90">
        <v>2023</v>
      </c>
      <c r="I90" t="s">
        <v>1094</v>
      </c>
      <c r="J90" t="s">
        <v>1099</v>
      </c>
      <c r="K90">
        <v>4</v>
      </c>
      <c r="L90">
        <v>3</v>
      </c>
      <c r="M90">
        <v>135</v>
      </c>
    </row>
    <row r="91" spans="1:13" x14ac:dyDescent="0.25">
      <c r="A91" t="s">
        <v>113</v>
      </c>
      <c r="B91" t="s">
        <v>12</v>
      </c>
      <c r="C91">
        <v>47</v>
      </c>
      <c r="D91" t="s">
        <v>9</v>
      </c>
      <c r="E91" s="46">
        <v>44959</v>
      </c>
      <c r="F91">
        <v>34</v>
      </c>
      <c r="G91">
        <v>2.1</v>
      </c>
      <c r="H91">
        <v>2023</v>
      </c>
      <c r="I91" t="s">
        <v>1094</v>
      </c>
      <c r="J91" t="s">
        <v>1099</v>
      </c>
      <c r="K91">
        <v>2</v>
      </c>
      <c r="L91">
        <v>3</v>
      </c>
      <c r="M91">
        <v>34</v>
      </c>
    </row>
    <row r="92" spans="1:13" x14ac:dyDescent="0.25">
      <c r="A92" t="s">
        <v>114</v>
      </c>
      <c r="B92" t="s">
        <v>5</v>
      </c>
      <c r="C92">
        <v>87</v>
      </c>
      <c r="D92" t="s">
        <v>11</v>
      </c>
      <c r="E92" s="46">
        <v>44959</v>
      </c>
      <c r="F92">
        <v>155</v>
      </c>
      <c r="G92">
        <v>4.5</v>
      </c>
      <c r="H92">
        <v>2023</v>
      </c>
      <c r="I92" t="s">
        <v>1094</v>
      </c>
      <c r="J92" t="s">
        <v>1099</v>
      </c>
      <c r="K92">
        <v>5</v>
      </c>
      <c r="L92">
        <v>3</v>
      </c>
      <c r="M92">
        <v>155</v>
      </c>
    </row>
    <row r="93" spans="1:13" x14ac:dyDescent="0.25">
      <c r="A93" t="s">
        <v>115</v>
      </c>
      <c r="B93" t="s">
        <v>21</v>
      </c>
      <c r="C93">
        <v>143</v>
      </c>
      <c r="D93" t="s">
        <v>11</v>
      </c>
      <c r="E93" s="46">
        <v>44961</v>
      </c>
      <c r="F93">
        <v>124</v>
      </c>
      <c r="G93">
        <v>4.9000000000000004</v>
      </c>
      <c r="H93">
        <v>2023</v>
      </c>
      <c r="I93" t="s">
        <v>1096</v>
      </c>
      <c r="J93" t="s">
        <v>1103</v>
      </c>
      <c r="K93">
        <v>5</v>
      </c>
      <c r="L93">
        <v>4</v>
      </c>
      <c r="M93">
        <v>124</v>
      </c>
    </row>
    <row r="94" spans="1:13" x14ac:dyDescent="0.25">
      <c r="A94" t="s">
        <v>116</v>
      </c>
      <c r="B94" t="s">
        <v>19</v>
      </c>
      <c r="C94">
        <v>84</v>
      </c>
      <c r="D94" t="s">
        <v>10</v>
      </c>
      <c r="E94" s="46">
        <v>44961</v>
      </c>
      <c r="F94">
        <v>195</v>
      </c>
      <c r="G94">
        <v>4.0999999999999996</v>
      </c>
      <c r="H94">
        <v>2023</v>
      </c>
      <c r="I94" t="s">
        <v>1096</v>
      </c>
      <c r="J94" t="s">
        <v>1099</v>
      </c>
      <c r="K94">
        <v>4</v>
      </c>
      <c r="L94">
        <v>3</v>
      </c>
      <c r="M94">
        <v>195</v>
      </c>
    </row>
    <row r="95" spans="1:13" x14ac:dyDescent="0.25">
      <c r="A95" t="s">
        <v>117</v>
      </c>
      <c r="B95" t="s">
        <v>17</v>
      </c>
      <c r="C95">
        <v>55</v>
      </c>
      <c r="D95" t="s">
        <v>11</v>
      </c>
      <c r="E95" s="46">
        <v>44962</v>
      </c>
      <c r="F95">
        <v>78</v>
      </c>
      <c r="G95">
        <v>4.5</v>
      </c>
      <c r="H95">
        <v>2023</v>
      </c>
      <c r="I95" t="s">
        <v>1090</v>
      </c>
      <c r="J95" t="s">
        <v>1099</v>
      </c>
      <c r="K95">
        <v>5</v>
      </c>
      <c r="L95">
        <v>3</v>
      </c>
      <c r="M95">
        <v>78</v>
      </c>
    </row>
    <row r="96" spans="1:13" x14ac:dyDescent="0.25">
      <c r="A96" t="s">
        <v>118</v>
      </c>
      <c r="B96" t="s">
        <v>15</v>
      </c>
      <c r="C96">
        <v>135</v>
      </c>
      <c r="D96" t="s">
        <v>13</v>
      </c>
      <c r="E96" s="46">
        <v>44964</v>
      </c>
      <c r="F96">
        <v>35</v>
      </c>
      <c r="G96">
        <v>4.8</v>
      </c>
      <c r="H96">
        <v>2023</v>
      </c>
      <c r="I96" t="s">
        <v>1092</v>
      </c>
      <c r="J96" t="s">
        <v>1103</v>
      </c>
      <c r="K96">
        <v>5</v>
      </c>
      <c r="L96">
        <v>4</v>
      </c>
      <c r="M96">
        <v>35</v>
      </c>
    </row>
    <row r="97" spans="1:13" x14ac:dyDescent="0.25">
      <c r="A97" t="s">
        <v>119</v>
      </c>
      <c r="B97" t="s">
        <v>16</v>
      </c>
      <c r="C97">
        <v>152</v>
      </c>
      <c r="D97" t="s">
        <v>9</v>
      </c>
      <c r="E97" s="46">
        <v>44964</v>
      </c>
      <c r="F97">
        <v>123</v>
      </c>
      <c r="G97">
        <v>4.5999999999999996</v>
      </c>
      <c r="H97">
        <v>2023</v>
      </c>
      <c r="I97" t="s">
        <v>1092</v>
      </c>
      <c r="J97" t="s">
        <v>1103</v>
      </c>
      <c r="K97">
        <v>5</v>
      </c>
      <c r="L97">
        <v>4</v>
      </c>
      <c r="M97">
        <v>123</v>
      </c>
    </row>
    <row r="98" spans="1:13" x14ac:dyDescent="0.25">
      <c r="A98" t="s">
        <v>120</v>
      </c>
      <c r="B98" t="s">
        <v>23</v>
      </c>
      <c r="C98">
        <v>132</v>
      </c>
      <c r="D98" t="s">
        <v>9</v>
      </c>
      <c r="E98" s="46">
        <v>44964</v>
      </c>
      <c r="F98">
        <v>43</v>
      </c>
      <c r="G98">
        <v>4.5999999999999996</v>
      </c>
      <c r="H98">
        <v>2023</v>
      </c>
      <c r="I98" t="s">
        <v>1092</v>
      </c>
      <c r="J98" t="s">
        <v>1103</v>
      </c>
      <c r="K98">
        <v>5</v>
      </c>
      <c r="L98">
        <v>4</v>
      </c>
      <c r="M98">
        <v>43</v>
      </c>
    </row>
    <row r="99" spans="1:13" x14ac:dyDescent="0.25">
      <c r="A99" t="s">
        <v>121</v>
      </c>
      <c r="B99" t="s">
        <v>7</v>
      </c>
      <c r="C99">
        <v>60</v>
      </c>
      <c r="D99" t="s">
        <v>10</v>
      </c>
      <c r="E99" s="46">
        <v>44965</v>
      </c>
      <c r="F99">
        <v>69</v>
      </c>
      <c r="G99">
        <v>4.3</v>
      </c>
      <c r="H99">
        <v>2023</v>
      </c>
      <c r="I99" t="s">
        <v>1093</v>
      </c>
      <c r="J99" t="s">
        <v>1099</v>
      </c>
      <c r="K99">
        <v>4</v>
      </c>
      <c r="L99">
        <v>3</v>
      </c>
      <c r="M99">
        <v>69</v>
      </c>
    </row>
    <row r="100" spans="1:13" x14ac:dyDescent="0.25">
      <c r="A100" t="s">
        <v>122</v>
      </c>
      <c r="B100" t="s">
        <v>16</v>
      </c>
      <c r="C100">
        <v>95</v>
      </c>
      <c r="D100" t="s">
        <v>9</v>
      </c>
      <c r="E100" s="46">
        <v>44965</v>
      </c>
      <c r="F100">
        <v>130</v>
      </c>
      <c r="G100">
        <v>5</v>
      </c>
      <c r="H100">
        <v>2023</v>
      </c>
      <c r="I100" t="s">
        <v>1093</v>
      </c>
      <c r="J100" t="s">
        <v>1099</v>
      </c>
      <c r="K100">
        <v>5</v>
      </c>
      <c r="L100">
        <v>3</v>
      </c>
      <c r="M100">
        <v>130</v>
      </c>
    </row>
    <row r="101" spans="1:13" x14ac:dyDescent="0.25">
      <c r="A101" t="s">
        <v>123</v>
      </c>
      <c r="B101" t="s">
        <v>20</v>
      </c>
      <c r="C101">
        <v>96</v>
      </c>
      <c r="D101" t="s">
        <v>6</v>
      </c>
      <c r="E101" s="46">
        <v>44965</v>
      </c>
      <c r="F101">
        <v>120</v>
      </c>
      <c r="G101">
        <v>4</v>
      </c>
      <c r="H101">
        <v>2023</v>
      </c>
      <c r="I101" t="s">
        <v>1093</v>
      </c>
      <c r="J101" t="s">
        <v>1099</v>
      </c>
      <c r="K101">
        <v>4</v>
      </c>
      <c r="L101">
        <v>3</v>
      </c>
      <c r="M101">
        <v>120</v>
      </c>
    </row>
    <row r="102" spans="1:13" x14ac:dyDescent="0.25">
      <c r="A102" t="s">
        <v>124</v>
      </c>
      <c r="B102" t="s">
        <v>17</v>
      </c>
      <c r="C102">
        <v>45</v>
      </c>
      <c r="D102" t="s">
        <v>10</v>
      </c>
      <c r="E102" s="46">
        <v>44966</v>
      </c>
      <c r="F102">
        <v>84</v>
      </c>
      <c r="G102">
        <v>4.5999999999999996</v>
      </c>
      <c r="H102">
        <v>2023</v>
      </c>
      <c r="I102" t="s">
        <v>1094</v>
      </c>
      <c r="J102" t="s">
        <v>1099</v>
      </c>
      <c r="K102">
        <v>5</v>
      </c>
      <c r="L102">
        <v>3</v>
      </c>
      <c r="M102">
        <v>84</v>
      </c>
    </row>
    <row r="103" spans="1:13" x14ac:dyDescent="0.25">
      <c r="A103" t="s">
        <v>125</v>
      </c>
      <c r="B103" t="s">
        <v>20</v>
      </c>
      <c r="C103">
        <v>132</v>
      </c>
      <c r="D103" t="s">
        <v>6</v>
      </c>
      <c r="E103" s="46">
        <v>44967</v>
      </c>
      <c r="F103">
        <v>112</v>
      </c>
      <c r="G103">
        <v>4.5</v>
      </c>
      <c r="H103">
        <v>2023</v>
      </c>
      <c r="I103" t="s">
        <v>1095</v>
      </c>
      <c r="J103" t="s">
        <v>1103</v>
      </c>
      <c r="K103">
        <v>5</v>
      </c>
      <c r="L103">
        <v>4</v>
      </c>
      <c r="M103">
        <v>112</v>
      </c>
    </row>
    <row r="104" spans="1:13" x14ac:dyDescent="0.25">
      <c r="A104" t="s">
        <v>126</v>
      </c>
      <c r="B104" t="s">
        <v>14</v>
      </c>
      <c r="C104">
        <v>95</v>
      </c>
      <c r="D104" t="s">
        <v>10</v>
      </c>
      <c r="E104" s="46">
        <v>44967</v>
      </c>
      <c r="F104">
        <v>66</v>
      </c>
      <c r="G104">
        <v>4.5999999999999996</v>
      </c>
      <c r="H104">
        <v>2023</v>
      </c>
      <c r="I104" t="s">
        <v>1095</v>
      </c>
      <c r="J104" t="s">
        <v>1099</v>
      </c>
      <c r="K104">
        <v>5</v>
      </c>
      <c r="L104">
        <v>3</v>
      </c>
      <c r="M104">
        <v>66</v>
      </c>
    </row>
    <row r="105" spans="1:13" x14ac:dyDescent="0.25">
      <c r="A105" t="s">
        <v>127</v>
      </c>
      <c r="B105" t="s">
        <v>16</v>
      </c>
      <c r="C105">
        <v>131</v>
      </c>
      <c r="D105" t="s">
        <v>11</v>
      </c>
      <c r="E105" s="46">
        <v>44967</v>
      </c>
      <c r="F105">
        <v>172</v>
      </c>
      <c r="G105">
        <v>2.6</v>
      </c>
      <c r="H105">
        <v>2023</v>
      </c>
      <c r="I105" t="s">
        <v>1095</v>
      </c>
      <c r="J105" t="s">
        <v>1103</v>
      </c>
      <c r="K105">
        <v>3</v>
      </c>
      <c r="L105">
        <v>4</v>
      </c>
      <c r="M105">
        <v>172</v>
      </c>
    </row>
    <row r="106" spans="1:13" x14ac:dyDescent="0.25">
      <c r="A106" t="s">
        <v>128</v>
      </c>
      <c r="B106" t="s">
        <v>22</v>
      </c>
      <c r="C106">
        <v>67</v>
      </c>
      <c r="D106" t="s">
        <v>13</v>
      </c>
      <c r="E106" s="46">
        <v>44968</v>
      </c>
      <c r="F106">
        <v>24</v>
      </c>
      <c r="G106">
        <v>4.3</v>
      </c>
      <c r="H106">
        <v>2023</v>
      </c>
      <c r="I106" t="s">
        <v>1096</v>
      </c>
      <c r="J106" t="s">
        <v>1099</v>
      </c>
      <c r="K106">
        <v>4</v>
      </c>
      <c r="L106">
        <v>3</v>
      </c>
      <c r="M106">
        <v>24</v>
      </c>
    </row>
    <row r="107" spans="1:13" x14ac:dyDescent="0.25">
      <c r="A107" t="s">
        <v>129</v>
      </c>
      <c r="B107" t="s">
        <v>21</v>
      </c>
      <c r="C107">
        <v>111</v>
      </c>
      <c r="D107" t="s">
        <v>11</v>
      </c>
      <c r="E107" s="46">
        <v>44969</v>
      </c>
      <c r="F107">
        <v>43</v>
      </c>
      <c r="G107">
        <v>3.9</v>
      </c>
      <c r="H107">
        <v>2023</v>
      </c>
      <c r="I107" t="s">
        <v>1090</v>
      </c>
      <c r="J107" t="s">
        <v>1099</v>
      </c>
      <c r="K107">
        <v>4</v>
      </c>
      <c r="L107">
        <v>3</v>
      </c>
      <c r="M107">
        <v>43</v>
      </c>
    </row>
    <row r="108" spans="1:13" x14ac:dyDescent="0.25">
      <c r="A108" t="s">
        <v>130</v>
      </c>
      <c r="B108" t="s">
        <v>23</v>
      </c>
      <c r="C108">
        <v>78</v>
      </c>
      <c r="D108" t="s">
        <v>9</v>
      </c>
      <c r="E108" s="46">
        <v>44969</v>
      </c>
      <c r="F108">
        <v>23</v>
      </c>
      <c r="G108">
        <v>5</v>
      </c>
      <c r="H108">
        <v>2023</v>
      </c>
      <c r="I108" t="s">
        <v>1090</v>
      </c>
      <c r="J108" t="s">
        <v>1099</v>
      </c>
      <c r="K108">
        <v>5</v>
      </c>
      <c r="L108">
        <v>3</v>
      </c>
      <c r="M108">
        <v>23</v>
      </c>
    </row>
    <row r="109" spans="1:13" x14ac:dyDescent="0.25">
      <c r="A109" t="s">
        <v>131</v>
      </c>
      <c r="B109" t="s">
        <v>24</v>
      </c>
      <c r="C109">
        <v>28</v>
      </c>
      <c r="D109" t="s">
        <v>6</v>
      </c>
      <c r="E109" s="46">
        <v>44969</v>
      </c>
      <c r="F109">
        <v>74</v>
      </c>
      <c r="G109">
        <v>3.5</v>
      </c>
      <c r="H109">
        <v>2023</v>
      </c>
      <c r="I109" t="s">
        <v>1090</v>
      </c>
      <c r="J109" t="s">
        <v>1100</v>
      </c>
      <c r="K109">
        <v>4</v>
      </c>
      <c r="L109">
        <v>2</v>
      </c>
      <c r="M109">
        <v>74</v>
      </c>
    </row>
    <row r="110" spans="1:13" x14ac:dyDescent="0.25">
      <c r="A110" t="s">
        <v>132</v>
      </c>
      <c r="B110" t="s">
        <v>12</v>
      </c>
      <c r="C110">
        <v>127</v>
      </c>
      <c r="D110" t="s">
        <v>13</v>
      </c>
      <c r="E110" s="46">
        <v>44970</v>
      </c>
      <c r="F110">
        <v>165</v>
      </c>
      <c r="G110">
        <v>4.7</v>
      </c>
      <c r="H110">
        <v>2023</v>
      </c>
      <c r="I110" t="s">
        <v>1091</v>
      </c>
      <c r="J110" t="s">
        <v>1103</v>
      </c>
      <c r="K110">
        <v>5</v>
      </c>
      <c r="L110">
        <v>4</v>
      </c>
      <c r="M110">
        <v>165</v>
      </c>
    </row>
    <row r="111" spans="1:13" x14ac:dyDescent="0.25">
      <c r="A111" t="s">
        <v>133</v>
      </c>
      <c r="B111" t="s">
        <v>19</v>
      </c>
      <c r="C111">
        <v>137</v>
      </c>
      <c r="D111" t="s">
        <v>11</v>
      </c>
      <c r="E111" s="46">
        <v>44970</v>
      </c>
      <c r="F111">
        <v>34</v>
      </c>
      <c r="G111">
        <v>2.9</v>
      </c>
      <c r="H111">
        <v>2023</v>
      </c>
      <c r="I111" t="s">
        <v>1091</v>
      </c>
      <c r="J111" t="s">
        <v>1103</v>
      </c>
      <c r="K111">
        <v>3</v>
      </c>
      <c r="L111">
        <v>4</v>
      </c>
      <c r="M111">
        <v>34</v>
      </c>
    </row>
    <row r="112" spans="1:13" x14ac:dyDescent="0.25">
      <c r="A112" t="s">
        <v>134</v>
      </c>
      <c r="B112" t="s">
        <v>12</v>
      </c>
      <c r="C112">
        <v>76</v>
      </c>
      <c r="D112" t="s">
        <v>6</v>
      </c>
      <c r="E112" s="46">
        <v>44970</v>
      </c>
      <c r="F112">
        <v>64</v>
      </c>
      <c r="G112">
        <v>3.4</v>
      </c>
      <c r="H112">
        <v>2023</v>
      </c>
      <c r="I112" t="s">
        <v>1091</v>
      </c>
      <c r="J112" t="s">
        <v>1099</v>
      </c>
      <c r="K112">
        <v>3</v>
      </c>
      <c r="L112">
        <v>3</v>
      </c>
      <c r="M112">
        <v>64</v>
      </c>
    </row>
    <row r="113" spans="1:13" x14ac:dyDescent="0.25">
      <c r="A113" t="s">
        <v>135</v>
      </c>
      <c r="B113" t="s">
        <v>23</v>
      </c>
      <c r="C113">
        <v>80</v>
      </c>
      <c r="D113" t="s">
        <v>13</v>
      </c>
      <c r="E113" s="46">
        <v>44971</v>
      </c>
      <c r="F113">
        <v>155</v>
      </c>
      <c r="G113">
        <v>3.2</v>
      </c>
      <c r="H113">
        <v>2023</v>
      </c>
      <c r="I113" t="s">
        <v>1092</v>
      </c>
      <c r="J113" t="s">
        <v>1099</v>
      </c>
      <c r="K113">
        <v>3</v>
      </c>
      <c r="L113">
        <v>3</v>
      </c>
      <c r="M113">
        <v>155</v>
      </c>
    </row>
    <row r="114" spans="1:13" x14ac:dyDescent="0.25">
      <c r="A114" t="s">
        <v>136</v>
      </c>
      <c r="B114" t="s">
        <v>12</v>
      </c>
      <c r="C114">
        <v>95</v>
      </c>
      <c r="D114" t="s">
        <v>9</v>
      </c>
      <c r="E114" s="46">
        <v>44972</v>
      </c>
      <c r="F114">
        <v>120</v>
      </c>
      <c r="G114">
        <v>4.8</v>
      </c>
      <c r="H114">
        <v>2023</v>
      </c>
      <c r="I114" t="s">
        <v>1093</v>
      </c>
      <c r="J114" t="s">
        <v>1099</v>
      </c>
      <c r="K114">
        <v>5</v>
      </c>
      <c r="L114">
        <v>3</v>
      </c>
      <c r="M114">
        <v>120</v>
      </c>
    </row>
    <row r="115" spans="1:13" x14ac:dyDescent="0.25">
      <c r="A115" t="s">
        <v>137</v>
      </c>
      <c r="B115" t="s">
        <v>7</v>
      </c>
      <c r="C115">
        <v>30</v>
      </c>
      <c r="D115" t="s">
        <v>6</v>
      </c>
      <c r="E115" s="46">
        <v>44972</v>
      </c>
      <c r="F115">
        <v>105</v>
      </c>
      <c r="G115">
        <v>3.6</v>
      </c>
      <c r="H115">
        <v>2023</v>
      </c>
      <c r="I115" t="s">
        <v>1093</v>
      </c>
      <c r="J115" t="s">
        <v>1100</v>
      </c>
      <c r="K115">
        <v>4</v>
      </c>
      <c r="L115">
        <v>2</v>
      </c>
      <c r="M115">
        <v>105</v>
      </c>
    </row>
    <row r="116" spans="1:13" x14ac:dyDescent="0.25">
      <c r="A116" t="s">
        <v>138</v>
      </c>
      <c r="B116" t="s">
        <v>8</v>
      </c>
      <c r="C116">
        <v>19</v>
      </c>
      <c r="D116" t="s">
        <v>11</v>
      </c>
      <c r="E116" s="46">
        <v>44972</v>
      </c>
      <c r="F116">
        <v>28</v>
      </c>
      <c r="G116">
        <v>4.9000000000000004</v>
      </c>
      <c r="H116">
        <v>2023</v>
      </c>
      <c r="I116" t="s">
        <v>1093</v>
      </c>
      <c r="J116" t="s">
        <v>1100</v>
      </c>
      <c r="K116">
        <v>5</v>
      </c>
      <c r="L116">
        <v>2</v>
      </c>
      <c r="M116">
        <v>28</v>
      </c>
    </row>
    <row r="117" spans="1:13" x14ac:dyDescent="0.25">
      <c r="A117" t="s">
        <v>139</v>
      </c>
      <c r="B117" t="s">
        <v>18</v>
      </c>
      <c r="C117">
        <v>38</v>
      </c>
      <c r="D117" t="s">
        <v>13</v>
      </c>
      <c r="E117" s="46">
        <v>44972</v>
      </c>
      <c r="F117">
        <v>100</v>
      </c>
      <c r="G117">
        <v>4.8</v>
      </c>
      <c r="H117">
        <v>2023</v>
      </c>
      <c r="I117" t="s">
        <v>1093</v>
      </c>
      <c r="J117" t="s">
        <v>1099</v>
      </c>
      <c r="K117">
        <v>5</v>
      </c>
      <c r="L117">
        <v>3</v>
      </c>
      <c r="M117">
        <v>100</v>
      </c>
    </row>
    <row r="118" spans="1:13" x14ac:dyDescent="0.25">
      <c r="A118" t="s">
        <v>140</v>
      </c>
      <c r="B118" t="s">
        <v>14</v>
      </c>
      <c r="C118">
        <v>55</v>
      </c>
      <c r="D118" t="s">
        <v>11</v>
      </c>
      <c r="E118" s="46">
        <v>44972</v>
      </c>
      <c r="F118">
        <v>23</v>
      </c>
      <c r="G118">
        <v>3.6</v>
      </c>
      <c r="H118">
        <v>2023</v>
      </c>
      <c r="I118" t="s">
        <v>1093</v>
      </c>
      <c r="J118" t="s">
        <v>1099</v>
      </c>
      <c r="K118">
        <v>4</v>
      </c>
      <c r="L118">
        <v>3</v>
      </c>
      <c r="M118">
        <v>23</v>
      </c>
    </row>
    <row r="119" spans="1:13" x14ac:dyDescent="0.25">
      <c r="A119" t="s">
        <v>141</v>
      </c>
      <c r="B119" t="s">
        <v>22</v>
      </c>
      <c r="C119">
        <v>27</v>
      </c>
      <c r="D119" t="s">
        <v>6</v>
      </c>
      <c r="E119" s="46">
        <v>44973</v>
      </c>
      <c r="F119">
        <v>70</v>
      </c>
      <c r="G119">
        <v>3.9</v>
      </c>
      <c r="H119">
        <v>2023</v>
      </c>
      <c r="I119" t="s">
        <v>1094</v>
      </c>
      <c r="J119" t="s">
        <v>1100</v>
      </c>
      <c r="K119">
        <v>4</v>
      </c>
      <c r="L119">
        <v>2</v>
      </c>
      <c r="M119">
        <v>70</v>
      </c>
    </row>
    <row r="120" spans="1:13" x14ac:dyDescent="0.25">
      <c r="A120" t="s">
        <v>142</v>
      </c>
      <c r="B120" t="s">
        <v>22</v>
      </c>
      <c r="C120">
        <v>32</v>
      </c>
      <c r="D120" t="s">
        <v>6</v>
      </c>
      <c r="E120" s="46">
        <v>44973</v>
      </c>
      <c r="F120">
        <v>37</v>
      </c>
      <c r="G120">
        <v>1.9</v>
      </c>
      <c r="H120">
        <v>2023</v>
      </c>
      <c r="I120" t="s">
        <v>1094</v>
      </c>
      <c r="J120" t="s">
        <v>1099</v>
      </c>
      <c r="K120">
        <v>2</v>
      </c>
      <c r="L120">
        <v>3</v>
      </c>
      <c r="M120">
        <v>37</v>
      </c>
    </row>
    <row r="121" spans="1:13" x14ac:dyDescent="0.25">
      <c r="A121" t="s">
        <v>143</v>
      </c>
      <c r="B121" t="s">
        <v>24</v>
      </c>
      <c r="C121">
        <v>116</v>
      </c>
      <c r="D121" t="s">
        <v>10</v>
      </c>
      <c r="E121" s="46">
        <v>44973</v>
      </c>
      <c r="F121">
        <v>140</v>
      </c>
      <c r="G121">
        <v>3.6</v>
      </c>
      <c r="H121">
        <v>2023</v>
      </c>
      <c r="I121" t="s">
        <v>1094</v>
      </c>
      <c r="J121" t="s">
        <v>1099</v>
      </c>
      <c r="K121">
        <v>4</v>
      </c>
      <c r="L121">
        <v>3</v>
      </c>
      <c r="M121">
        <v>140</v>
      </c>
    </row>
    <row r="122" spans="1:13" x14ac:dyDescent="0.25">
      <c r="A122" t="s">
        <v>144</v>
      </c>
      <c r="B122" t="s">
        <v>20</v>
      </c>
      <c r="C122">
        <v>99</v>
      </c>
      <c r="D122" t="s">
        <v>9</v>
      </c>
      <c r="E122" s="46">
        <v>44973</v>
      </c>
      <c r="F122">
        <v>78</v>
      </c>
      <c r="G122">
        <v>4.0999999999999996</v>
      </c>
      <c r="H122">
        <v>2023</v>
      </c>
      <c r="I122" t="s">
        <v>1094</v>
      </c>
      <c r="J122" t="s">
        <v>1099</v>
      </c>
      <c r="K122">
        <v>4</v>
      </c>
      <c r="L122">
        <v>3</v>
      </c>
      <c r="M122">
        <v>78</v>
      </c>
    </row>
    <row r="123" spans="1:13" x14ac:dyDescent="0.25">
      <c r="A123" t="s">
        <v>145</v>
      </c>
      <c r="B123" t="s">
        <v>12</v>
      </c>
      <c r="C123">
        <v>75</v>
      </c>
      <c r="D123" t="s">
        <v>6</v>
      </c>
      <c r="E123" s="46">
        <v>44974</v>
      </c>
      <c r="F123">
        <v>21</v>
      </c>
      <c r="G123">
        <v>4.2</v>
      </c>
      <c r="H123">
        <v>2023</v>
      </c>
      <c r="I123" t="s">
        <v>1095</v>
      </c>
      <c r="J123" t="s">
        <v>1099</v>
      </c>
      <c r="K123">
        <v>4</v>
      </c>
      <c r="L123">
        <v>3</v>
      </c>
      <c r="M123">
        <v>21</v>
      </c>
    </row>
    <row r="124" spans="1:13" x14ac:dyDescent="0.25">
      <c r="A124" t="s">
        <v>146</v>
      </c>
      <c r="B124" t="s">
        <v>23</v>
      </c>
      <c r="C124">
        <v>57</v>
      </c>
      <c r="D124" t="s">
        <v>10</v>
      </c>
      <c r="E124" s="46">
        <v>44974</v>
      </c>
      <c r="F124">
        <v>88</v>
      </c>
      <c r="G124">
        <v>4.3</v>
      </c>
      <c r="H124">
        <v>2023</v>
      </c>
      <c r="I124" t="s">
        <v>1095</v>
      </c>
      <c r="J124" t="s">
        <v>1099</v>
      </c>
      <c r="K124">
        <v>4</v>
      </c>
      <c r="L124">
        <v>3</v>
      </c>
      <c r="M124">
        <v>88</v>
      </c>
    </row>
    <row r="125" spans="1:13" x14ac:dyDescent="0.25">
      <c r="A125" t="s">
        <v>147</v>
      </c>
      <c r="B125" t="s">
        <v>15</v>
      </c>
      <c r="C125">
        <v>155</v>
      </c>
      <c r="D125" t="s">
        <v>10</v>
      </c>
      <c r="E125" s="46">
        <v>44975</v>
      </c>
      <c r="F125">
        <v>180</v>
      </c>
      <c r="G125">
        <v>2.2000000000000002</v>
      </c>
      <c r="H125">
        <v>2023</v>
      </c>
      <c r="I125" t="s">
        <v>1096</v>
      </c>
      <c r="J125" t="s">
        <v>1103</v>
      </c>
      <c r="K125">
        <v>2</v>
      </c>
      <c r="L125">
        <v>4</v>
      </c>
      <c r="M125">
        <v>180</v>
      </c>
    </row>
    <row r="126" spans="1:13" x14ac:dyDescent="0.25">
      <c r="A126" t="s">
        <v>148</v>
      </c>
      <c r="B126" t="s">
        <v>20</v>
      </c>
      <c r="C126">
        <v>68</v>
      </c>
      <c r="D126" t="s">
        <v>9</v>
      </c>
      <c r="E126" s="46">
        <v>44975</v>
      </c>
      <c r="F126">
        <v>22</v>
      </c>
      <c r="G126">
        <v>3.3</v>
      </c>
      <c r="H126">
        <v>2023</v>
      </c>
      <c r="I126" t="s">
        <v>1096</v>
      </c>
      <c r="J126" t="s">
        <v>1099</v>
      </c>
      <c r="K126">
        <v>3</v>
      </c>
      <c r="L126">
        <v>3</v>
      </c>
      <c r="M126">
        <v>22</v>
      </c>
    </row>
    <row r="127" spans="1:13" x14ac:dyDescent="0.25">
      <c r="A127" t="s">
        <v>149</v>
      </c>
      <c r="B127" t="s">
        <v>18</v>
      </c>
      <c r="C127">
        <v>95</v>
      </c>
      <c r="D127" t="s">
        <v>9</v>
      </c>
      <c r="E127" s="46">
        <v>44975</v>
      </c>
      <c r="F127">
        <v>52</v>
      </c>
      <c r="G127">
        <v>4.8</v>
      </c>
      <c r="H127">
        <v>2023</v>
      </c>
      <c r="I127" t="s">
        <v>1096</v>
      </c>
      <c r="J127" t="s">
        <v>1099</v>
      </c>
      <c r="K127">
        <v>5</v>
      </c>
      <c r="L127">
        <v>3</v>
      </c>
      <c r="M127">
        <v>52</v>
      </c>
    </row>
    <row r="128" spans="1:13" x14ac:dyDescent="0.25">
      <c r="A128" t="s">
        <v>150</v>
      </c>
      <c r="B128" t="s">
        <v>19</v>
      </c>
      <c r="C128">
        <v>65</v>
      </c>
      <c r="D128" t="s">
        <v>10</v>
      </c>
      <c r="E128" s="46">
        <v>44976</v>
      </c>
      <c r="F128">
        <v>80</v>
      </c>
      <c r="G128">
        <v>4</v>
      </c>
      <c r="H128">
        <v>2023</v>
      </c>
      <c r="I128" t="s">
        <v>1090</v>
      </c>
      <c r="J128" t="s">
        <v>1099</v>
      </c>
      <c r="K128">
        <v>4</v>
      </c>
      <c r="L128">
        <v>3</v>
      </c>
      <c r="M128">
        <v>80</v>
      </c>
    </row>
    <row r="129" spans="1:13" x14ac:dyDescent="0.25">
      <c r="A129" t="s">
        <v>151</v>
      </c>
      <c r="B129" t="s">
        <v>8</v>
      </c>
      <c r="C129">
        <v>114</v>
      </c>
      <c r="D129" t="s">
        <v>11</v>
      </c>
      <c r="E129" s="46">
        <v>44976</v>
      </c>
      <c r="F129">
        <v>54</v>
      </c>
      <c r="G129">
        <v>1.1000000000000001</v>
      </c>
      <c r="H129">
        <v>2023</v>
      </c>
      <c r="I129" t="s">
        <v>1090</v>
      </c>
      <c r="J129" t="s">
        <v>1099</v>
      </c>
      <c r="K129">
        <v>1</v>
      </c>
      <c r="L129">
        <v>3</v>
      </c>
      <c r="M129">
        <v>54</v>
      </c>
    </row>
    <row r="130" spans="1:13" x14ac:dyDescent="0.25">
      <c r="A130" t="s">
        <v>152</v>
      </c>
      <c r="B130" t="s">
        <v>12</v>
      </c>
      <c r="C130">
        <v>155</v>
      </c>
      <c r="D130" t="s">
        <v>11</v>
      </c>
      <c r="E130" s="46">
        <v>44977</v>
      </c>
      <c r="F130">
        <v>80</v>
      </c>
      <c r="G130">
        <v>3.9</v>
      </c>
      <c r="H130">
        <v>2023</v>
      </c>
      <c r="I130" t="s">
        <v>1091</v>
      </c>
      <c r="J130" t="s">
        <v>1103</v>
      </c>
      <c r="K130">
        <v>4</v>
      </c>
      <c r="L130">
        <v>4</v>
      </c>
      <c r="M130">
        <v>80</v>
      </c>
    </row>
    <row r="131" spans="1:13" x14ac:dyDescent="0.25">
      <c r="A131" t="s">
        <v>153</v>
      </c>
      <c r="B131" t="s">
        <v>19</v>
      </c>
      <c r="C131">
        <v>114</v>
      </c>
      <c r="D131" t="s">
        <v>10</v>
      </c>
      <c r="E131" s="46">
        <v>44978</v>
      </c>
      <c r="F131">
        <v>120</v>
      </c>
      <c r="G131">
        <v>1.8</v>
      </c>
      <c r="H131">
        <v>2023</v>
      </c>
      <c r="I131" t="s">
        <v>1092</v>
      </c>
      <c r="J131" t="s">
        <v>1099</v>
      </c>
      <c r="K131">
        <v>2</v>
      </c>
      <c r="L131">
        <v>3</v>
      </c>
      <c r="M131">
        <v>120</v>
      </c>
    </row>
    <row r="132" spans="1:13" x14ac:dyDescent="0.25">
      <c r="A132" t="s">
        <v>154</v>
      </c>
      <c r="B132" t="s">
        <v>15</v>
      </c>
      <c r="C132">
        <v>130</v>
      </c>
      <c r="D132" t="s">
        <v>13</v>
      </c>
      <c r="E132" s="46">
        <v>44978</v>
      </c>
      <c r="F132">
        <v>150</v>
      </c>
      <c r="G132">
        <v>1</v>
      </c>
      <c r="H132">
        <v>2023</v>
      </c>
      <c r="I132" t="s">
        <v>1092</v>
      </c>
      <c r="J132" t="s">
        <v>1103</v>
      </c>
      <c r="K132">
        <v>1</v>
      </c>
      <c r="L132">
        <v>4</v>
      </c>
      <c r="M132">
        <v>150</v>
      </c>
    </row>
    <row r="133" spans="1:13" x14ac:dyDescent="0.25">
      <c r="A133" t="s">
        <v>155</v>
      </c>
      <c r="B133" t="s">
        <v>12</v>
      </c>
      <c r="C133">
        <v>89</v>
      </c>
      <c r="D133" t="s">
        <v>10</v>
      </c>
      <c r="E133" s="46">
        <v>44978</v>
      </c>
      <c r="F133">
        <v>90</v>
      </c>
      <c r="G133">
        <v>4.3</v>
      </c>
      <c r="H133">
        <v>2023</v>
      </c>
      <c r="I133" t="s">
        <v>1092</v>
      </c>
      <c r="J133" t="s">
        <v>1099</v>
      </c>
      <c r="K133">
        <v>4</v>
      </c>
      <c r="L133">
        <v>3</v>
      </c>
      <c r="M133">
        <v>90</v>
      </c>
    </row>
    <row r="134" spans="1:13" x14ac:dyDescent="0.25">
      <c r="A134" t="s">
        <v>156</v>
      </c>
      <c r="B134" t="s">
        <v>17</v>
      </c>
      <c r="C134">
        <v>61</v>
      </c>
      <c r="D134" t="s">
        <v>6</v>
      </c>
      <c r="E134" s="46">
        <v>44979</v>
      </c>
      <c r="F134">
        <v>140</v>
      </c>
      <c r="G134">
        <v>3.4</v>
      </c>
      <c r="H134">
        <v>2023</v>
      </c>
      <c r="I134" t="s">
        <v>1093</v>
      </c>
      <c r="J134" t="s">
        <v>1099</v>
      </c>
      <c r="K134">
        <v>3</v>
      </c>
      <c r="L134">
        <v>3</v>
      </c>
      <c r="M134">
        <v>140</v>
      </c>
    </row>
    <row r="135" spans="1:13" x14ac:dyDescent="0.25">
      <c r="A135" t="s">
        <v>157</v>
      </c>
      <c r="B135" t="s">
        <v>18</v>
      </c>
      <c r="C135">
        <v>154</v>
      </c>
      <c r="D135" t="s">
        <v>11</v>
      </c>
      <c r="E135" s="46">
        <v>44979</v>
      </c>
      <c r="F135">
        <v>22</v>
      </c>
      <c r="G135">
        <v>3.4</v>
      </c>
      <c r="H135">
        <v>2023</v>
      </c>
      <c r="I135" t="s">
        <v>1093</v>
      </c>
      <c r="J135" t="s">
        <v>1103</v>
      </c>
      <c r="K135">
        <v>3</v>
      </c>
      <c r="L135">
        <v>4</v>
      </c>
      <c r="M135">
        <v>22</v>
      </c>
    </row>
    <row r="136" spans="1:13" x14ac:dyDescent="0.25">
      <c r="A136" t="s">
        <v>158</v>
      </c>
      <c r="B136" t="s">
        <v>19</v>
      </c>
      <c r="C136">
        <v>115</v>
      </c>
      <c r="D136" t="s">
        <v>13</v>
      </c>
      <c r="E136" s="46">
        <v>44980</v>
      </c>
      <c r="F136">
        <v>150</v>
      </c>
      <c r="G136">
        <v>4.0999999999999996</v>
      </c>
      <c r="H136">
        <v>2023</v>
      </c>
      <c r="I136" t="s">
        <v>1094</v>
      </c>
      <c r="J136" t="s">
        <v>1099</v>
      </c>
      <c r="K136">
        <v>4</v>
      </c>
      <c r="L136">
        <v>3</v>
      </c>
      <c r="M136">
        <v>150</v>
      </c>
    </row>
    <row r="137" spans="1:13" x14ac:dyDescent="0.25">
      <c r="A137" t="s">
        <v>159</v>
      </c>
      <c r="B137" t="s">
        <v>5</v>
      </c>
      <c r="C137">
        <v>138</v>
      </c>
      <c r="D137" t="s">
        <v>9</v>
      </c>
      <c r="E137" s="46">
        <v>44981</v>
      </c>
      <c r="F137">
        <v>35</v>
      </c>
      <c r="G137">
        <v>4.8</v>
      </c>
      <c r="H137">
        <v>2023</v>
      </c>
      <c r="I137" t="s">
        <v>1095</v>
      </c>
      <c r="J137" t="s">
        <v>1103</v>
      </c>
      <c r="K137">
        <v>5</v>
      </c>
      <c r="L137">
        <v>4</v>
      </c>
      <c r="M137">
        <v>35</v>
      </c>
    </row>
    <row r="138" spans="1:13" x14ac:dyDescent="0.25">
      <c r="A138" t="s">
        <v>160</v>
      </c>
      <c r="B138" t="s">
        <v>21</v>
      </c>
      <c r="C138">
        <v>153</v>
      </c>
      <c r="D138" t="s">
        <v>10</v>
      </c>
      <c r="E138" s="46">
        <v>44981</v>
      </c>
      <c r="F138">
        <v>200</v>
      </c>
      <c r="G138">
        <v>2</v>
      </c>
      <c r="H138">
        <v>2023</v>
      </c>
      <c r="I138" t="s">
        <v>1095</v>
      </c>
      <c r="J138" t="s">
        <v>1103</v>
      </c>
      <c r="K138">
        <v>2</v>
      </c>
      <c r="L138">
        <v>4</v>
      </c>
      <c r="M138">
        <v>200</v>
      </c>
    </row>
    <row r="139" spans="1:13" x14ac:dyDescent="0.25">
      <c r="A139" t="s">
        <v>161</v>
      </c>
      <c r="B139" t="s">
        <v>19</v>
      </c>
      <c r="C139">
        <v>61</v>
      </c>
      <c r="D139" t="s">
        <v>6</v>
      </c>
      <c r="E139" s="46">
        <v>44982</v>
      </c>
      <c r="F139">
        <v>150</v>
      </c>
      <c r="G139">
        <v>4.5999999999999996</v>
      </c>
      <c r="H139">
        <v>2023</v>
      </c>
      <c r="I139" t="s">
        <v>1096</v>
      </c>
      <c r="J139" t="s">
        <v>1099</v>
      </c>
      <c r="K139">
        <v>5</v>
      </c>
      <c r="L139">
        <v>3</v>
      </c>
      <c r="M139">
        <v>150</v>
      </c>
    </row>
    <row r="140" spans="1:13" x14ac:dyDescent="0.25">
      <c r="A140" t="s">
        <v>162</v>
      </c>
      <c r="B140" t="s">
        <v>22</v>
      </c>
      <c r="C140">
        <v>62</v>
      </c>
      <c r="D140" t="s">
        <v>10</v>
      </c>
      <c r="E140" s="46">
        <v>44982</v>
      </c>
      <c r="F140">
        <v>21</v>
      </c>
      <c r="G140">
        <v>2.6</v>
      </c>
      <c r="H140">
        <v>2023</v>
      </c>
      <c r="I140" t="s">
        <v>1096</v>
      </c>
      <c r="J140" t="s">
        <v>1099</v>
      </c>
      <c r="K140">
        <v>3</v>
      </c>
      <c r="L140">
        <v>3</v>
      </c>
      <c r="M140">
        <v>21</v>
      </c>
    </row>
    <row r="141" spans="1:13" x14ac:dyDescent="0.25">
      <c r="A141" t="s">
        <v>163</v>
      </c>
      <c r="B141" t="s">
        <v>17</v>
      </c>
      <c r="C141">
        <v>151</v>
      </c>
      <c r="D141" t="s">
        <v>13</v>
      </c>
      <c r="E141" s="46">
        <v>44983</v>
      </c>
      <c r="F141">
        <v>46</v>
      </c>
      <c r="G141">
        <v>4.9000000000000004</v>
      </c>
      <c r="H141">
        <v>2023</v>
      </c>
      <c r="I141" t="s">
        <v>1090</v>
      </c>
      <c r="J141" t="s">
        <v>1103</v>
      </c>
      <c r="K141">
        <v>5</v>
      </c>
      <c r="L141">
        <v>4</v>
      </c>
      <c r="M141">
        <v>46</v>
      </c>
    </row>
    <row r="142" spans="1:13" x14ac:dyDescent="0.25">
      <c r="A142" t="s">
        <v>164</v>
      </c>
      <c r="B142" t="s">
        <v>16</v>
      </c>
      <c r="C142">
        <v>102</v>
      </c>
      <c r="D142" t="s">
        <v>11</v>
      </c>
      <c r="E142" s="46">
        <v>44983</v>
      </c>
      <c r="F142">
        <v>165</v>
      </c>
      <c r="G142">
        <v>2.7</v>
      </c>
      <c r="H142">
        <v>2023</v>
      </c>
      <c r="I142" t="s">
        <v>1090</v>
      </c>
      <c r="J142" t="s">
        <v>1099</v>
      </c>
      <c r="K142">
        <v>3</v>
      </c>
      <c r="L142">
        <v>3</v>
      </c>
      <c r="M142">
        <v>165</v>
      </c>
    </row>
    <row r="143" spans="1:13" x14ac:dyDescent="0.25">
      <c r="A143" t="s">
        <v>165</v>
      </c>
      <c r="B143" t="s">
        <v>7</v>
      </c>
      <c r="C143">
        <v>64</v>
      </c>
      <c r="D143" t="s">
        <v>10</v>
      </c>
      <c r="E143" s="46">
        <v>44983</v>
      </c>
      <c r="F143">
        <v>84</v>
      </c>
      <c r="G143">
        <v>4.0999999999999996</v>
      </c>
      <c r="H143">
        <v>2023</v>
      </c>
      <c r="I143" t="s">
        <v>1090</v>
      </c>
      <c r="J143" t="s">
        <v>1099</v>
      </c>
      <c r="K143">
        <v>4</v>
      </c>
      <c r="L143">
        <v>3</v>
      </c>
      <c r="M143">
        <v>84</v>
      </c>
    </row>
    <row r="144" spans="1:13" x14ac:dyDescent="0.25">
      <c r="A144" t="s">
        <v>166</v>
      </c>
      <c r="B144" t="s">
        <v>12</v>
      </c>
      <c r="C144">
        <v>6</v>
      </c>
      <c r="D144" t="s">
        <v>11</v>
      </c>
      <c r="E144" s="46">
        <v>44984</v>
      </c>
      <c r="F144">
        <v>102</v>
      </c>
      <c r="G144">
        <v>4.4000000000000004</v>
      </c>
      <c r="H144">
        <v>2023</v>
      </c>
      <c r="I144" t="s">
        <v>1091</v>
      </c>
      <c r="J144" t="s">
        <v>1101</v>
      </c>
      <c r="K144">
        <v>4</v>
      </c>
      <c r="L144">
        <v>1</v>
      </c>
      <c r="M144">
        <v>102</v>
      </c>
    </row>
    <row r="145" spans="1:13" x14ac:dyDescent="0.25">
      <c r="A145" t="s">
        <v>167</v>
      </c>
      <c r="B145" t="s">
        <v>7</v>
      </c>
      <c r="C145">
        <v>129</v>
      </c>
      <c r="D145" t="s">
        <v>10</v>
      </c>
      <c r="E145" s="46">
        <v>44984</v>
      </c>
      <c r="F145">
        <v>180</v>
      </c>
      <c r="G145">
        <v>4.8</v>
      </c>
      <c r="H145">
        <v>2023</v>
      </c>
      <c r="I145" t="s">
        <v>1091</v>
      </c>
      <c r="J145" t="s">
        <v>1103</v>
      </c>
      <c r="K145">
        <v>5</v>
      </c>
      <c r="L145">
        <v>4</v>
      </c>
      <c r="M145">
        <v>180</v>
      </c>
    </row>
    <row r="146" spans="1:13" x14ac:dyDescent="0.25">
      <c r="A146" t="s">
        <v>168</v>
      </c>
      <c r="B146" t="s">
        <v>22</v>
      </c>
      <c r="C146">
        <v>42</v>
      </c>
      <c r="D146" t="s">
        <v>13</v>
      </c>
      <c r="E146" s="46">
        <v>44985</v>
      </c>
      <c r="F146">
        <v>111</v>
      </c>
      <c r="G146">
        <v>3</v>
      </c>
      <c r="H146">
        <v>2023</v>
      </c>
      <c r="I146" t="s">
        <v>1092</v>
      </c>
      <c r="J146" t="s">
        <v>1099</v>
      </c>
      <c r="K146">
        <v>3</v>
      </c>
      <c r="L146">
        <v>3</v>
      </c>
      <c r="M146">
        <v>111</v>
      </c>
    </row>
    <row r="147" spans="1:13" x14ac:dyDescent="0.25">
      <c r="A147" t="s">
        <v>169</v>
      </c>
      <c r="B147" t="s">
        <v>22</v>
      </c>
      <c r="C147">
        <v>71</v>
      </c>
      <c r="D147" t="s">
        <v>6</v>
      </c>
      <c r="E147" s="46">
        <v>44985</v>
      </c>
      <c r="F147">
        <v>104</v>
      </c>
      <c r="G147">
        <v>3.1</v>
      </c>
      <c r="H147">
        <v>2023</v>
      </c>
      <c r="I147" t="s">
        <v>1092</v>
      </c>
      <c r="J147" t="s">
        <v>1099</v>
      </c>
      <c r="K147">
        <v>3</v>
      </c>
      <c r="L147">
        <v>3</v>
      </c>
      <c r="M147">
        <v>104</v>
      </c>
    </row>
    <row r="148" spans="1:13" x14ac:dyDescent="0.25">
      <c r="A148" t="s">
        <v>170</v>
      </c>
      <c r="B148" t="s">
        <v>23</v>
      </c>
      <c r="C148">
        <v>53</v>
      </c>
      <c r="D148" t="s">
        <v>11</v>
      </c>
      <c r="E148" s="46">
        <v>44985</v>
      </c>
      <c r="F148">
        <v>80</v>
      </c>
      <c r="G148">
        <v>2.6</v>
      </c>
      <c r="H148">
        <v>2023</v>
      </c>
      <c r="I148" t="s">
        <v>1092</v>
      </c>
      <c r="J148" t="s">
        <v>1099</v>
      </c>
      <c r="K148">
        <v>3</v>
      </c>
      <c r="L148">
        <v>3</v>
      </c>
      <c r="M148">
        <v>80</v>
      </c>
    </row>
    <row r="149" spans="1:13" x14ac:dyDescent="0.25">
      <c r="A149" t="s">
        <v>171</v>
      </c>
      <c r="B149" t="s">
        <v>8</v>
      </c>
      <c r="C149">
        <v>155</v>
      </c>
      <c r="D149" t="s">
        <v>6</v>
      </c>
      <c r="E149" s="46">
        <v>44986</v>
      </c>
      <c r="F149">
        <v>132</v>
      </c>
      <c r="G149">
        <v>4.5999999999999996</v>
      </c>
      <c r="H149">
        <v>2023</v>
      </c>
      <c r="I149" t="s">
        <v>1093</v>
      </c>
      <c r="J149" t="s">
        <v>1103</v>
      </c>
      <c r="K149">
        <v>5</v>
      </c>
      <c r="L149">
        <v>4</v>
      </c>
      <c r="M149">
        <v>132</v>
      </c>
    </row>
    <row r="150" spans="1:13" x14ac:dyDescent="0.25">
      <c r="A150" t="s">
        <v>172</v>
      </c>
      <c r="B150" t="s">
        <v>8</v>
      </c>
      <c r="C150">
        <v>90</v>
      </c>
      <c r="D150" t="s">
        <v>13</v>
      </c>
      <c r="E150" s="46">
        <v>44986</v>
      </c>
      <c r="F150">
        <v>170</v>
      </c>
      <c r="G150">
        <v>3.7</v>
      </c>
      <c r="H150">
        <v>2023</v>
      </c>
      <c r="I150" t="s">
        <v>1093</v>
      </c>
      <c r="J150" t="s">
        <v>1099</v>
      </c>
      <c r="K150">
        <v>4</v>
      </c>
      <c r="L150">
        <v>3</v>
      </c>
      <c r="M150">
        <v>170</v>
      </c>
    </row>
    <row r="151" spans="1:13" x14ac:dyDescent="0.25">
      <c r="A151" t="s">
        <v>173</v>
      </c>
      <c r="B151" t="s">
        <v>7</v>
      </c>
      <c r="C151">
        <v>166</v>
      </c>
      <c r="D151" t="s">
        <v>9</v>
      </c>
      <c r="E151" s="46">
        <v>44986</v>
      </c>
      <c r="F151">
        <v>36</v>
      </c>
      <c r="G151">
        <v>3.8</v>
      </c>
      <c r="H151">
        <v>2023</v>
      </c>
      <c r="I151" t="s">
        <v>1093</v>
      </c>
      <c r="J151" t="s">
        <v>1103</v>
      </c>
      <c r="K151">
        <v>4</v>
      </c>
      <c r="L151">
        <v>4</v>
      </c>
      <c r="M151">
        <v>36</v>
      </c>
    </row>
    <row r="152" spans="1:13" x14ac:dyDescent="0.25">
      <c r="A152" t="s">
        <v>174</v>
      </c>
      <c r="B152" t="s">
        <v>24</v>
      </c>
      <c r="C152">
        <v>89</v>
      </c>
      <c r="D152" t="s">
        <v>6</v>
      </c>
      <c r="E152" s="46">
        <v>44986</v>
      </c>
      <c r="F152">
        <v>126</v>
      </c>
      <c r="G152">
        <v>3.6</v>
      </c>
      <c r="H152">
        <v>2023</v>
      </c>
      <c r="I152" t="s">
        <v>1093</v>
      </c>
      <c r="J152" t="s">
        <v>1099</v>
      </c>
      <c r="K152">
        <v>4</v>
      </c>
      <c r="L152">
        <v>3</v>
      </c>
      <c r="M152">
        <v>126</v>
      </c>
    </row>
    <row r="153" spans="1:13" x14ac:dyDescent="0.25">
      <c r="A153" t="s">
        <v>175</v>
      </c>
      <c r="B153" t="s">
        <v>19</v>
      </c>
      <c r="C153">
        <v>152</v>
      </c>
      <c r="D153" t="s">
        <v>11</v>
      </c>
      <c r="E153" s="46">
        <v>44986</v>
      </c>
      <c r="F153">
        <v>215</v>
      </c>
      <c r="G153">
        <v>4.4000000000000004</v>
      </c>
      <c r="H153">
        <v>2023</v>
      </c>
      <c r="I153" t="s">
        <v>1093</v>
      </c>
      <c r="J153" t="s">
        <v>1103</v>
      </c>
      <c r="K153">
        <v>4</v>
      </c>
      <c r="L153">
        <v>4</v>
      </c>
      <c r="M153">
        <v>215</v>
      </c>
    </row>
    <row r="154" spans="1:13" x14ac:dyDescent="0.25">
      <c r="A154" t="s">
        <v>176</v>
      </c>
      <c r="B154" t="s">
        <v>24</v>
      </c>
      <c r="C154">
        <v>137</v>
      </c>
      <c r="D154" t="s">
        <v>13</v>
      </c>
      <c r="E154" s="46">
        <v>44986</v>
      </c>
      <c r="F154">
        <v>114</v>
      </c>
      <c r="G154">
        <v>3.2</v>
      </c>
      <c r="H154">
        <v>2023</v>
      </c>
      <c r="I154" t="s">
        <v>1093</v>
      </c>
      <c r="J154" t="s">
        <v>1103</v>
      </c>
      <c r="K154">
        <v>3</v>
      </c>
      <c r="L154">
        <v>4</v>
      </c>
      <c r="M154">
        <v>114</v>
      </c>
    </row>
    <row r="155" spans="1:13" x14ac:dyDescent="0.25">
      <c r="A155" t="s">
        <v>177</v>
      </c>
      <c r="B155" t="s">
        <v>24</v>
      </c>
      <c r="C155">
        <v>43</v>
      </c>
      <c r="D155" t="s">
        <v>13</v>
      </c>
      <c r="E155" s="46">
        <v>44986</v>
      </c>
      <c r="F155">
        <v>99</v>
      </c>
      <c r="G155">
        <v>4.7</v>
      </c>
      <c r="H155">
        <v>2023</v>
      </c>
      <c r="I155" t="s">
        <v>1093</v>
      </c>
      <c r="J155" t="s">
        <v>1099</v>
      </c>
      <c r="K155">
        <v>5</v>
      </c>
      <c r="L155">
        <v>3</v>
      </c>
      <c r="M155">
        <v>99</v>
      </c>
    </row>
    <row r="156" spans="1:13" x14ac:dyDescent="0.25">
      <c r="A156" t="s">
        <v>178</v>
      </c>
      <c r="B156" t="s">
        <v>18</v>
      </c>
      <c r="C156">
        <v>114</v>
      </c>
      <c r="D156" t="s">
        <v>13</v>
      </c>
      <c r="E156" s="46">
        <v>44987</v>
      </c>
      <c r="F156">
        <v>23</v>
      </c>
      <c r="G156">
        <v>4.8</v>
      </c>
      <c r="H156">
        <v>2023</v>
      </c>
      <c r="I156" t="s">
        <v>1094</v>
      </c>
      <c r="J156" t="s">
        <v>1099</v>
      </c>
      <c r="K156">
        <v>5</v>
      </c>
      <c r="L156">
        <v>3</v>
      </c>
      <c r="M156">
        <v>23</v>
      </c>
    </row>
    <row r="157" spans="1:13" x14ac:dyDescent="0.25">
      <c r="A157" t="s">
        <v>179</v>
      </c>
      <c r="B157" t="s">
        <v>21</v>
      </c>
      <c r="C157">
        <v>103</v>
      </c>
      <c r="D157" t="s">
        <v>6</v>
      </c>
      <c r="E157" s="46">
        <v>44987</v>
      </c>
      <c r="F157">
        <v>75</v>
      </c>
      <c r="G157">
        <v>2.7</v>
      </c>
      <c r="H157">
        <v>2023</v>
      </c>
      <c r="I157" t="s">
        <v>1094</v>
      </c>
      <c r="J157" t="s">
        <v>1099</v>
      </c>
      <c r="K157">
        <v>3</v>
      </c>
      <c r="L157">
        <v>3</v>
      </c>
      <c r="M157">
        <v>75</v>
      </c>
    </row>
    <row r="158" spans="1:13" x14ac:dyDescent="0.25">
      <c r="A158" t="s">
        <v>180</v>
      </c>
      <c r="B158" t="s">
        <v>24</v>
      </c>
      <c r="C158">
        <v>98</v>
      </c>
      <c r="D158" t="s">
        <v>11</v>
      </c>
      <c r="E158" s="46">
        <v>44987</v>
      </c>
      <c r="F158">
        <v>100</v>
      </c>
      <c r="G158">
        <v>3.8</v>
      </c>
      <c r="H158">
        <v>2023</v>
      </c>
      <c r="I158" t="s">
        <v>1094</v>
      </c>
      <c r="J158" t="s">
        <v>1099</v>
      </c>
      <c r="K158">
        <v>4</v>
      </c>
      <c r="L158">
        <v>3</v>
      </c>
      <c r="M158">
        <v>100</v>
      </c>
    </row>
    <row r="159" spans="1:13" x14ac:dyDescent="0.25">
      <c r="A159" t="s">
        <v>181</v>
      </c>
      <c r="B159" t="s">
        <v>7</v>
      </c>
      <c r="C159">
        <v>106</v>
      </c>
      <c r="D159" t="s">
        <v>9</v>
      </c>
      <c r="E159" s="46">
        <v>44987</v>
      </c>
      <c r="F159">
        <v>108</v>
      </c>
      <c r="G159">
        <v>4.3</v>
      </c>
      <c r="H159">
        <v>2023</v>
      </c>
      <c r="I159" t="s">
        <v>1094</v>
      </c>
      <c r="J159" t="s">
        <v>1099</v>
      </c>
      <c r="K159">
        <v>4</v>
      </c>
      <c r="L159">
        <v>3</v>
      </c>
      <c r="M159">
        <v>108</v>
      </c>
    </row>
    <row r="160" spans="1:13" x14ac:dyDescent="0.25">
      <c r="A160" t="s">
        <v>182</v>
      </c>
      <c r="B160" t="s">
        <v>12</v>
      </c>
      <c r="C160">
        <v>96</v>
      </c>
      <c r="D160" t="s">
        <v>9</v>
      </c>
      <c r="E160" s="46">
        <v>44987</v>
      </c>
      <c r="F160">
        <v>108</v>
      </c>
      <c r="G160">
        <v>5</v>
      </c>
      <c r="H160">
        <v>2023</v>
      </c>
      <c r="I160" t="s">
        <v>1094</v>
      </c>
      <c r="J160" t="s">
        <v>1099</v>
      </c>
      <c r="K160">
        <v>5</v>
      </c>
      <c r="L160">
        <v>3</v>
      </c>
      <c r="M160">
        <v>108</v>
      </c>
    </row>
    <row r="161" spans="1:13" x14ac:dyDescent="0.25">
      <c r="A161" t="s">
        <v>183</v>
      </c>
      <c r="B161" t="s">
        <v>21</v>
      </c>
      <c r="C161">
        <v>70</v>
      </c>
      <c r="D161" t="s">
        <v>9</v>
      </c>
      <c r="E161" s="46">
        <v>44987</v>
      </c>
      <c r="F161">
        <v>28</v>
      </c>
      <c r="G161">
        <v>4.8</v>
      </c>
      <c r="H161">
        <v>2023</v>
      </c>
      <c r="I161" t="s">
        <v>1094</v>
      </c>
      <c r="J161" t="s">
        <v>1099</v>
      </c>
      <c r="K161">
        <v>5</v>
      </c>
      <c r="L161">
        <v>3</v>
      </c>
      <c r="M161">
        <v>28</v>
      </c>
    </row>
    <row r="162" spans="1:13" x14ac:dyDescent="0.25">
      <c r="A162" t="s">
        <v>184</v>
      </c>
      <c r="B162" t="s">
        <v>22</v>
      </c>
      <c r="C162">
        <v>86</v>
      </c>
      <c r="D162" t="s">
        <v>10</v>
      </c>
      <c r="E162" s="46">
        <v>44988</v>
      </c>
      <c r="F162">
        <v>70</v>
      </c>
      <c r="G162">
        <v>4.9000000000000004</v>
      </c>
      <c r="H162">
        <v>2023</v>
      </c>
      <c r="I162" t="s">
        <v>1095</v>
      </c>
      <c r="J162" t="s">
        <v>1099</v>
      </c>
      <c r="K162">
        <v>5</v>
      </c>
      <c r="L162">
        <v>3</v>
      </c>
      <c r="M162">
        <v>70</v>
      </c>
    </row>
    <row r="163" spans="1:13" x14ac:dyDescent="0.25">
      <c r="A163" t="s">
        <v>185</v>
      </c>
      <c r="B163" t="s">
        <v>23</v>
      </c>
      <c r="C163">
        <v>64</v>
      </c>
      <c r="D163" t="s">
        <v>10</v>
      </c>
      <c r="E163" s="46">
        <v>44988</v>
      </c>
      <c r="F163">
        <v>172</v>
      </c>
      <c r="G163">
        <v>4.0999999999999996</v>
      </c>
      <c r="H163">
        <v>2023</v>
      </c>
      <c r="I163" t="s">
        <v>1095</v>
      </c>
      <c r="J163" t="s">
        <v>1099</v>
      </c>
      <c r="K163">
        <v>4</v>
      </c>
      <c r="L163">
        <v>3</v>
      </c>
      <c r="M163">
        <v>172</v>
      </c>
    </row>
    <row r="164" spans="1:13" x14ac:dyDescent="0.25">
      <c r="A164" t="s">
        <v>186</v>
      </c>
      <c r="B164" t="s">
        <v>12</v>
      </c>
      <c r="C164">
        <v>113</v>
      </c>
      <c r="D164" t="s">
        <v>11</v>
      </c>
      <c r="E164" s="46">
        <v>44988</v>
      </c>
      <c r="F164">
        <v>123</v>
      </c>
      <c r="G164">
        <v>4.4000000000000004</v>
      </c>
      <c r="H164">
        <v>2023</v>
      </c>
      <c r="I164" t="s">
        <v>1095</v>
      </c>
      <c r="J164" t="s">
        <v>1099</v>
      </c>
      <c r="K164">
        <v>4</v>
      </c>
      <c r="L164">
        <v>3</v>
      </c>
      <c r="M164">
        <v>123</v>
      </c>
    </row>
    <row r="165" spans="1:13" x14ac:dyDescent="0.25">
      <c r="A165" t="s">
        <v>187</v>
      </c>
      <c r="B165" t="s">
        <v>12</v>
      </c>
      <c r="C165">
        <v>21</v>
      </c>
      <c r="D165" t="s">
        <v>9</v>
      </c>
      <c r="E165" s="46">
        <v>44988</v>
      </c>
      <c r="F165">
        <v>93</v>
      </c>
      <c r="G165">
        <v>3.4</v>
      </c>
      <c r="H165">
        <v>2023</v>
      </c>
      <c r="I165" t="s">
        <v>1095</v>
      </c>
      <c r="J165" t="s">
        <v>1100</v>
      </c>
      <c r="K165">
        <v>3</v>
      </c>
      <c r="L165">
        <v>2</v>
      </c>
      <c r="M165">
        <v>93</v>
      </c>
    </row>
    <row r="166" spans="1:13" x14ac:dyDescent="0.25">
      <c r="A166" t="s">
        <v>188</v>
      </c>
      <c r="B166" t="s">
        <v>16</v>
      </c>
      <c r="C166">
        <v>107</v>
      </c>
      <c r="D166" t="s">
        <v>10</v>
      </c>
      <c r="E166" s="46">
        <v>44988</v>
      </c>
      <c r="F166">
        <v>66</v>
      </c>
      <c r="G166">
        <v>4</v>
      </c>
      <c r="H166">
        <v>2023</v>
      </c>
      <c r="I166" t="s">
        <v>1095</v>
      </c>
      <c r="J166" t="s">
        <v>1099</v>
      </c>
      <c r="K166">
        <v>4</v>
      </c>
      <c r="L166">
        <v>3</v>
      </c>
      <c r="M166">
        <v>66</v>
      </c>
    </row>
    <row r="167" spans="1:13" x14ac:dyDescent="0.25">
      <c r="A167" t="s">
        <v>189</v>
      </c>
      <c r="B167" t="s">
        <v>16</v>
      </c>
      <c r="C167">
        <v>131</v>
      </c>
      <c r="D167" t="s">
        <v>9</v>
      </c>
      <c r="E167" s="46">
        <v>44988</v>
      </c>
      <c r="F167">
        <v>39</v>
      </c>
      <c r="G167">
        <v>2.4</v>
      </c>
      <c r="H167">
        <v>2023</v>
      </c>
      <c r="I167" t="s">
        <v>1095</v>
      </c>
      <c r="J167" t="s">
        <v>1103</v>
      </c>
      <c r="K167">
        <v>2</v>
      </c>
      <c r="L167">
        <v>4</v>
      </c>
      <c r="M167">
        <v>39</v>
      </c>
    </row>
    <row r="168" spans="1:13" x14ac:dyDescent="0.25">
      <c r="A168" t="s">
        <v>190</v>
      </c>
      <c r="B168" t="s">
        <v>20</v>
      </c>
      <c r="C168">
        <v>11</v>
      </c>
      <c r="D168" t="s">
        <v>6</v>
      </c>
      <c r="E168" s="46">
        <v>44988</v>
      </c>
      <c r="F168">
        <v>25</v>
      </c>
      <c r="G168">
        <v>2.1</v>
      </c>
      <c r="H168">
        <v>2023</v>
      </c>
      <c r="I168" t="s">
        <v>1095</v>
      </c>
      <c r="J168" t="s">
        <v>1100</v>
      </c>
      <c r="K168">
        <v>2</v>
      </c>
      <c r="L168">
        <v>2</v>
      </c>
      <c r="M168">
        <v>25</v>
      </c>
    </row>
    <row r="169" spans="1:13" x14ac:dyDescent="0.25">
      <c r="A169" t="s">
        <v>191</v>
      </c>
      <c r="B169" t="s">
        <v>17</v>
      </c>
      <c r="C169">
        <v>86</v>
      </c>
      <c r="D169" t="s">
        <v>11</v>
      </c>
      <c r="E169" s="46">
        <v>44988</v>
      </c>
      <c r="F169">
        <v>68</v>
      </c>
      <c r="G169">
        <v>3</v>
      </c>
      <c r="H169">
        <v>2023</v>
      </c>
      <c r="I169" t="s">
        <v>1095</v>
      </c>
      <c r="J169" t="s">
        <v>1099</v>
      </c>
      <c r="K169">
        <v>3</v>
      </c>
      <c r="L169">
        <v>3</v>
      </c>
      <c r="M169">
        <v>68</v>
      </c>
    </row>
    <row r="170" spans="1:13" x14ac:dyDescent="0.25">
      <c r="A170" t="s">
        <v>192</v>
      </c>
      <c r="B170" t="s">
        <v>23</v>
      </c>
      <c r="C170">
        <v>28</v>
      </c>
      <c r="D170" t="s">
        <v>6</v>
      </c>
      <c r="E170" s="46">
        <v>44988</v>
      </c>
      <c r="F170">
        <v>84</v>
      </c>
      <c r="G170">
        <v>3.2</v>
      </c>
      <c r="H170">
        <v>2023</v>
      </c>
      <c r="I170" t="s">
        <v>1095</v>
      </c>
      <c r="J170" t="s">
        <v>1100</v>
      </c>
      <c r="K170">
        <v>3</v>
      </c>
      <c r="L170">
        <v>2</v>
      </c>
      <c r="M170">
        <v>84</v>
      </c>
    </row>
    <row r="171" spans="1:13" x14ac:dyDescent="0.25">
      <c r="A171" t="s">
        <v>193</v>
      </c>
      <c r="B171" t="s">
        <v>8</v>
      </c>
      <c r="C171">
        <v>139</v>
      </c>
      <c r="D171" t="s">
        <v>9</v>
      </c>
      <c r="E171" s="46">
        <v>44989</v>
      </c>
      <c r="F171">
        <v>88</v>
      </c>
      <c r="G171">
        <v>3.4</v>
      </c>
      <c r="H171">
        <v>2023</v>
      </c>
      <c r="I171" t="s">
        <v>1096</v>
      </c>
      <c r="J171" t="s">
        <v>1103</v>
      </c>
      <c r="K171">
        <v>3</v>
      </c>
      <c r="L171">
        <v>4</v>
      </c>
      <c r="M171">
        <v>88</v>
      </c>
    </row>
    <row r="172" spans="1:13" x14ac:dyDescent="0.25">
      <c r="A172" t="s">
        <v>194</v>
      </c>
      <c r="B172" t="s">
        <v>7</v>
      </c>
      <c r="C172">
        <v>82</v>
      </c>
      <c r="D172" t="s">
        <v>11</v>
      </c>
      <c r="E172" s="46">
        <v>44989</v>
      </c>
      <c r="F172">
        <v>93</v>
      </c>
      <c r="G172">
        <v>2.7</v>
      </c>
      <c r="H172">
        <v>2023</v>
      </c>
      <c r="I172" t="s">
        <v>1096</v>
      </c>
      <c r="J172" t="s">
        <v>1099</v>
      </c>
      <c r="K172">
        <v>3</v>
      </c>
      <c r="L172">
        <v>3</v>
      </c>
      <c r="M172">
        <v>93</v>
      </c>
    </row>
    <row r="173" spans="1:13" x14ac:dyDescent="0.25">
      <c r="A173" t="s">
        <v>195</v>
      </c>
      <c r="B173" t="s">
        <v>12</v>
      </c>
      <c r="C173">
        <v>101</v>
      </c>
      <c r="D173" t="s">
        <v>6</v>
      </c>
      <c r="E173" s="46">
        <v>44989</v>
      </c>
      <c r="F173">
        <v>128</v>
      </c>
      <c r="G173">
        <v>5</v>
      </c>
      <c r="H173">
        <v>2023</v>
      </c>
      <c r="I173" t="s">
        <v>1096</v>
      </c>
      <c r="J173" t="s">
        <v>1099</v>
      </c>
      <c r="K173">
        <v>5</v>
      </c>
      <c r="L173">
        <v>3</v>
      </c>
      <c r="M173">
        <v>128</v>
      </c>
    </row>
    <row r="174" spans="1:13" x14ac:dyDescent="0.25">
      <c r="A174" t="s">
        <v>196</v>
      </c>
      <c r="B174" t="s">
        <v>23</v>
      </c>
      <c r="C174">
        <v>75</v>
      </c>
      <c r="D174" t="s">
        <v>13</v>
      </c>
      <c r="E174" s="46">
        <v>44989</v>
      </c>
      <c r="F174">
        <v>40</v>
      </c>
      <c r="G174">
        <v>3.4</v>
      </c>
      <c r="H174">
        <v>2023</v>
      </c>
      <c r="I174" t="s">
        <v>1096</v>
      </c>
      <c r="J174" t="s">
        <v>1099</v>
      </c>
      <c r="K174">
        <v>3</v>
      </c>
      <c r="L174">
        <v>3</v>
      </c>
      <c r="M174">
        <v>40</v>
      </c>
    </row>
    <row r="175" spans="1:13" x14ac:dyDescent="0.25">
      <c r="A175" t="s">
        <v>197</v>
      </c>
      <c r="B175" t="s">
        <v>18</v>
      </c>
      <c r="C175">
        <v>40</v>
      </c>
      <c r="D175" t="s">
        <v>6</v>
      </c>
      <c r="E175" s="46">
        <v>44990</v>
      </c>
      <c r="F175">
        <v>92</v>
      </c>
      <c r="G175">
        <v>4.7</v>
      </c>
      <c r="H175">
        <v>2023</v>
      </c>
      <c r="I175" t="s">
        <v>1090</v>
      </c>
      <c r="J175" t="s">
        <v>1099</v>
      </c>
      <c r="K175">
        <v>5</v>
      </c>
      <c r="L175">
        <v>3</v>
      </c>
      <c r="M175">
        <v>92</v>
      </c>
    </row>
    <row r="176" spans="1:13" x14ac:dyDescent="0.25">
      <c r="A176" t="s">
        <v>198</v>
      </c>
      <c r="B176" t="s">
        <v>24</v>
      </c>
      <c r="C176">
        <v>86</v>
      </c>
      <c r="D176" t="s">
        <v>9</v>
      </c>
      <c r="E176" s="46">
        <v>44990</v>
      </c>
      <c r="F176">
        <v>27</v>
      </c>
      <c r="G176">
        <v>4.5</v>
      </c>
      <c r="H176">
        <v>2023</v>
      </c>
      <c r="I176" t="s">
        <v>1090</v>
      </c>
      <c r="J176" t="s">
        <v>1099</v>
      </c>
      <c r="K176">
        <v>5</v>
      </c>
      <c r="L176">
        <v>3</v>
      </c>
      <c r="M176">
        <v>27</v>
      </c>
    </row>
    <row r="177" spans="1:13" x14ac:dyDescent="0.25">
      <c r="A177" t="s">
        <v>199</v>
      </c>
      <c r="B177" t="s">
        <v>15</v>
      </c>
      <c r="C177">
        <v>131</v>
      </c>
      <c r="D177" t="s">
        <v>10</v>
      </c>
      <c r="E177" s="46">
        <v>44990</v>
      </c>
      <c r="F177">
        <v>140</v>
      </c>
      <c r="G177">
        <v>4.0999999999999996</v>
      </c>
      <c r="H177">
        <v>2023</v>
      </c>
      <c r="I177" t="s">
        <v>1090</v>
      </c>
      <c r="J177" t="s">
        <v>1103</v>
      </c>
      <c r="K177">
        <v>4</v>
      </c>
      <c r="L177">
        <v>4</v>
      </c>
      <c r="M177">
        <v>140</v>
      </c>
    </row>
    <row r="178" spans="1:13" x14ac:dyDescent="0.25">
      <c r="A178" t="s">
        <v>200</v>
      </c>
      <c r="B178" t="s">
        <v>16</v>
      </c>
      <c r="C178">
        <v>67</v>
      </c>
      <c r="D178" t="s">
        <v>11</v>
      </c>
      <c r="E178" s="46">
        <v>44990</v>
      </c>
      <c r="F178">
        <v>40</v>
      </c>
      <c r="G178">
        <v>5</v>
      </c>
      <c r="H178">
        <v>2023</v>
      </c>
      <c r="I178" t="s">
        <v>1090</v>
      </c>
      <c r="J178" t="s">
        <v>1099</v>
      </c>
      <c r="K178">
        <v>5</v>
      </c>
      <c r="L178">
        <v>3</v>
      </c>
      <c r="M178">
        <v>40</v>
      </c>
    </row>
    <row r="179" spans="1:13" x14ac:dyDescent="0.25">
      <c r="A179" t="s">
        <v>201</v>
      </c>
      <c r="B179" t="s">
        <v>5</v>
      </c>
      <c r="C179">
        <v>71</v>
      </c>
      <c r="D179" t="s">
        <v>6</v>
      </c>
      <c r="E179" s="46">
        <v>44990</v>
      </c>
      <c r="F179">
        <v>102</v>
      </c>
      <c r="G179">
        <v>4.7</v>
      </c>
      <c r="H179">
        <v>2023</v>
      </c>
      <c r="I179" t="s">
        <v>1090</v>
      </c>
      <c r="J179" t="s">
        <v>1099</v>
      </c>
      <c r="K179">
        <v>5</v>
      </c>
      <c r="L179">
        <v>3</v>
      </c>
      <c r="M179">
        <v>102</v>
      </c>
    </row>
    <row r="180" spans="1:13" x14ac:dyDescent="0.25">
      <c r="A180" t="s">
        <v>202</v>
      </c>
      <c r="B180" t="s">
        <v>15</v>
      </c>
      <c r="C180">
        <v>113</v>
      </c>
      <c r="D180" t="s">
        <v>10</v>
      </c>
      <c r="E180" s="46">
        <v>44990</v>
      </c>
      <c r="F180">
        <v>42</v>
      </c>
      <c r="G180">
        <v>4.2</v>
      </c>
      <c r="H180">
        <v>2023</v>
      </c>
      <c r="I180" t="s">
        <v>1090</v>
      </c>
      <c r="J180" t="s">
        <v>1099</v>
      </c>
      <c r="K180">
        <v>4</v>
      </c>
      <c r="L180">
        <v>3</v>
      </c>
      <c r="M180">
        <v>42</v>
      </c>
    </row>
    <row r="181" spans="1:13" x14ac:dyDescent="0.25">
      <c r="A181" t="s">
        <v>203</v>
      </c>
      <c r="B181" t="s">
        <v>7</v>
      </c>
      <c r="C181">
        <v>53</v>
      </c>
      <c r="D181" t="s">
        <v>9</v>
      </c>
      <c r="E181" s="46">
        <v>44991</v>
      </c>
      <c r="F181">
        <v>210</v>
      </c>
      <c r="G181">
        <v>3.9</v>
      </c>
      <c r="H181">
        <v>2023</v>
      </c>
      <c r="I181" t="s">
        <v>1091</v>
      </c>
      <c r="J181" t="s">
        <v>1099</v>
      </c>
      <c r="K181">
        <v>4</v>
      </c>
      <c r="L181">
        <v>3</v>
      </c>
      <c r="M181">
        <v>210</v>
      </c>
    </row>
    <row r="182" spans="1:13" x14ac:dyDescent="0.25">
      <c r="A182" t="s">
        <v>204</v>
      </c>
      <c r="B182" t="s">
        <v>15</v>
      </c>
      <c r="C182">
        <v>153</v>
      </c>
      <c r="D182" t="s">
        <v>11</v>
      </c>
      <c r="E182" s="46">
        <v>44991</v>
      </c>
      <c r="F182">
        <v>34</v>
      </c>
      <c r="G182">
        <v>3</v>
      </c>
      <c r="H182">
        <v>2023</v>
      </c>
      <c r="I182" t="s">
        <v>1091</v>
      </c>
      <c r="J182" t="s">
        <v>1103</v>
      </c>
      <c r="K182">
        <v>3</v>
      </c>
      <c r="L182">
        <v>4</v>
      </c>
      <c r="M182">
        <v>34</v>
      </c>
    </row>
    <row r="183" spans="1:13" x14ac:dyDescent="0.25">
      <c r="A183" t="s">
        <v>205</v>
      </c>
      <c r="B183" t="s">
        <v>16</v>
      </c>
      <c r="C183">
        <v>73</v>
      </c>
      <c r="D183" t="s">
        <v>13</v>
      </c>
      <c r="E183" s="46">
        <v>44991</v>
      </c>
      <c r="F183">
        <v>215</v>
      </c>
      <c r="G183">
        <v>3.6</v>
      </c>
      <c r="H183">
        <v>2023</v>
      </c>
      <c r="I183" t="s">
        <v>1091</v>
      </c>
      <c r="J183" t="s">
        <v>1099</v>
      </c>
      <c r="K183">
        <v>4</v>
      </c>
      <c r="L183">
        <v>3</v>
      </c>
      <c r="M183">
        <v>215</v>
      </c>
    </row>
    <row r="184" spans="1:13" x14ac:dyDescent="0.25">
      <c r="A184" t="s">
        <v>206</v>
      </c>
      <c r="B184" t="s">
        <v>22</v>
      </c>
      <c r="C184">
        <v>62</v>
      </c>
      <c r="D184" t="s">
        <v>13</v>
      </c>
      <c r="E184" s="46">
        <v>44991</v>
      </c>
      <c r="F184">
        <v>32</v>
      </c>
      <c r="G184">
        <v>0.7</v>
      </c>
      <c r="H184">
        <v>2023</v>
      </c>
      <c r="I184" t="s">
        <v>1091</v>
      </c>
      <c r="J184" t="s">
        <v>1099</v>
      </c>
      <c r="K184">
        <v>1</v>
      </c>
      <c r="L184">
        <v>3</v>
      </c>
      <c r="M184">
        <v>32</v>
      </c>
    </row>
    <row r="185" spans="1:13" x14ac:dyDescent="0.25">
      <c r="A185" t="s">
        <v>207</v>
      </c>
      <c r="B185" t="s">
        <v>8</v>
      </c>
      <c r="C185">
        <v>115</v>
      </c>
      <c r="D185" t="s">
        <v>9</v>
      </c>
      <c r="E185" s="46">
        <v>44992</v>
      </c>
      <c r="F185">
        <v>48</v>
      </c>
      <c r="G185">
        <v>4.7</v>
      </c>
      <c r="H185">
        <v>2023</v>
      </c>
      <c r="I185" t="s">
        <v>1092</v>
      </c>
      <c r="J185" t="s">
        <v>1099</v>
      </c>
      <c r="K185">
        <v>5</v>
      </c>
      <c r="L185">
        <v>3</v>
      </c>
      <c r="M185">
        <v>48</v>
      </c>
    </row>
    <row r="186" spans="1:13" x14ac:dyDescent="0.25">
      <c r="A186" t="s">
        <v>208</v>
      </c>
      <c r="B186" t="s">
        <v>15</v>
      </c>
      <c r="C186">
        <v>69</v>
      </c>
      <c r="D186" t="s">
        <v>9</v>
      </c>
      <c r="E186" s="46">
        <v>44992</v>
      </c>
      <c r="F186">
        <v>132</v>
      </c>
      <c r="G186">
        <v>4.5</v>
      </c>
      <c r="H186">
        <v>2023</v>
      </c>
      <c r="I186" t="s">
        <v>1092</v>
      </c>
      <c r="J186" t="s">
        <v>1099</v>
      </c>
      <c r="K186">
        <v>5</v>
      </c>
      <c r="L186">
        <v>3</v>
      </c>
      <c r="M186">
        <v>132</v>
      </c>
    </row>
    <row r="187" spans="1:13" x14ac:dyDescent="0.25">
      <c r="A187" t="s">
        <v>209</v>
      </c>
      <c r="B187" t="s">
        <v>24</v>
      </c>
      <c r="C187">
        <v>103</v>
      </c>
      <c r="D187" t="s">
        <v>10</v>
      </c>
      <c r="E187" s="46">
        <v>44992</v>
      </c>
      <c r="F187">
        <v>172</v>
      </c>
      <c r="G187">
        <v>4.3</v>
      </c>
      <c r="H187">
        <v>2023</v>
      </c>
      <c r="I187" t="s">
        <v>1092</v>
      </c>
      <c r="J187" t="s">
        <v>1099</v>
      </c>
      <c r="K187">
        <v>4</v>
      </c>
      <c r="L187">
        <v>3</v>
      </c>
      <c r="M187">
        <v>172</v>
      </c>
    </row>
    <row r="188" spans="1:13" x14ac:dyDescent="0.25">
      <c r="A188" t="s">
        <v>210</v>
      </c>
      <c r="B188" t="s">
        <v>24</v>
      </c>
      <c r="C188">
        <v>75</v>
      </c>
      <c r="D188" t="s">
        <v>10</v>
      </c>
      <c r="E188" s="46">
        <v>44992</v>
      </c>
      <c r="F188">
        <v>111</v>
      </c>
      <c r="G188">
        <v>3.4</v>
      </c>
      <c r="H188">
        <v>2023</v>
      </c>
      <c r="I188" t="s">
        <v>1092</v>
      </c>
      <c r="J188" t="s">
        <v>1099</v>
      </c>
      <c r="K188">
        <v>3</v>
      </c>
      <c r="L188">
        <v>3</v>
      </c>
      <c r="M188">
        <v>111</v>
      </c>
    </row>
    <row r="189" spans="1:13" x14ac:dyDescent="0.25">
      <c r="A189" t="s">
        <v>211</v>
      </c>
      <c r="B189" t="s">
        <v>14</v>
      </c>
      <c r="C189">
        <v>92</v>
      </c>
      <c r="D189" t="s">
        <v>10</v>
      </c>
      <c r="E189" s="46">
        <v>44992</v>
      </c>
      <c r="F189">
        <v>58</v>
      </c>
      <c r="G189">
        <v>3.6</v>
      </c>
      <c r="H189">
        <v>2023</v>
      </c>
      <c r="I189" t="s">
        <v>1092</v>
      </c>
      <c r="J189" t="s">
        <v>1099</v>
      </c>
      <c r="K189">
        <v>4</v>
      </c>
      <c r="L189">
        <v>3</v>
      </c>
      <c r="M189">
        <v>58</v>
      </c>
    </row>
    <row r="190" spans="1:13" x14ac:dyDescent="0.25">
      <c r="A190" t="s">
        <v>212</v>
      </c>
      <c r="B190" t="s">
        <v>14</v>
      </c>
      <c r="C190">
        <v>41</v>
      </c>
      <c r="D190" t="s">
        <v>13</v>
      </c>
      <c r="E190" s="46">
        <v>44992</v>
      </c>
      <c r="F190">
        <v>68</v>
      </c>
      <c r="G190">
        <v>4</v>
      </c>
      <c r="H190">
        <v>2023</v>
      </c>
      <c r="I190" t="s">
        <v>1092</v>
      </c>
      <c r="J190" t="s">
        <v>1099</v>
      </c>
      <c r="K190">
        <v>4</v>
      </c>
      <c r="L190">
        <v>3</v>
      </c>
      <c r="M190">
        <v>68</v>
      </c>
    </row>
    <row r="191" spans="1:13" x14ac:dyDescent="0.25">
      <c r="A191" t="s">
        <v>213</v>
      </c>
      <c r="B191" t="s">
        <v>24</v>
      </c>
      <c r="C191">
        <v>134</v>
      </c>
      <c r="D191" t="s">
        <v>11</v>
      </c>
      <c r="E191" s="46">
        <v>44992</v>
      </c>
      <c r="F191">
        <v>160</v>
      </c>
      <c r="G191">
        <v>4.5</v>
      </c>
      <c r="H191">
        <v>2023</v>
      </c>
      <c r="I191" t="s">
        <v>1092</v>
      </c>
      <c r="J191" t="s">
        <v>1103</v>
      </c>
      <c r="K191">
        <v>5</v>
      </c>
      <c r="L191">
        <v>4</v>
      </c>
      <c r="M191">
        <v>160</v>
      </c>
    </row>
    <row r="192" spans="1:13" x14ac:dyDescent="0.25">
      <c r="A192" t="s">
        <v>214</v>
      </c>
      <c r="B192" t="s">
        <v>17</v>
      </c>
      <c r="C192">
        <v>80</v>
      </c>
      <c r="D192" t="s">
        <v>6</v>
      </c>
      <c r="E192" s="46">
        <v>44992</v>
      </c>
      <c r="F192">
        <v>45</v>
      </c>
      <c r="G192">
        <v>3</v>
      </c>
      <c r="H192">
        <v>2023</v>
      </c>
      <c r="I192" t="s">
        <v>1092</v>
      </c>
      <c r="J192" t="s">
        <v>1099</v>
      </c>
      <c r="K192">
        <v>3</v>
      </c>
      <c r="L192">
        <v>3</v>
      </c>
      <c r="M192">
        <v>45</v>
      </c>
    </row>
    <row r="193" spans="1:13" x14ac:dyDescent="0.25">
      <c r="A193" t="s">
        <v>215</v>
      </c>
      <c r="B193" t="s">
        <v>5</v>
      </c>
      <c r="C193">
        <v>103</v>
      </c>
      <c r="D193" t="s">
        <v>9</v>
      </c>
      <c r="E193" s="46">
        <v>44993</v>
      </c>
      <c r="F193">
        <v>117</v>
      </c>
      <c r="G193">
        <v>3</v>
      </c>
      <c r="H193">
        <v>2023</v>
      </c>
      <c r="I193" t="s">
        <v>1093</v>
      </c>
      <c r="J193" t="s">
        <v>1099</v>
      </c>
      <c r="K193">
        <v>3</v>
      </c>
      <c r="L193">
        <v>3</v>
      </c>
      <c r="M193">
        <v>117</v>
      </c>
    </row>
    <row r="194" spans="1:13" x14ac:dyDescent="0.25">
      <c r="A194" t="s">
        <v>216</v>
      </c>
      <c r="B194" t="s">
        <v>7</v>
      </c>
      <c r="C194">
        <v>20</v>
      </c>
      <c r="D194" t="s">
        <v>10</v>
      </c>
      <c r="E194" s="46">
        <v>44994</v>
      </c>
      <c r="F194">
        <v>22</v>
      </c>
      <c r="G194">
        <v>1.6</v>
      </c>
      <c r="H194">
        <v>2023</v>
      </c>
      <c r="I194" t="s">
        <v>1094</v>
      </c>
      <c r="J194" t="s">
        <v>1100</v>
      </c>
      <c r="K194">
        <v>2</v>
      </c>
      <c r="L194">
        <v>2</v>
      </c>
      <c r="M194">
        <v>22</v>
      </c>
    </row>
    <row r="195" spans="1:13" x14ac:dyDescent="0.25">
      <c r="A195" t="s">
        <v>217</v>
      </c>
      <c r="B195" t="s">
        <v>5</v>
      </c>
      <c r="C195">
        <v>75</v>
      </c>
      <c r="D195" t="s">
        <v>6</v>
      </c>
      <c r="E195" s="46">
        <v>44994</v>
      </c>
      <c r="F195">
        <v>195</v>
      </c>
      <c r="G195">
        <v>3</v>
      </c>
      <c r="H195">
        <v>2023</v>
      </c>
      <c r="I195" t="s">
        <v>1094</v>
      </c>
      <c r="J195" t="s">
        <v>1099</v>
      </c>
      <c r="K195">
        <v>3</v>
      </c>
      <c r="L195">
        <v>3</v>
      </c>
      <c r="M195">
        <v>195</v>
      </c>
    </row>
    <row r="196" spans="1:13" x14ac:dyDescent="0.25">
      <c r="A196" t="s">
        <v>218</v>
      </c>
      <c r="B196" t="s">
        <v>14</v>
      </c>
      <c r="C196">
        <v>80</v>
      </c>
      <c r="D196" t="s">
        <v>11</v>
      </c>
      <c r="E196" s="46">
        <v>44994</v>
      </c>
      <c r="F196">
        <v>168</v>
      </c>
      <c r="G196">
        <v>3.7</v>
      </c>
      <c r="H196">
        <v>2023</v>
      </c>
      <c r="I196" t="s">
        <v>1094</v>
      </c>
      <c r="J196" t="s">
        <v>1099</v>
      </c>
      <c r="K196">
        <v>4</v>
      </c>
      <c r="L196">
        <v>3</v>
      </c>
      <c r="M196">
        <v>168</v>
      </c>
    </row>
    <row r="197" spans="1:13" x14ac:dyDescent="0.25">
      <c r="A197" t="s">
        <v>219</v>
      </c>
      <c r="B197" t="s">
        <v>15</v>
      </c>
      <c r="C197">
        <v>85</v>
      </c>
      <c r="D197" t="s">
        <v>13</v>
      </c>
      <c r="E197" s="46">
        <v>44995</v>
      </c>
      <c r="F197">
        <v>46</v>
      </c>
      <c r="G197">
        <v>4.9000000000000004</v>
      </c>
      <c r="H197">
        <v>2023</v>
      </c>
      <c r="I197" t="s">
        <v>1095</v>
      </c>
      <c r="J197" t="s">
        <v>1099</v>
      </c>
      <c r="K197">
        <v>5</v>
      </c>
      <c r="L197">
        <v>3</v>
      </c>
      <c r="M197">
        <v>46</v>
      </c>
    </row>
    <row r="198" spans="1:13" x14ac:dyDescent="0.25">
      <c r="A198" t="s">
        <v>220</v>
      </c>
      <c r="B198" t="s">
        <v>12</v>
      </c>
      <c r="C198">
        <v>155</v>
      </c>
      <c r="D198" t="s">
        <v>10</v>
      </c>
      <c r="E198" s="46">
        <v>44995</v>
      </c>
      <c r="F198">
        <v>164</v>
      </c>
      <c r="G198">
        <v>3.4</v>
      </c>
      <c r="H198">
        <v>2023</v>
      </c>
      <c r="I198" t="s">
        <v>1095</v>
      </c>
      <c r="J198" t="s">
        <v>1103</v>
      </c>
      <c r="K198">
        <v>3</v>
      </c>
      <c r="L198">
        <v>4</v>
      </c>
      <c r="M198">
        <v>164</v>
      </c>
    </row>
    <row r="199" spans="1:13" x14ac:dyDescent="0.25">
      <c r="A199" t="s">
        <v>221</v>
      </c>
      <c r="B199" t="s">
        <v>15</v>
      </c>
      <c r="C199">
        <v>63</v>
      </c>
      <c r="D199" t="s">
        <v>13</v>
      </c>
      <c r="E199" s="46">
        <v>44995</v>
      </c>
      <c r="F199">
        <v>48</v>
      </c>
      <c r="G199">
        <v>5</v>
      </c>
      <c r="H199">
        <v>2023</v>
      </c>
      <c r="I199" t="s">
        <v>1095</v>
      </c>
      <c r="J199" t="s">
        <v>1099</v>
      </c>
      <c r="K199">
        <v>5</v>
      </c>
      <c r="L199">
        <v>3</v>
      </c>
      <c r="M199">
        <v>48</v>
      </c>
    </row>
    <row r="200" spans="1:13" x14ac:dyDescent="0.25">
      <c r="A200" t="s">
        <v>222</v>
      </c>
      <c r="B200" t="s">
        <v>23</v>
      </c>
      <c r="C200">
        <v>105</v>
      </c>
      <c r="D200" t="s">
        <v>9</v>
      </c>
      <c r="E200" s="46">
        <v>44995</v>
      </c>
      <c r="F200">
        <v>96</v>
      </c>
      <c r="G200">
        <v>5</v>
      </c>
      <c r="H200">
        <v>2023</v>
      </c>
      <c r="I200" t="s">
        <v>1095</v>
      </c>
      <c r="J200" t="s">
        <v>1099</v>
      </c>
      <c r="K200">
        <v>5</v>
      </c>
      <c r="L200">
        <v>3</v>
      </c>
      <c r="M200">
        <v>96</v>
      </c>
    </row>
    <row r="201" spans="1:13" x14ac:dyDescent="0.25">
      <c r="A201" t="s">
        <v>223</v>
      </c>
      <c r="B201" t="s">
        <v>15</v>
      </c>
      <c r="C201">
        <v>71</v>
      </c>
      <c r="D201" t="s">
        <v>13</v>
      </c>
      <c r="E201" s="46">
        <v>44995</v>
      </c>
      <c r="F201">
        <v>105</v>
      </c>
      <c r="G201">
        <v>4</v>
      </c>
      <c r="H201">
        <v>2023</v>
      </c>
      <c r="I201" t="s">
        <v>1095</v>
      </c>
      <c r="J201" t="s">
        <v>1099</v>
      </c>
      <c r="K201">
        <v>4</v>
      </c>
      <c r="L201">
        <v>3</v>
      </c>
      <c r="M201">
        <v>105</v>
      </c>
    </row>
    <row r="202" spans="1:13" x14ac:dyDescent="0.25">
      <c r="A202" t="s">
        <v>224</v>
      </c>
      <c r="B202" t="s">
        <v>12</v>
      </c>
      <c r="C202">
        <v>100</v>
      </c>
      <c r="D202" t="s">
        <v>13</v>
      </c>
      <c r="E202" s="46">
        <v>44996</v>
      </c>
      <c r="F202">
        <v>44</v>
      </c>
      <c r="G202">
        <v>3.6</v>
      </c>
      <c r="H202">
        <v>2023</v>
      </c>
      <c r="I202" t="s">
        <v>1096</v>
      </c>
      <c r="J202" t="s">
        <v>1099</v>
      </c>
      <c r="K202">
        <v>4</v>
      </c>
      <c r="L202">
        <v>3</v>
      </c>
      <c r="M202">
        <v>44</v>
      </c>
    </row>
    <row r="203" spans="1:13" x14ac:dyDescent="0.25">
      <c r="A203" t="s">
        <v>225</v>
      </c>
      <c r="B203" t="s">
        <v>20</v>
      </c>
      <c r="C203">
        <v>93</v>
      </c>
      <c r="D203" t="s">
        <v>11</v>
      </c>
      <c r="E203" s="46">
        <v>44996</v>
      </c>
      <c r="F203">
        <v>132</v>
      </c>
      <c r="G203">
        <v>3.7</v>
      </c>
      <c r="H203">
        <v>2023</v>
      </c>
      <c r="I203" t="s">
        <v>1096</v>
      </c>
      <c r="J203" t="s">
        <v>1099</v>
      </c>
      <c r="K203">
        <v>4</v>
      </c>
      <c r="L203">
        <v>3</v>
      </c>
      <c r="M203">
        <v>132</v>
      </c>
    </row>
    <row r="204" spans="1:13" x14ac:dyDescent="0.25">
      <c r="A204" t="s">
        <v>226</v>
      </c>
      <c r="B204" t="s">
        <v>23</v>
      </c>
      <c r="C204">
        <v>84</v>
      </c>
      <c r="D204" t="s">
        <v>10</v>
      </c>
      <c r="E204" s="46">
        <v>44996</v>
      </c>
      <c r="F204">
        <v>54</v>
      </c>
      <c r="G204">
        <v>4.2</v>
      </c>
      <c r="H204">
        <v>2023</v>
      </c>
      <c r="I204" t="s">
        <v>1096</v>
      </c>
      <c r="J204" t="s">
        <v>1099</v>
      </c>
      <c r="K204">
        <v>4</v>
      </c>
      <c r="L204">
        <v>3</v>
      </c>
      <c r="M204">
        <v>54</v>
      </c>
    </row>
    <row r="205" spans="1:13" x14ac:dyDescent="0.25">
      <c r="A205" t="s">
        <v>227</v>
      </c>
      <c r="B205" t="s">
        <v>17</v>
      </c>
      <c r="C205">
        <v>56</v>
      </c>
      <c r="D205" t="s">
        <v>6</v>
      </c>
      <c r="E205" s="46">
        <v>44996</v>
      </c>
      <c r="F205">
        <v>129</v>
      </c>
      <c r="G205">
        <v>2.1</v>
      </c>
      <c r="H205">
        <v>2023</v>
      </c>
      <c r="I205" t="s">
        <v>1096</v>
      </c>
      <c r="J205" t="s">
        <v>1099</v>
      </c>
      <c r="K205">
        <v>2</v>
      </c>
      <c r="L205">
        <v>3</v>
      </c>
      <c r="M205">
        <v>129</v>
      </c>
    </row>
    <row r="206" spans="1:13" x14ac:dyDescent="0.25">
      <c r="A206" t="s">
        <v>228</v>
      </c>
      <c r="B206" t="s">
        <v>17</v>
      </c>
      <c r="C206">
        <v>63</v>
      </c>
      <c r="D206" t="s">
        <v>13</v>
      </c>
      <c r="E206" s="46">
        <v>44996</v>
      </c>
      <c r="F206">
        <v>42</v>
      </c>
      <c r="G206">
        <v>4</v>
      </c>
      <c r="H206">
        <v>2023</v>
      </c>
      <c r="I206" t="s">
        <v>1096</v>
      </c>
      <c r="J206" t="s">
        <v>1099</v>
      </c>
      <c r="K206">
        <v>4</v>
      </c>
      <c r="L206">
        <v>3</v>
      </c>
      <c r="M206">
        <v>42</v>
      </c>
    </row>
    <row r="207" spans="1:13" x14ac:dyDescent="0.25">
      <c r="A207" t="s">
        <v>229</v>
      </c>
      <c r="B207" t="s">
        <v>22</v>
      </c>
      <c r="C207">
        <v>83</v>
      </c>
      <c r="D207" t="s">
        <v>13</v>
      </c>
      <c r="E207" s="46">
        <v>44996</v>
      </c>
      <c r="F207">
        <v>42</v>
      </c>
      <c r="G207">
        <v>4.2</v>
      </c>
      <c r="H207">
        <v>2023</v>
      </c>
      <c r="I207" t="s">
        <v>1096</v>
      </c>
      <c r="J207" t="s">
        <v>1099</v>
      </c>
      <c r="K207">
        <v>4</v>
      </c>
      <c r="L207">
        <v>3</v>
      </c>
      <c r="M207">
        <v>42</v>
      </c>
    </row>
    <row r="208" spans="1:13" x14ac:dyDescent="0.25">
      <c r="A208" t="s">
        <v>230</v>
      </c>
      <c r="B208" t="s">
        <v>14</v>
      </c>
      <c r="C208">
        <v>134</v>
      </c>
      <c r="D208" t="s">
        <v>10</v>
      </c>
      <c r="E208" s="46">
        <v>44996</v>
      </c>
      <c r="F208">
        <v>180</v>
      </c>
      <c r="G208">
        <v>3.1</v>
      </c>
      <c r="H208">
        <v>2023</v>
      </c>
      <c r="I208" t="s">
        <v>1096</v>
      </c>
      <c r="J208" t="s">
        <v>1103</v>
      </c>
      <c r="K208">
        <v>3</v>
      </c>
      <c r="L208">
        <v>4</v>
      </c>
      <c r="M208">
        <v>180</v>
      </c>
    </row>
    <row r="209" spans="1:13" x14ac:dyDescent="0.25">
      <c r="A209" t="s">
        <v>231</v>
      </c>
      <c r="B209" t="s">
        <v>8</v>
      </c>
      <c r="C209">
        <v>73</v>
      </c>
      <c r="D209" t="s">
        <v>13</v>
      </c>
      <c r="E209" s="46">
        <v>44997</v>
      </c>
      <c r="F209">
        <v>34</v>
      </c>
      <c r="G209">
        <v>4.8</v>
      </c>
      <c r="H209">
        <v>2023</v>
      </c>
      <c r="I209" t="s">
        <v>1090</v>
      </c>
      <c r="J209" t="s">
        <v>1099</v>
      </c>
      <c r="K209">
        <v>5</v>
      </c>
      <c r="L209">
        <v>3</v>
      </c>
      <c r="M209">
        <v>34</v>
      </c>
    </row>
    <row r="210" spans="1:13" x14ac:dyDescent="0.25">
      <c r="A210" t="s">
        <v>232</v>
      </c>
      <c r="B210" t="s">
        <v>5</v>
      </c>
      <c r="C210">
        <v>6</v>
      </c>
      <c r="D210" t="s">
        <v>6</v>
      </c>
      <c r="E210" s="46">
        <v>44997</v>
      </c>
      <c r="F210">
        <v>29</v>
      </c>
      <c r="G210">
        <v>4.7</v>
      </c>
      <c r="H210">
        <v>2023</v>
      </c>
      <c r="I210" t="s">
        <v>1090</v>
      </c>
      <c r="J210" t="s">
        <v>1101</v>
      </c>
      <c r="K210">
        <v>5</v>
      </c>
      <c r="L210">
        <v>1</v>
      </c>
      <c r="M210">
        <v>29</v>
      </c>
    </row>
    <row r="211" spans="1:13" x14ac:dyDescent="0.25">
      <c r="A211" t="s">
        <v>233</v>
      </c>
      <c r="B211" t="s">
        <v>16</v>
      </c>
      <c r="C211">
        <v>46</v>
      </c>
      <c r="D211" t="s">
        <v>9</v>
      </c>
      <c r="E211" s="46">
        <v>44997</v>
      </c>
      <c r="F211">
        <v>165</v>
      </c>
      <c r="G211">
        <v>3.3</v>
      </c>
      <c r="H211">
        <v>2023</v>
      </c>
      <c r="I211" t="s">
        <v>1090</v>
      </c>
      <c r="J211" t="s">
        <v>1099</v>
      </c>
      <c r="K211">
        <v>3</v>
      </c>
      <c r="L211">
        <v>3</v>
      </c>
      <c r="M211">
        <v>165</v>
      </c>
    </row>
    <row r="212" spans="1:13" x14ac:dyDescent="0.25">
      <c r="A212" t="s">
        <v>234</v>
      </c>
      <c r="B212" t="s">
        <v>5</v>
      </c>
      <c r="C212">
        <v>121</v>
      </c>
      <c r="D212" t="s">
        <v>13</v>
      </c>
      <c r="E212" s="46">
        <v>44998</v>
      </c>
      <c r="F212">
        <v>32</v>
      </c>
      <c r="G212">
        <v>3.7</v>
      </c>
      <c r="H212">
        <v>2023</v>
      </c>
      <c r="I212" t="s">
        <v>1091</v>
      </c>
      <c r="J212" t="s">
        <v>1103</v>
      </c>
      <c r="K212">
        <v>4</v>
      </c>
      <c r="L212">
        <v>4</v>
      </c>
      <c r="M212">
        <v>32</v>
      </c>
    </row>
    <row r="213" spans="1:13" x14ac:dyDescent="0.25">
      <c r="A213" t="s">
        <v>235</v>
      </c>
      <c r="B213" t="s">
        <v>17</v>
      </c>
      <c r="C213">
        <v>61</v>
      </c>
      <c r="D213" t="s">
        <v>11</v>
      </c>
      <c r="E213" s="46">
        <v>44998</v>
      </c>
      <c r="F213">
        <v>160</v>
      </c>
      <c r="G213">
        <v>4.9000000000000004</v>
      </c>
      <c r="H213">
        <v>2023</v>
      </c>
      <c r="I213" t="s">
        <v>1091</v>
      </c>
      <c r="J213" t="s">
        <v>1099</v>
      </c>
      <c r="K213">
        <v>5</v>
      </c>
      <c r="L213">
        <v>3</v>
      </c>
      <c r="M213">
        <v>160</v>
      </c>
    </row>
    <row r="214" spans="1:13" x14ac:dyDescent="0.25">
      <c r="A214" t="s">
        <v>236</v>
      </c>
      <c r="B214" t="s">
        <v>14</v>
      </c>
      <c r="C214">
        <v>144</v>
      </c>
      <c r="D214" t="s">
        <v>10</v>
      </c>
      <c r="E214" s="46">
        <v>44998</v>
      </c>
      <c r="F214">
        <v>140</v>
      </c>
      <c r="G214">
        <v>3.5</v>
      </c>
      <c r="H214">
        <v>2023</v>
      </c>
      <c r="I214" t="s">
        <v>1091</v>
      </c>
      <c r="J214" t="s">
        <v>1103</v>
      </c>
      <c r="K214">
        <v>4</v>
      </c>
      <c r="L214">
        <v>4</v>
      </c>
      <c r="M214">
        <v>140</v>
      </c>
    </row>
    <row r="215" spans="1:13" x14ac:dyDescent="0.25">
      <c r="A215" t="s">
        <v>237</v>
      </c>
      <c r="B215" t="s">
        <v>16</v>
      </c>
      <c r="C215">
        <v>145</v>
      </c>
      <c r="D215" t="s">
        <v>10</v>
      </c>
      <c r="E215" s="46">
        <v>44998</v>
      </c>
      <c r="F215">
        <v>136</v>
      </c>
      <c r="G215">
        <v>4.4000000000000004</v>
      </c>
      <c r="H215">
        <v>2023</v>
      </c>
      <c r="I215" t="s">
        <v>1091</v>
      </c>
      <c r="J215" t="s">
        <v>1103</v>
      </c>
      <c r="K215">
        <v>4</v>
      </c>
      <c r="L215">
        <v>4</v>
      </c>
      <c r="M215">
        <v>136</v>
      </c>
    </row>
    <row r="216" spans="1:13" x14ac:dyDescent="0.25">
      <c r="A216" t="s">
        <v>238</v>
      </c>
      <c r="B216" t="s">
        <v>23</v>
      </c>
      <c r="C216">
        <v>85</v>
      </c>
      <c r="D216" t="s">
        <v>6</v>
      </c>
      <c r="E216" s="46">
        <v>44998</v>
      </c>
      <c r="F216">
        <v>66</v>
      </c>
      <c r="G216">
        <v>2.8</v>
      </c>
      <c r="H216">
        <v>2023</v>
      </c>
      <c r="I216" t="s">
        <v>1091</v>
      </c>
      <c r="J216" t="s">
        <v>1099</v>
      </c>
      <c r="K216">
        <v>3</v>
      </c>
      <c r="L216">
        <v>3</v>
      </c>
      <c r="M216">
        <v>66</v>
      </c>
    </row>
    <row r="217" spans="1:13" x14ac:dyDescent="0.25">
      <c r="A217" t="s">
        <v>239</v>
      </c>
      <c r="B217" t="s">
        <v>16</v>
      </c>
      <c r="C217">
        <v>13</v>
      </c>
      <c r="D217" t="s">
        <v>11</v>
      </c>
      <c r="E217" s="46">
        <v>44999</v>
      </c>
      <c r="F217">
        <v>63</v>
      </c>
      <c r="G217">
        <v>4.0999999999999996</v>
      </c>
      <c r="H217">
        <v>2023</v>
      </c>
      <c r="I217" t="s">
        <v>1092</v>
      </c>
      <c r="J217" t="s">
        <v>1100</v>
      </c>
      <c r="K217">
        <v>4</v>
      </c>
      <c r="L217">
        <v>2</v>
      </c>
      <c r="M217">
        <v>63</v>
      </c>
    </row>
    <row r="218" spans="1:13" x14ac:dyDescent="0.25">
      <c r="A218" t="s">
        <v>240</v>
      </c>
      <c r="B218" t="s">
        <v>20</v>
      </c>
      <c r="C218">
        <v>142</v>
      </c>
      <c r="D218" t="s">
        <v>13</v>
      </c>
      <c r="E218" s="46">
        <v>44999</v>
      </c>
      <c r="F218">
        <v>44</v>
      </c>
      <c r="G218">
        <v>3.5</v>
      </c>
      <c r="H218">
        <v>2023</v>
      </c>
      <c r="I218" t="s">
        <v>1092</v>
      </c>
      <c r="J218" t="s">
        <v>1103</v>
      </c>
      <c r="K218">
        <v>4</v>
      </c>
      <c r="L218">
        <v>4</v>
      </c>
      <c r="M218">
        <v>44</v>
      </c>
    </row>
    <row r="219" spans="1:13" x14ac:dyDescent="0.25">
      <c r="A219" t="s">
        <v>241</v>
      </c>
      <c r="B219" t="s">
        <v>14</v>
      </c>
      <c r="C219">
        <v>28</v>
      </c>
      <c r="D219" t="s">
        <v>9</v>
      </c>
      <c r="E219" s="46">
        <v>44999</v>
      </c>
      <c r="F219">
        <v>78</v>
      </c>
      <c r="G219">
        <v>3.8</v>
      </c>
      <c r="H219">
        <v>2023</v>
      </c>
      <c r="I219" t="s">
        <v>1092</v>
      </c>
      <c r="J219" t="s">
        <v>1100</v>
      </c>
      <c r="K219">
        <v>4</v>
      </c>
      <c r="L219">
        <v>2</v>
      </c>
      <c r="M219">
        <v>78</v>
      </c>
    </row>
    <row r="220" spans="1:13" x14ac:dyDescent="0.25">
      <c r="A220" t="s">
        <v>242</v>
      </c>
      <c r="B220" t="s">
        <v>14</v>
      </c>
      <c r="C220">
        <v>119</v>
      </c>
      <c r="D220" t="s">
        <v>13</v>
      </c>
      <c r="E220" s="46">
        <v>44999</v>
      </c>
      <c r="F220">
        <v>20</v>
      </c>
      <c r="G220">
        <v>3.9</v>
      </c>
      <c r="H220">
        <v>2023</v>
      </c>
      <c r="I220" t="s">
        <v>1092</v>
      </c>
      <c r="J220" t="s">
        <v>1099</v>
      </c>
      <c r="K220">
        <v>4</v>
      </c>
      <c r="L220">
        <v>3</v>
      </c>
      <c r="M220">
        <v>20</v>
      </c>
    </row>
    <row r="221" spans="1:13" x14ac:dyDescent="0.25">
      <c r="A221" t="s">
        <v>243</v>
      </c>
      <c r="B221" t="s">
        <v>5</v>
      </c>
      <c r="C221">
        <v>65</v>
      </c>
      <c r="D221" t="s">
        <v>6</v>
      </c>
      <c r="E221" s="46">
        <v>44999</v>
      </c>
      <c r="F221">
        <v>84</v>
      </c>
      <c r="G221">
        <v>2.5</v>
      </c>
      <c r="H221">
        <v>2023</v>
      </c>
      <c r="I221" t="s">
        <v>1092</v>
      </c>
      <c r="J221" t="s">
        <v>1099</v>
      </c>
      <c r="K221">
        <v>3</v>
      </c>
      <c r="L221">
        <v>3</v>
      </c>
      <c r="M221">
        <v>84</v>
      </c>
    </row>
    <row r="222" spans="1:13" x14ac:dyDescent="0.25">
      <c r="A222" t="s">
        <v>244</v>
      </c>
      <c r="B222" t="s">
        <v>24</v>
      </c>
      <c r="C222">
        <v>68</v>
      </c>
      <c r="D222" t="s">
        <v>6</v>
      </c>
      <c r="E222" s="46">
        <v>44999</v>
      </c>
      <c r="F222">
        <v>32</v>
      </c>
      <c r="G222">
        <v>4.9000000000000004</v>
      </c>
      <c r="H222">
        <v>2023</v>
      </c>
      <c r="I222" t="s">
        <v>1092</v>
      </c>
      <c r="J222" t="s">
        <v>1099</v>
      </c>
      <c r="K222">
        <v>5</v>
      </c>
      <c r="L222">
        <v>3</v>
      </c>
      <c r="M222">
        <v>32</v>
      </c>
    </row>
    <row r="223" spans="1:13" x14ac:dyDescent="0.25">
      <c r="A223" t="s">
        <v>245</v>
      </c>
      <c r="B223" t="s">
        <v>22</v>
      </c>
      <c r="C223">
        <v>72</v>
      </c>
      <c r="D223" t="s">
        <v>9</v>
      </c>
      <c r="E223" s="46">
        <v>44999</v>
      </c>
      <c r="F223">
        <v>132</v>
      </c>
      <c r="G223">
        <v>3.4</v>
      </c>
      <c r="H223">
        <v>2023</v>
      </c>
      <c r="I223" t="s">
        <v>1092</v>
      </c>
      <c r="J223" t="s">
        <v>1099</v>
      </c>
      <c r="K223">
        <v>3</v>
      </c>
      <c r="L223">
        <v>3</v>
      </c>
      <c r="M223">
        <v>132</v>
      </c>
    </row>
    <row r="224" spans="1:13" x14ac:dyDescent="0.25">
      <c r="A224" t="s">
        <v>246</v>
      </c>
      <c r="B224" t="s">
        <v>22</v>
      </c>
      <c r="C224">
        <v>63</v>
      </c>
      <c r="D224" t="s">
        <v>10</v>
      </c>
      <c r="E224" s="46">
        <v>44999</v>
      </c>
      <c r="F224">
        <v>105</v>
      </c>
      <c r="G224">
        <v>3.3</v>
      </c>
      <c r="H224">
        <v>2023</v>
      </c>
      <c r="I224" t="s">
        <v>1092</v>
      </c>
      <c r="J224" t="s">
        <v>1099</v>
      </c>
      <c r="K224">
        <v>3</v>
      </c>
      <c r="L224">
        <v>3</v>
      </c>
      <c r="M224">
        <v>105</v>
      </c>
    </row>
    <row r="225" spans="1:13" x14ac:dyDescent="0.25">
      <c r="A225" t="s">
        <v>247</v>
      </c>
      <c r="B225" t="s">
        <v>12</v>
      </c>
      <c r="C225">
        <v>139</v>
      </c>
      <c r="D225" t="s">
        <v>13</v>
      </c>
      <c r="E225" s="46">
        <v>45000</v>
      </c>
      <c r="F225">
        <v>48</v>
      </c>
      <c r="G225">
        <v>4.7</v>
      </c>
      <c r="H225">
        <v>2023</v>
      </c>
      <c r="I225" t="s">
        <v>1093</v>
      </c>
      <c r="J225" t="s">
        <v>1103</v>
      </c>
      <c r="K225">
        <v>5</v>
      </c>
      <c r="L225">
        <v>4</v>
      </c>
      <c r="M225">
        <v>48</v>
      </c>
    </row>
    <row r="226" spans="1:13" x14ac:dyDescent="0.25">
      <c r="A226" t="s">
        <v>248</v>
      </c>
      <c r="B226" t="s">
        <v>14</v>
      </c>
      <c r="C226">
        <v>59</v>
      </c>
      <c r="D226" t="s">
        <v>13</v>
      </c>
      <c r="E226" s="46">
        <v>45000</v>
      </c>
      <c r="F226">
        <v>64</v>
      </c>
      <c r="G226">
        <v>4</v>
      </c>
      <c r="H226">
        <v>2023</v>
      </c>
      <c r="I226" t="s">
        <v>1093</v>
      </c>
      <c r="J226" t="s">
        <v>1099</v>
      </c>
      <c r="K226">
        <v>4</v>
      </c>
      <c r="L226">
        <v>3</v>
      </c>
      <c r="M226">
        <v>64</v>
      </c>
    </row>
    <row r="227" spans="1:13" x14ac:dyDescent="0.25">
      <c r="A227" t="s">
        <v>249</v>
      </c>
      <c r="B227" t="s">
        <v>7</v>
      </c>
      <c r="C227">
        <v>138</v>
      </c>
      <c r="D227" t="s">
        <v>10</v>
      </c>
      <c r="E227" s="46">
        <v>45000</v>
      </c>
      <c r="F227">
        <v>44</v>
      </c>
      <c r="G227">
        <v>3.8</v>
      </c>
      <c r="H227">
        <v>2023</v>
      </c>
      <c r="I227" t="s">
        <v>1093</v>
      </c>
      <c r="J227" t="s">
        <v>1103</v>
      </c>
      <c r="K227">
        <v>4</v>
      </c>
      <c r="L227">
        <v>4</v>
      </c>
      <c r="M227">
        <v>44</v>
      </c>
    </row>
    <row r="228" spans="1:13" x14ac:dyDescent="0.25">
      <c r="A228" t="s">
        <v>250</v>
      </c>
      <c r="B228" t="s">
        <v>12</v>
      </c>
      <c r="C228">
        <v>47</v>
      </c>
      <c r="D228" t="s">
        <v>9</v>
      </c>
      <c r="E228" s="46">
        <v>45000</v>
      </c>
      <c r="F228">
        <v>120</v>
      </c>
      <c r="G228">
        <v>3.1</v>
      </c>
      <c r="H228">
        <v>2023</v>
      </c>
      <c r="I228" t="s">
        <v>1093</v>
      </c>
      <c r="J228" t="s">
        <v>1099</v>
      </c>
      <c r="K228">
        <v>3</v>
      </c>
      <c r="L228">
        <v>3</v>
      </c>
      <c r="M228">
        <v>120</v>
      </c>
    </row>
    <row r="229" spans="1:13" x14ac:dyDescent="0.25">
      <c r="A229" t="s">
        <v>251</v>
      </c>
      <c r="B229" t="s">
        <v>7</v>
      </c>
      <c r="C229">
        <v>74</v>
      </c>
      <c r="D229" t="s">
        <v>9</v>
      </c>
      <c r="E229" s="46">
        <v>45000</v>
      </c>
      <c r="F229">
        <v>144</v>
      </c>
      <c r="G229">
        <v>4.8</v>
      </c>
      <c r="H229">
        <v>2023</v>
      </c>
      <c r="I229" t="s">
        <v>1093</v>
      </c>
      <c r="J229" t="s">
        <v>1099</v>
      </c>
      <c r="K229">
        <v>5</v>
      </c>
      <c r="L229">
        <v>3</v>
      </c>
      <c r="M229">
        <v>144</v>
      </c>
    </row>
    <row r="230" spans="1:13" x14ac:dyDescent="0.25">
      <c r="A230" t="s">
        <v>252</v>
      </c>
      <c r="B230" t="s">
        <v>22</v>
      </c>
      <c r="C230">
        <v>65</v>
      </c>
      <c r="D230" t="s">
        <v>9</v>
      </c>
      <c r="E230" s="46">
        <v>45000</v>
      </c>
      <c r="F230">
        <v>87</v>
      </c>
      <c r="G230">
        <v>2.7</v>
      </c>
      <c r="H230">
        <v>2023</v>
      </c>
      <c r="I230" t="s">
        <v>1093</v>
      </c>
      <c r="J230" t="s">
        <v>1099</v>
      </c>
      <c r="K230">
        <v>3</v>
      </c>
      <c r="L230">
        <v>3</v>
      </c>
      <c r="M230">
        <v>87</v>
      </c>
    </row>
    <row r="231" spans="1:13" x14ac:dyDescent="0.25">
      <c r="A231" t="s">
        <v>253</v>
      </c>
      <c r="B231" t="s">
        <v>8</v>
      </c>
      <c r="C231">
        <v>123</v>
      </c>
      <c r="D231" t="s">
        <v>6</v>
      </c>
      <c r="E231" s="46">
        <v>45000</v>
      </c>
      <c r="F231">
        <v>36</v>
      </c>
      <c r="G231">
        <v>3.6</v>
      </c>
      <c r="H231">
        <v>2023</v>
      </c>
      <c r="I231" t="s">
        <v>1093</v>
      </c>
      <c r="J231" t="s">
        <v>1103</v>
      </c>
      <c r="K231">
        <v>4</v>
      </c>
      <c r="L231">
        <v>4</v>
      </c>
      <c r="M231">
        <v>36</v>
      </c>
    </row>
    <row r="232" spans="1:13" x14ac:dyDescent="0.25">
      <c r="A232" t="s">
        <v>254</v>
      </c>
      <c r="B232" t="s">
        <v>22</v>
      </c>
      <c r="C232">
        <v>90</v>
      </c>
      <c r="D232" t="s">
        <v>13</v>
      </c>
      <c r="E232" s="46">
        <v>45001</v>
      </c>
      <c r="F232">
        <v>72</v>
      </c>
      <c r="G232">
        <v>4.7</v>
      </c>
      <c r="H232">
        <v>2023</v>
      </c>
      <c r="I232" t="s">
        <v>1094</v>
      </c>
      <c r="J232" t="s">
        <v>1099</v>
      </c>
      <c r="K232">
        <v>5</v>
      </c>
      <c r="L232">
        <v>3</v>
      </c>
      <c r="M232">
        <v>72</v>
      </c>
    </row>
    <row r="233" spans="1:13" x14ac:dyDescent="0.25">
      <c r="A233" t="s">
        <v>255</v>
      </c>
      <c r="B233" t="s">
        <v>17</v>
      </c>
      <c r="C233">
        <v>127</v>
      </c>
      <c r="D233" t="s">
        <v>10</v>
      </c>
      <c r="E233" s="46">
        <v>45001</v>
      </c>
      <c r="F233">
        <v>150</v>
      </c>
      <c r="G233">
        <v>4.4000000000000004</v>
      </c>
      <c r="H233">
        <v>2023</v>
      </c>
      <c r="I233" t="s">
        <v>1094</v>
      </c>
      <c r="J233" t="s">
        <v>1103</v>
      </c>
      <c r="K233">
        <v>4</v>
      </c>
      <c r="L233">
        <v>4</v>
      </c>
      <c r="M233">
        <v>150</v>
      </c>
    </row>
    <row r="234" spans="1:13" x14ac:dyDescent="0.25">
      <c r="A234" t="s">
        <v>256</v>
      </c>
      <c r="B234" t="s">
        <v>21</v>
      </c>
      <c r="C234">
        <v>60</v>
      </c>
      <c r="D234" t="s">
        <v>9</v>
      </c>
      <c r="E234" s="46">
        <v>45001</v>
      </c>
      <c r="F234">
        <v>68</v>
      </c>
      <c r="G234">
        <v>4.3</v>
      </c>
      <c r="H234">
        <v>2023</v>
      </c>
      <c r="I234" t="s">
        <v>1094</v>
      </c>
      <c r="J234" t="s">
        <v>1099</v>
      </c>
      <c r="K234">
        <v>4</v>
      </c>
      <c r="L234">
        <v>3</v>
      </c>
      <c r="M234">
        <v>68</v>
      </c>
    </row>
    <row r="235" spans="1:13" x14ac:dyDescent="0.25">
      <c r="A235" t="s">
        <v>257</v>
      </c>
      <c r="B235" t="s">
        <v>12</v>
      </c>
      <c r="C235">
        <v>94</v>
      </c>
      <c r="D235" t="s">
        <v>10</v>
      </c>
      <c r="E235" s="46">
        <v>45001</v>
      </c>
      <c r="F235">
        <v>99</v>
      </c>
      <c r="G235">
        <v>4.9000000000000004</v>
      </c>
      <c r="H235">
        <v>2023</v>
      </c>
      <c r="I235" t="s">
        <v>1094</v>
      </c>
      <c r="J235" t="s">
        <v>1099</v>
      </c>
      <c r="K235">
        <v>5</v>
      </c>
      <c r="L235">
        <v>3</v>
      </c>
      <c r="M235">
        <v>99</v>
      </c>
    </row>
    <row r="236" spans="1:13" x14ac:dyDescent="0.25">
      <c r="A236" t="s">
        <v>258</v>
      </c>
      <c r="B236" t="s">
        <v>8</v>
      </c>
      <c r="C236">
        <v>54</v>
      </c>
      <c r="D236" t="s">
        <v>9</v>
      </c>
      <c r="E236" s="46">
        <v>45001</v>
      </c>
      <c r="F236">
        <v>26</v>
      </c>
      <c r="G236">
        <v>4.8</v>
      </c>
      <c r="H236">
        <v>2023</v>
      </c>
      <c r="I236" t="s">
        <v>1094</v>
      </c>
      <c r="J236" t="s">
        <v>1099</v>
      </c>
      <c r="K236">
        <v>5</v>
      </c>
      <c r="L236">
        <v>3</v>
      </c>
      <c r="M236">
        <v>26</v>
      </c>
    </row>
    <row r="237" spans="1:13" x14ac:dyDescent="0.25">
      <c r="A237" t="s">
        <v>259</v>
      </c>
      <c r="B237" t="s">
        <v>22</v>
      </c>
      <c r="C237">
        <v>104</v>
      </c>
      <c r="D237" t="s">
        <v>9</v>
      </c>
      <c r="E237" s="46">
        <v>45001</v>
      </c>
      <c r="F237">
        <v>88</v>
      </c>
      <c r="G237">
        <v>3.2</v>
      </c>
      <c r="H237">
        <v>2023</v>
      </c>
      <c r="I237" t="s">
        <v>1094</v>
      </c>
      <c r="J237" t="s">
        <v>1099</v>
      </c>
      <c r="K237">
        <v>3</v>
      </c>
      <c r="L237">
        <v>3</v>
      </c>
      <c r="M237">
        <v>88</v>
      </c>
    </row>
    <row r="238" spans="1:13" x14ac:dyDescent="0.25">
      <c r="A238" t="s">
        <v>260</v>
      </c>
      <c r="B238" t="s">
        <v>15</v>
      </c>
      <c r="C238">
        <v>100</v>
      </c>
      <c r="D238" t="s">
        <v>9</v>
      </c>
      <c r="E238" s="46">
        <v>45001</v>
      </c>
      <c r="F238">
        <v>124</v>
      </c>
      <c r="G238">
        <v>3.4</v>
      </c>
      <c r="H238">
        <v>2023</v>
      </c>
      <c r="I238" t="s">
        <v>1094</v>
      </c>
      <c r="J238" t="s">
        <v>1099</v>
      </c>
      <c r="K238">
        <v>3</v>
      </c>
      <c r="L238">
        <v>3</v>
      </c>
      <c r="M238">
        <v>124</v>
      </c>
    </row>
    <row r="239" spans="1:13" x14ac:dyDescent="0.25">
      <c r="A239" t="s">
        <v>261</v>
      </c>
      <c r="B239" t="s">
        <v>7</v>
      </c>
      <c r="C239">
        <v>84</v>
      </c>
      <c r="D239" t="s">
        <v>9</v>
      </c>
      <c r="E239" s="46">
        <v>45001</v>
      </c>
      <c r="F239">
        <v>72</v>
      </c>
      <c r="G239">
        <v>3.5</v>
      </c>
      <c r="H239">
        <v>2023</v>
      </c>
      <c r="I239" t="s">
        <v>1094</v>
      </c>
      <c r="J239" t="s">
        <v>1099</v>
      </c>
      <c r="K239">
        <v>4</v>
      </c>
      <c r="L239">
        <v>3</v>
      </c>
      <c r="M239">
        <v>72</v>
      </c>
    </row>
    <row r="240" spans="1:13" x14ac:dyDescent="0.25">
      <c r="A240" t="s">
        <v>262</v>
      </c>
      <c r="B240" t="s">
        <v>20</v>
      </c>
      <c r="C240">
        <v>92</v>
      </c>
      <c r="D240" t="s">
        <v>11</v>
      </c>
      <c r="E240" s="46">
        <v>45002</v>
      </c>
      <c r="F240">
        <v>125</v>
      </c>
      <c r="G240">
        <v>4.9000000000000004</v>
      </c>
      <c r="H240">
        <v>2023</v>
      </c>
      <c r="I240" t="s">
        <v>1095</v>
      </c>
      <c r="J240" t="s">
        <v>1099</v>
      </c>
      <c r="K240">
        <v>5</v>
      </c>
      <c r="L240">
        <v>3</v>
      </c>
      <c r="M240">
        <v>125</v>
      </c>
    </row>
    <row r="241" spans="1:13" x14ac:dyDescent="0.25">
      <c r="A241" t="s">
        <v>263</v>
      </c>
      <c r="B241" t="s">
        <v>18</v>
      </c>
      <c r="C241">
        <v>64</v>
      </c>
      <c r="D241" t="s">
        <v>10</v>
      </c>
      <c r="E241" s="46">
        <v>45002</v>
      </c>
      <c r="F241">
        <v>22</v>
      </c>
      <c r="G241">
        <v>4.0999999999999996</v>
      </c>
      <c r="H241">
        <v>2023</v>
      </c>
      <c r="I241" t="s">
        <v>1095</v>
      </c>
      <c r="J241" t="s">
        <v>1099</v>
      </c>
      <c r="K241">
        <v>4</v>
      </c>
      <c r="L241">
        <v>3</v>
      </c>
      <c r="M241">
        <v>22</v>
      </c>
    </row>
    <row r="242" spans="1:13" x14ac:dyDescent="0.25">
      <c r="A242" t="s">
        <v>264</v>
      </c>
      <c r="B242" t="s">
        <v>23</v>
      </c>
      <c r="C242">
        <v>89</v>
      </c>
      <c r="D242" t="s">
        <v>13</v>
      </c>
      <c r="E242" s="46">
        <v>45003</v>
      </c>
      <c r="F242">
        <v>70</v>
      </c>
      <c r="G242">
        <v>4.9000000000000004</v>
      </c>
      <c r="H242">
        <v>2023</v>
      </c>
      <c r="I242" t="s">
        <v>1096</v>
      </c>
      <c r="J242" t="s">
        <v>1099</v>
      </c>
      <c r="K242">
        <v>5</v>
      </c>
      <c r="L242">
        <v>3</v>
      </c>
      <c r="M242">
        <v>70</v>
      </c>
    </row>
    <row r="243" spans="1:13" x14ac:dyDescent="0.25">
      <c r="A243" t="s">
        <v>265</v>
      </c>
      <c r="B243" t="s">
        <v>19</v>
      </c>
      <c r="C243">
        <v>40</v>
      </c>
      <c r="D243" t="s">
        <v>9</v>
      </c>
      <c r="E243" s="46">
        <v>45003</v>
      </c>
      <c r="F243">
        <v>24</v>
      </c>
      <c r="G243">
        <v>4.3</v>
      </c>
      <c r="H243">
        <v>2023</v>
      </c>
      <c r="I243" t="s">
        <v>1096</v>
      </c>
      <c r="J243" t="s">
        <v>1099</v>
      </c>
      <c r="K243">
        <v>4</v>
      </c>
      <c r="L243">
        <v>3</v>
      </c>
      <c r="M243">
        <v>24</v>
      </c>
    </row>
    <row r="244" spans="1:13" x14ac:dyDescent="0.25">
      <c r="A244" t="s">
        <v>266</v>
      </c>
      <c r="B244" t="s">
        <v>14</v>
      </c>
      <c r="C244">
        <v>75</v>
      </c>
      <c r="D244" t="s">
        <v>6</v>
      </c>
      <c r="E244" s="46">
        <v>45003</v>
      </c>
      <c r="F244">
        <v>32</v>
      </c>
      <c r="G244">
        <v>4.0999999999999996</v>
      </c>
      <c r="H244">
        <v>2023</v>
      </c>
      <c r="I244" t="s">
        <v>1096</v>
      </c>
      <c r="J244" t="s">
        <v>1099</v>
      </c>
      <c r="K244">
        <v>4</v>
      </c>
      <c r="L244">
        <v>3</v>
      </c>
      <c r="M244">
        <v>32</v>
      </c>
    </row>
    <row r="245" spans="1:13" x14ac:dyDescent="0.25">
      <c r="A245" t="s">
        <v>267</v>
      </c>
      <c r="B245" t="s">
        <v>17</v>
      </c>
      <c r="C245">
        <v>106</v>
      </c>
      <c r="D245" t="s">
        <v>11</v>
      </c>
      <c r="E245" s="46">
        <v>45003</v>
      </c>
      <c r="F245">
        <v>112</v>
      </c>
      <c r="G245">
        <v>4.4000000000000004</v>
      </c>
      <c r="H245">
        <v>2023</v>
      </c>
      <c r="I245" t="s">
        <v>1096</v>
      </c>
      <c r="J245" t="s">
        <v>1099</v>
      </c>
      <c r="K245">
        <v>4</v>
      </c>
      <c r="L245">
        <v>3</v>
      </c>
      <c r="M245">
        <v>112</v>
      </c>
    </row>
    <row r="246" spans="1:13" x14ac:dyDescent="0.25">
      <c r="A246" t="s">
        <v>268</v>
      </c>
      <c r="B246" t="s">
        <v>18</v>
      </c>
      <c r="C246">
        <v>58</v>
      </c>
      <c r="D246" t="s">
        <v>9</v>
      </c>
      <c r="E246" s="46">
        <v>45004</v>
      </c>
      <c r="F246">
        <v>43</v>
      </c>
      <c r="G246">
        <v>4.5</v>
      </c>
      <c r="H246">
        <v>2023</v>
      </c>
      <c r="I246" t="s">
        <v>1090</v>
      </c>
      <c r="J246" t="s">
        <v>1099</v>
      </c>
      <c r="K246">
        <v>5</v>
      </c>
      <c r="L246">
        <v>3</v>
      </c>
      <c r="M246">
        <v>43</v>
      </c>
    </row>
    <row r="247" spans="1:13" x14ac:dyDescent="0.25">
      <c r="A247" t="s">
        <v>269</v>
      </c>
      <c r="B247" t="s">
        <v>7</v>
      </c>
      <c r="C247">
        <v>84</v>
      </c>
      <c r="D247" t="s">
        <v>11</v>
      </c>
      <c r="E247" s="46">
        <v>45004</v>
      </c>
      <c r="F247">
        <v>22</v>
      </c>
      <c r="G247">
        <v>3.5</v>
      </c>
      <c r="H247">
        <v>2023</v>
      </c>
      <c r="I247" t="s">
        <v>1090</v>
      </c>
      <c r="J247" t="s">
        <v>1099</v>
      </c>
      <c r="K247">
        <v>4</v>
      </c>
      <c r="L247">
        <v>3</v>
      </c>
      <c r="M247">
        <v>22</v>
      </c>
    </row>
    <row r="248" spans="1:13" x14ac:dyDescent="0.25">
      <c r="A248" t="s">
        <v>270</v>
      </c>
      <c r="B248" t="s">
        <v>22</v>
      </c>
      <c r="C248">
        <v>140</v>
      </c>
      <c r="D248" t="s">
        <v>11</v>
      </c>
      <c r="E248" s="46">
        <v>45004</v>
      </c>
      <c r="F248">
        <v>93</v>
      </c>
      <c r="G248">
        <v>4.4000000000000004</v>
      </c>
      <c r="H248">
        <v>2023</v>
      </c>
      <c r="I248" t="s">
        <v>1090</v>
      </c>
      <c r="J248" t="s">
        <v>1103</v>
      </c>
      <c r="K248">
        <v>4</v>
      </c>
      <c r="L248">
        <v>4</v>
      </c>
      <c r="M248">
        <v>93</v>
      </c>
    </row>
    <row r="249" spans="1:13" x14ac:dyDescent="0.25">
      <c r="A249" t="s">
        <v>271</v>
      </c>
      <c r="B249" t="s">
        <v>18</v>
      </c>
      <c r="C249">
        <v>67</v>
      </c>
      <c r="D249" t="s">
        <v>11</v>
      </c>
      <c r="E249" s="46">
        <v>45004</v>
      </c>
      <c r="F249">
        <v>45</v>
      </c>
      <c r="G249">
        <v>3.5</v>
      </c>
      <c r="H249">
        <v>2023</v>
      </c>
      <c r="I249" t="s">
        <v>1090</v>
      </c>
      <c r="J249" t="s">
        <v>1099</v>
      </c>
      <c r="K249">
        <v>4</v>
      </c>
      <c r="L249">
        <v>3</v>
      </c>
      <c r="M249">
        <v>45</v>
      </c>
    </row>
    <row r="250" spans="1:13" x14ac:dyDescent="0.25">
      <c r="A250" t="s">
        <v>272</v>
      </c>
      <c r="B250" t="s">
        <v>12</v>
      </c>
      <c r="C250">
        <v>126</v>
      </c>
      <c r="D250" t="s">
        <v>11</v>
      </c>
      <c r="E250" s="46">
        <v>45005</v>
      </c>
      <c r="F250">
        <v>96</v>
      </c>
      <c r="G250">
        <v>3.8</v>
      </c>
      <c r="H250">
        <v>2023</v>
      </c>
      <c r="I250" t="s">
        <v>1091</v>
      </c>
      <c r="J250" t="s">
        <v>1103</v>
      </c>
      <c r="K250">
        <v>4</v>
      </c>
      <c r="L250">
        <v>4</v>
      </c>
      <c r="M250">
        <v>96</v>
      </c>
    </row>
    <row r="251" spans="1:13" x14ac:dyDescent="0.25">
      <c r="A251" t="s">
        <v>273</v>
      </c>
      <c r="B251" t="s">
        <v>12</v>
      </c>
      <c r="C251">
        <v>89</v>
      </c>
      <c r="D251" t="s">
        <v>9</v>
      </c>
      <c r="E251" s="46">
        <v>45005</v>
      </c>
      <c r="F251">
        <v>96</v>
      </c>
      <c r="G251">
        <v>3.3</v>
      </c>
      <c r="H251">
        <v>2023</v>
      </c>
      <c r="I251" t="s">
        <v>1091</v>
      </c>
      <c r="J251" t="s">
        <v>1099</v>
      </c>
      <c r="K251">
        <v>3</v>
      </c>
      <c r="L251">
        <v>3</v>
      </c>
      <c r="M251">
        <v>96</v>
      </c>
    </row>
    <row r="252" spans="1:13" x14ac:dyDescent="0.25">
      <c r="A252" t="s">
        <v>274</v>
      </c>
      <c r="B252" t="s">
        <v>23</v>
      </c>
      <c r="C252">
        <v>56</v>
      </c>
      <c r="D252" t="s">
        <v>10</v>
      </c>
      <c r="E252" s="46">
        <v>45005</v>
      </c>
      <c r="F252">
        <v>31</v>
      </c>
      <c r="G252">
        <v>4.4000000000000004</v>
      </c>
      <c r="H252">
        <v>2023</v>
      </c>
      <c r="I252" t="s">
        <v>1091</v>
      </c>
      <c r="J252" t="s">
        <v>1099</v>
      </c>
      <c r="K252">
        <v>4</v>
      </c>
      <c r="L252">
        <v>3</v>
      </c>
      <c r="M252">
        <v>31</v>
      </c>
    </row>
    <row r="253" spans="1:13" x14ac:dyDescent="0.25">
      <c r="A253" t="s">
        <v>275</v>
      </c>
      <c r="B253" t="s">
        <v>8</v>
      </c>
      <c r="C253">
        <v>48</v>
      </c>
      <c r="D253" t="s">
        <v>9</v>
      </c>
      <c r="E253" s="46">
        <v>45005</v>
      </c>
      <c r="F253">
        <v>200</v>
      </c>
      <c r="G253">
        <v>3.9</v>
      </c>
      <c r="H253">
        <v>2023</v>
      </c>
      <c r="I253" t="s">
        <v>1091</v>
      </c>
      <c r="J253" t="s">
        <v>1099</v>
      </c>
      <c r="K253">
        <v>4</v>
      </c>
      <c r="L253">
        <v>3</v>
      </c>
      <c r="M253">
        <v>200</v>
      </c>
    </row>
    <row r="254" spans="1:13" x14ac:dyDescent="0.25">
      <c r="A254" t="s">
        <v>276</v>
      </c>
      <c r="B254" t="s">
        <v>12</v>
      </c>
      <c r="C254">
        <v>55</v>
      </c>
      <c r="D254" t="s">
        <v>10</v>
      </c>
      <c r="E254" s="46">
        <v>45005</v>
      </c>
      <c r="F254">
        <v>99</v>
      </c>
      <c r="G254">
        <v>2.7</v>
      </c>
      <c r="H254">
        <v>2023</v>
      </c>
      <c r="I254" t="s">
        <v>1091</v>
      </c>
      <c r="J254" t="s">
        <v>1099</v>
      </c>
      <c r="K254">
        <v>3</v>
      </c>
      <c r="L254">
        <v>3</v>
      </c>
      <c r="M254">
        <v>99</v>
      </c>
    </row>
    <row r="255" spans="1:13" x14ac:dyDescent="0.25">
      <c r="A255" t="s">
        <v>277</v>
      </c>
      <c r="B255" t="s">
        <v>21</v>
      </c>
      <c r="C255">
        <v>88</v>
      </c>
      <c r="D255" t="s">
        <v>6</v>
      </c>
      <c r="E255" s="46">
        <v>45005</v>
      </c>
      <c r="F255">
        <v>144</v>
      </c>
      <c r="G255">
        <v>2.9</v>
      </c>
      <c r="H255">
        <v>2023</v>
      </c>
      <c r="I255" t="s">
        <v>1091</v>
      </c>
      <c r="J255" t="s">
        <v>1099</v>
      </c>
      <c r="K255">
        <v>3</v>
      </c>
      <c r="L255">
        <v>3</v>
      </c>
      <c r="M255">
        <v>144</v>
      </c>
    </row>
    <row r="256" spans="1:13" x14ac:dyDescent="0.25">
      <c r="A256" t="s">
        <v>278</v>
      </c>
      <c r="B256" t="s">
        <v>23</v>
      </c>
      <c r="C256">
        <v>102</v>
      </c>
      <c r="D256" t="s">
        <v>11</v>
      </c>
      <c r="E256" s="46">
        <v>45006</v>
      </c>
      <c r="F256">
        <v>81</v>
      </c>
      <c r="G256">
        <v>4</v>
      </c>
      <c r="H256">
        <v>2023</v>
      </c>
      <c r="I256" t="s">
        <v>1092</v>
      </c>
      <c r="J256" t="s">
        <v>1099</v>
      </c>
      <c r="K256">
        <v>4</v>
      </c>
      <c r="L256">
        <v>3</v>
      </c>
      <c r="M256">
        <v>81</v>
      </c>
    </row>
    <row r="257" spans="1:13" x14ac:dyDescent="0.25">
      <c r="A257" t="s">
        <v>279</v>
      </c>
      <c r="B257" t="s">
        <v>21</v>
      </c>
      <c r="C257">
        <v>155</v>
      </c>
      <c r="D257" t="s">
        <v>6</v>
      </c>
      <c r="E257" s="46">
        <v>45006</v>
      </c>
      <c r="F257">
        <v>70</v>
      </c>
      <c r="G257">
        <v>4.4000000000000004</v>
      </c>
      <c r="H257">
        <v>2023</v>
      </c>
      <c r="I257" t="s">
        <v>1092</v>
      </c>
      <c r="J257" t="s">
        <v>1103</v>
      </c>
      <c r="K257">
        <v>4</v>
      </c>
      <c r="L257">
        <v>4</v>
      </c>
      <c r="M257">
        <v>70</v>
      </c>
    </row>
    <row r="258" spans="1:13" x14ac:dyDescent="0.25">
      <c r="A258" t="s">
        <v>280</v>
      </c>
      <c r="B258" t="s">
        <v>12</v>
      </c>
      <c r="C258">
        <v>63</v>
      </c>
      <c r="D258" t="s">
        <v>6</v>
      </c>
      <c r="E258" s="46">
        <v>45006</v>
      </c>
      <c r="F258">
        <v>148</v>
      </c>
      <c r="G258">
        <v>5</v>
      </c>
      <c r="H258">
        <v>2023</v>
      </c>
      <c r="I258" t="s">
        <v>1092</v>
      </c>
      <c r="J258" t="s">
        <v>1099</v>
      </c>
      <c r="K258">
        <v>5</v>
      </c>
      <c r="L258">
        <v>3</v>
      </c>
      <c r="M258">
        <v>148</v>
      </c>
    </row>
    <row r="259" spans="1:13" x14ac:dyDescent="0.25">
      <c r="A259" t="s">
        <v>281</v>
      </c>
      <c r="B259" t="s">
        <v>15</v>
      </c>
      <c r="C259">
        <v>59</v>
      </c>
      <c r="D259" t="s">
        <v>11</v>
      </c>
      <c r="E259" s="46">
        <v>45006</v>
      </c>
      <c r="F259">
        <v>215</v>
      </c>
      <c r="G259">
        <v>4.0999999999999996</v>
      </c>
      <c r="H259">
        <v>2023</v>
      </c>
      <c r="I259" t="s">
        <v>1092</v>
      </c>
      <c r="J259" t="s">
        <v>1099</v>
      </c>
      <c r="K259">
        <v>4</v>
      </c>
      <c r="L259">
        <v>3</v>
      </c>
      <c r="M259">
        <v>215</v>
      </c>
    </row>
    <row r="260" spans="1:13" x14ac:dyDescent="0.25">
      <c r="A260" t="s">
        <v>282</v>
      </c>
      <c r="B260" t="s">
        <v>15</v>
      </c>
      <c r="C260">
        <v>144</v>
      </c>
      <c r="D260" t="s">
        <v>9</v>
      </c>
      <c r="E260" s="46">
        <v>45006</v>
      </c>
      <c r="F260">
        <v>124</v>
      </c>
      <c r="G260">
        <v>4.4000000000000004</v>
      </c>
      <c r="H260">
        <v>2023</v>
      </c>
      <c r="I260" t="s">
        <v>1092</v>
      </c>
      <c r="J260" t="s">
        <v>1103</v>
      </c>
      <c r="K260">
        <v>4</v>
      </c>
      <c r="L260">
        <v>4</v>
      </c>
      <c r="M260">
        <v>124</v>
      </c>
    </row>
    <row r="261" spans="1:13" x14ac:dyDescent="0.25">
      <c r="A261" t="s">
        <v>283</v>
      </c>
      <c r="B261" t="s">
        <v>7</v>
      </c>
      <c r="C261">
        <v>113</v>
      </c>
      <c r="D261" t="s">
        <v>13</v>
      </c>
      <c r="E261" s="46">
        <v>45006</v>
      </c>
      <c r="F261">
        <v>168</v>
      </c>
      <c r="G261">
        <v>4.0999999999999996</v>
      </c>
      <c r="H261">
        <v>2023</v>
      </c>
      <c r="I261" t="s">
        <v>1092</v>
      </c>
      <c r="J261" t="s">
        <v>1099</v>
      </c>
      <c r="K261">
        <v>4</v>
      </c>
      <c r="L261">
        <v>3</v>
      </c>
      <c r="M261">
        <v>168</v>
      </c>
    </row>
    <row r="262" spans="1:13" x14ac:dyDescent="0.25">
      <c r="A262" t="s">
        <v>284</v>
      </c>
      <c r="B262" t="s">
        <v>16</v>
      </c>
      <c r="C262">
        <v>154</v>
      </c>
      <c r="D262" t="s">
        <v>10</v>
      </c>
      <c r="E262" s="46">
        <v>45006</v>
      </c>
      <c r="F262">
        <v>90</v>
      </c>
      <c r="G262">
        <v>4.5</v>
      </c>
      <c r="H262">
        <v>2023</v>
      </c>
      <c r="I262" t="s">
        <v>1092</v>
      </c>
      <c r="J262" t="s">
        <v>1103</v>
      </c>
      <c r="K262">
        <v>5</v>
      </c>
      <c r="L262">
        <v>4</v>
      </c>
      <c r="M262">
        <v>90</v>
      </c>
    </row>
    <row r="263" spans="1:13" x14ac:dyDescent="0.25">
      <c r="A263" t="s">
        <v>285</v>
      </c>
      <c r="B263" t="s">
        <v>16</v>
      </c>
      <c r="C263">
        <v>58</v>
      </c>
      <c r="D263" t="s">
        <v>11</v>
      </c>
      <c r="E263" s="46">
        <v>45007</v>
      </c>
      <c r="F263">
        <v>176</v>
      </c>
      <c r="G263">
        <v>4.2</v>
      </c>
      <c r="H263">
        <v>2023</v>
      </c>
      <c r="I263" t="s">
        <v>1093</v>
      </c>
      <c r="J263" t="s">
        <v>1099</v>
      </c>
      <c r="K263">
        <v>4</v>
      </c>
      <c r="L263">
        <v>3</v>
      </c>
      <c r="M263">
        <v>176</v>
      </c>
    </row>
    <row r="264" spans="1:13" x14ac:dyDescent="0.25">
      <c r="A264" t="s">
        <v>286</v>
      </c>
      <c r="B264" t="s">
        <v>8</v>
      </c>
      <c r="C264">
        <v>63</v>
      </c>
      <c r="D264" t="s">
        <v>6</v>
      </c>
      <c r="E264" s="46">
        <v>45007</v>
      </c>
      <c r="F264">
        <v>87</v>
      </c>
      <c r="G264">
        <v>4.5999999999999996</v>
      </c>
      <c r="H264">
        <v>2023</v>
      </c>
      <c r="I264" t="s">
        <v>1093</v>
      </c>
      <c r="J264" t="s">
        <v>1099</v>
      </c>
      <c r="K264">
        <v>5</v>
      </c>
      <c r="L264">
        <v>3</v>
      </c>
      <c r="M264">
        <v>87</v>
      </c>
    </row>
    <row r="265" spans="1:13" x14ac:dyDescent="0.25">
      <c r="A265" t="s">
        <v>287</v>
      </c>
      <c r="B265" t="s">
        <v>22</v>
      </c>
      <c r="C265">
        <v>59</v>
      </c>
      <c r="D265" t="s">
        <v>9</v>
      </c>
      <c r="E265" s="46">
        <v>45007</v>
      </c>
      <c r="F265">
        <v>128</v>
      </c>
      <c r="G265">
        <v>4.5</v>
      </c>
      <c r="H265">
        <v>2023</v>
      </c>
      <c r="I265" t="s">
        <v>1093</v>
      </c>
      <c r="J265" t="s">
        <v>1099</v>
      </c>
      <c r="K265">
        <v>5</v>
      </c>
      <c r="L265">
        <v>3</v>
      </c>
      <c r="M265">
        <v>128</v>
      </c>
    </row>
    <row r="266" spans="1:13" x14ac:dyDescent="0.25">
      <c r="A266" t="s">
        <v>288</v>
      </c>
      <c r="B266" t="s">
        <v>5</v>
      </c>
      <c r="C266">
        <v>129</v>
      </c>
      <c r="D266" t="s">
        <v>6</v>
      </c>
      <c r="E266" s="46">
        <v>45007</v>
      </c>
      <c r="F266">
        <v>120</v>
      </c>
      <c r="G266">
        <v>4.0999999999999996</v>
      </c>
      <c r="H266">
        <v>2023</v>
      </c>
      <c r="I266" t="s">
        <v>1093</v>
      </c>
      <c r="J266" t="s">
        <v>1103</v>
      </c>
      <c r="K266">
        <v>4</v>
      </c>
      <c r="L266">
        <v>4</v>
      </c>
      <c r="M266">
        <v>120</v>
      </c>
    </row>
    <row r="267" spans="1:13" x14ac:dyDescent="0.25">
      <c r="A267" t="s">
        <v>289</v>
      </c>
      <c r="B267" t="s">
        <v>24</v>
      </c>
      <c r="C267">
        <v>101</v>
      </c>
      <c r="D267" t="s">
        <v>13</v>
      </c>
      <c r="E267" s="46">
        <v>45007</v>
      </c>
      <c r="F267">
        <v>130</v>
      </c>
      <c r="G267">
        <v>4.8</v>
      </c>
      <c r="H267">
        <v>2023</v>
      </c>
      <c r="I267" t="s">
        <v>1093</v>
      </c>
      <c r="J267" t="s">
        <v>1099</v>
      </c>
      <c r="K267">
        <v>5</v>
      </c>
      <c r="L267">
        <v>3</v>
      </c>
      <c r="M267">
        <v>130</v>
      </c>
    </row>
    <row r="268" spans="1:13" x14ac:dyDescent="0.25">
      <c r="A268" t="s">
        <v>290</v>
      </c>
      <c r="B268" t="s">
        <v>19</v>
      </c>
      <c r="C268">
        <v>154</v>
      </c>
      <c r="D268" t="s">
        <v>9</v>
      </c>
      <c r="E268" s="46">
        <v>45007</v>
      </c>
      <c r="F268">
        <v>172</v>
      </c>
      <c r="G268">
        <v>3.1</v>
      </c>
      <c r="H268">
        <v>2023</v>
      </c>
      <c r="I268" t="s">
        <v>1093</v>
      </c>
      <c r="J268" t="s">
        <v>1103</v>
      </c>
      <c r="K268">
        <v>3</v>
      </c>
      <c r="L268">
        <v>4</v>
      </c>
      <c r="M268">
        <v>172</v>
      </c>
    </row>
    <row r="269" spans="1:13" x14ac:dyDescent="0.25">
      <c r="A269" t="s">
        <v>291</v>
      </c>
      <c r="B269" t="s">
        <v>18</v>
      </c>
      <c r="C269">
        <v>131</v>
      </c>
      <c r="D269" t="s">
        <v>9</v>
      </c>
      <c r="E269" s="46">
        <v>45007</v>
      </c>
      <c r="F269">
        <v>58</v>
      </c>
      <c r="G269">
        <v>4.9000000000000004</v>
      </c>
      <c r="H269">
        <v>2023</v>
      </c>
      <c r="I269" t="s">
        <v>1093</v>
      </c>
      <c r="J269" t="s">
        <v>1103</v>
      </c>
      <c r="K269">
        <v>5</v>
      </c>
      <c r="L269">
        <v>4</v>
      </c>
      <c r="M269">
        <v>58</v>
      </c>
    </row>
    <row r="270" spans="1:13" x14ac:dyDescent="0.25">
      <c r="A270" t="s">
        <v>292</v>
      </c>
      <c r="B270" t="s">
        <v>15</v>
      </c>
      <c r="C270">
        <v>111</v>
      </c>
      <c r="D270" t="s">
        <v>13</v>
      </c>
      <c r="E270" s="46">
        <v>45008</v>
      </c>
      <c r="F270">
        <v>86</v>
      </c>
      <c r="G270">
        <v>4.0999999999999996</v>
      </c>
      <c r="H270">
        <v>2023</v>
      </c>
      <c r="I270" t="s">
        <v>1094</v>
      </c>
      <c r="J270" t="s">
        <v>1099</v>
      </c>
      <c r="K270">
        <v>4</v>
      </c>
      <c r="L270">
        <v>3</v>
      </c>
      <c r="M270">
        <v>86</v>
      </c>
    </row>
    <row r="271" spans="1:13" x14ac:dyDescent="0.25">
      <c r="A271" t="s">
        <v>293</v>
      </c>
      <c r="B271" t="s">
        <v>16</v>
      </c>
      <c r="C271">
        <v>142</v>
      </c>
      <c r="D271" t="s">
        <v>13</v>
      </c>
      <c r="E271" s="46">
        <v>45009</v>
      </c>
      <c r="F271">
        <v>31</v>
      </c>
      <c r="G271">
        <v>4.4000000000000004</v>
      </c>
      <c r="H271">
        <v>2023</v>
      </c>
      <c r="I271" t="s">
        <v>1095</v>
      </c>
      <c r="J271" t="s">
        <v>1103</v>
      </c>
      <c r="K271">
        <v>4</v>
      </c>
      <c r="L271">
        <v>4</v>
      </c>
      <c r="M271">
        <v>31</v>
      </c>
    </row>
    <row r="272" spans="1:13" x14ac:dyDescent="0.25">
      <c r="A272" t="s">
        <v>294</v>
      </c>
      <c r="B272" t="s">
        <v>23</v>
      </c>
      <c r="C272">
        <v>93</v>
      </c>
      <c r="D272" t="s">
        <v>6</v>
      </c>
      <c r="E272" s="46">
        <v>45009</v>
      </c>
      <c r="F272">
        <v>72</v>
      </c>
      <c r="G272">
        <v>4.4000000000000004</v>
      </c>
      <c r="H272">
        <v>2023</v>
      </c>
      <c r="I272" t="s">
        <v>1095</v>
      </c>
      <c r="J272" t="s">
        <v>1099</v>
      </c>
      <c r="K272">
        <v>4</v>
      </c>
      <c r="L272">
        <v>3</v>
      </c>
      <c r="M272">
        <v>72</v>
      </c>
    </row>
    <row r="273" spans="1:13" x14ac:dyDescent="0.25">
      <c r="A273" t="s">
        <v>295</v>
      </c>
      <c r="B273" t="s">
        <v>16</v>
      </c>
      <c r="C273">
        <v>125</v>
      </c>
      <c r="D273" t="s">
        <v>10</v>
      </c>
      <c r="E273" s="46">
        <v>45010</v>
      </c>
      <c r="F273">
        <v>27</v>
      </c>
      <c r="G273">
        <v>3</v>
      </c>
      <c r="H273">
        <v>2023</v>
      </c>
      <c r="I273" t="s">
        <v>1096</v>
      </c>
      <c r="J273" t="s">
        <v>1103</v>
      </c>
      <c r="K273">
        <v>3</v>
      </c>
      <c r="L273">
        <v>4</v>
      </c>
      <c r="M273">
        <v>27</v>
      </c>
    </row>
    <row r="274" spans="1:13" x14ac:dyDescent="0.25">
      <c r="A274" t="s">
        <v>296</v>
      </c>
      <c r="B274" t="s">
        <v>5</v>
      </c>
      <c r="C274">
        <v>76</v>
      </c>
      <c r="D274" t="s">
        <v>9</v>
      </c>
      <c r="E274" s="46">
        <v>45010</v>
      </c>
      <c r="F274">
        <v>110</v>
      </c>
      <c r="G274">
        <v>4.4000000000000004</v>
      </c>
      <c r="H274">
        <v>2023</v>
      </c>
      <c r="I274" t="s">
        <v>1096</v>
      </c>
      <c r="J274" t="s">
        <v>1099</v>
      </c>
      <c r="K274">
        <v>4</v>
      </c>
      <c r="L274">
        <v>3</v>
      </c>
      <c r="M274">
        <v>110</v>
      </c>
    </row>
    <row r="275" spans="1:13" x14ac:dyDescent="0.25">
      <c r="A275" t="s">
        <v>297</v>
      </c>
      <c r="B275" t="s">
        <v>7</v>
      </c>
      <c r="C275">
        <v>69</v>
      </c>
      <c r="D275" t="s">
        <v>6</v>
      </c>
      <c r="E275" s="46">
        <v>45010</v>
      </c>
      <c r="F275">
        <v>126</v>
      </c>
      <c r="G275">
        <v>3.7</v>
      </c>
      <c r="H275">
        <v>2023</v>
      </c>
      <c r="I275" t="s">
        <v>1096</v>
      </c>
      <c r="J275" t="s">
        <v>1099</v>
      </c>
      <c r="K275">
        <v>4</v>
      </c>
      <c r="L275">
        <v>3</v>
      </c>
      <c r="M275">
        <v>126</v>
      </c>
    </row>
    <row r="276" spans="1:13" x14ac:dyDescent="0.25">
      <c r="A276" t="s">
        <v>298</v>
      </c>
      <c r="B276" t="s">
        <v>22</v>
      </c>
      <c r="C276">
        <v>149</v>
      </c>
      <c r="D276" t="s">
        <v>10</v>
      </c>
      <c r="E276" s="46">
        <v>45010</v>
      </c>
      <c r="F276">
        <v>60</v>
      </c>
      <c r="G276">
        <v>3.9</v>
      </c>
      <c r="H276">
        <v>2023</v>
      </c>
      <c r="I276" t="s">
        <v>1096</v>
      </c>
      <c r="J276" t="s">
        <v>1103</v>
      </c>
      <c r="K276">
        <v>4</v>
      </c>
      <c r="L276">
        <v>4</v>
      </c>
      <c r="M276">
        <v>60</v>
      </c>
    </row>
    <row r="277" spans="1:13" x14ac:dyDescent="0.25">
      <c r="A277" t="s">
        <v>299</v>
      </c>
      <c r="B277" t="s">
        <v>16</v>
      </c>
      <c r="C277">
        <v>57</v>
      </c>
      <c r="D277" t="s">
        <v>6</v>
      </c>
      <c r="E277" s="46">
        <v>45010</v>
      </c>
      <c r="F277">
        <v>35</v>
      </c>
      <c r="G277">
        <v>3.5</v>
      </c>
      <c r="H277">
        <v>2023</v>
      </c>
      <c r="I277" t="s">
        <v>1096</v>
      </c>
      <c r="J277" t="s">
        <v>1099</v>
      </c>
      <c r="K277">
        <v>4</v>
      </c>
      <c r="L277">
        <v>3</v>
      </c>
      <c r="M277">
        <v>35</v>
      </c>
    </row>
    <row r="278" spans="1:13" x14ac:dyDescent="0.25">
      <c r="A278" t="s">
        <v>300</v>
      </c>
      <c r="B278" t="s">
        <v>12</v>
      </c>
      <c r="C278">
        <v>113</v>
      </c>
      <c r="D278" t="s">
        <v>9</v>
      </c>
      <c r="E278" s="46">
        <v>45010</v>
      </c>
      <c r="F278">
        <v>81</v>
      </c>
      <c r="G278">
        <v>3.5</v>
      </c>
      <c r="H278">
        <v>2023</v>
      </c>
      <c r="I278" t="s">
        <v>1096</v>
      </c>
      <c r="J278" t="s">
        <v>1099</v>
      </c>
      <c r="K278">
        <v>4</v>
      </c>
      <c r="L278">
        <v>3</v>
      </c>
      <c r="M278">
        <v>81</v>
      </c>
    </row>
    <row r="279" spans="1:13" x14ac:dyDescent="0.25">
      <c r="A279" t="s">
        <v>301</v>
      </c>
      <c r="B279" t="s">
        <v>20</v>
      </c>
      <c r="C279">
        <v>160</v>
      </c>
      <c r="D279" t="s">
        <v>10</v>
      </c>
      <c r="E279" s="46">
        <v>45010</v>
      </c>
      <c r="F279">
        <v>116</v>
      </c>
      <c r="G279">
        <v>3.4</v>
      </c>
      <c r="H279">
        <v>2023</v>
      </c>
      <c r="I279" t="s">
        <v>1096</v>
      </c>
      <c r="J279" t="s">
        <v>1103</v>
      </c>
      <c r="K279">
        <v>3</v>
      </c>
      <c r="L279">
        <v>4</v>
      </c>
      <c r="M279">
        <v>116</v>
      </c>
    </row>
    <row r="280" spans="1:13" x14ac:dyDescent="0.25">
      <c r="A280" t="s">
        <v>302</v>
      </c>
      <c r="B280" t="s">
        <v>8</v>
      </c>
      <c r="C280">
        <v>158</v>
      </c>
      <c r="D280" t="s">
        <v>11</v>
      </c>
      <c r="E280" s="46">
        <v>45010</v>
      </c>
      <c r="F280">
        <v>60</v>
      </c>
      <c r="G280">
        <v>4.5</v>
      </c>
      <c r="H280">
        <v>2023</v>
      </c>
      <c r="I280" t="s">
        <v>1096</v>
      </c>
      <c r="J280" t="s">
        <v>1103</v>
      </c>
      <c r="K280">
        <v>5</v>
      </c>
      <c r="L280">
        <v>4</v>
      </c>
      <c r="M280">
        <v>60</v>
      </c>
    </row>
    <row r="281" spans="1:13" x14ac:dyDescent="0.25">
      <c r="A281" t="s">
        <v>303</v>
      </c>
      <c r="B281" t="s">
        <v>7</v>
      </c>
      <c r="C281">
        <v>77</v>
      </c>
      <c r="D281" t="s">
        <v>10</v>
      </c>
      <c r="E281" s="46">
        <v>45011</v>
      </c>
      <c r="F281">
        <v>130</v>
      </c>
      <c r="G281">
        <v>4.2</v>
      </c>
      <c r="H281">
        <v>2023</v>
      </c>
      <c r="I281" t="s">
        <v>1090</v>
      </c>
      <c r="J281" t="s">
        <v>1099</v>
      </c>
      <c r="K281">
        <v>4</v>
      </c>
      <c r="L281">
        <v>3</v>
      </c>
      <c r="M281">
        <v>130</v>
      </c>
    </row>
    <row r="282" spans="1:13" x14ac:dyDescent="0.25">
      <c r="A282" t="s">
        <v>304</v>
      </c>
      <c r="B282" t="s">
        <v>14</v>
      </c>
      <c r="C282">
        <v>118</v>
      </c>
      <c r="D282" t="s">
        <v>13</v>
      </c>
      <c r="E282" s="46">
        <v>45011</v>
      </c>
      <c r="F282">
        <v>99</v>
      </c>
      <c r="G282">
        <v>5</v>
      </c>
      <c r="H282">
        <v>2023</v>
      </c>
      <c r="I282" t="s">
        <v>1090</v>
      </c>
      <c r="J282" t="s">
        <v>1099</v>
      </c>
      <c r="K282">
        <v>5</v>
      </c>
      <c r="L282">
        <v>3</v>
      </c>
      <c r="M282">
        <v>99</v>
      </c>
    </row>
    <row r="283" spans="1:13" x14ac:dyDescent="0.25">
      <c r="A283" t="s">
        <v>305</v>
      </c>
      <c r="B283" t="s">
        <v>19</v>
      </c>
      <c r="C283">
        <v>75</v>
      </c>
      <c r="D283" t="s">
        <v>9</v>
      </c>
      <c r="E283" s="46">
        <v>45011</v>
      </c>
      <c r="F283">
        <v>135</v>
      </c>
      <c r="G283">
        <v>4.7</v>
      </c>
      <c r="H283">
        <v>2023</v>
      </c>
      <c r="I283" t="s">
        <v>1090</v>
      </c>
      <c r="J283" t="s">
        <v>1099</v>
      </c>
      <c r="K283">
        <v>5</v>
      </c>
      <c r="L283">
        <v>3</v>
      </c>
      <c r="M283">
        <v>135</v>
      </c>
    </row>
    <row r="284" spans="1:13" x14ac:dyDescent="0.25">
      <c r="A284" t="s">
        <v>306</v>
      </c>
      <c r="B284" t="s">
        <v>12</v>
      </c>
      <c r="C284">
        <v>103</v>
      </c>
      <c r="D284" t="s">
        <v>10</v>
      </c>
      <c r="E284" s="46">
        <v>45011</v>
      </c>
      <c r="F284">
        <v>42</v>
      </c>
      <c r="G284">
        <v>2.8</v>
      </c>
      <c r="H284">
        <v>2023</v>
      </c>
      <c r="I284" t="s">
        <v>1090</v>
      </c>
      <c r="J284" t="s">
        <v>1099</v>
      </c>
      <c r="K284">
        <v>3</v>
      </c>
      <c r="L284">
        <v>3</v>
      </c>
      <c r="M284">
        <v>42</v>
      </c>
    </row>
    <row r="285" spans="1:13" x14ac:dyDescent="0.25">
      <c r="A285" t="s">
        <v>307</v>
      </c>
      <c r="B285" t="s">
        <v>7</v>
      </c>
      <c r="C285">
        <v>116</v>
      </c>
      <c r="D285" t="s">
        <v>13</v>
      </c>
      <c r="E285" s="46">
        <v>45012</v>
      </c>
      <c r="F285">
        <v>63</v>
      </c>
      <c r="G285">
        <v>3.4</v>
      </c>
      <c r="H285">
        <v>2023</v>
      </c>
      <c r="I285" t="s">
        <v>1091</v>
      </c>
      <c r="J285" t="s">
        <v>1099</v>
      </c>
      <c r="K285">
        <v>3</v>
      </c>
      <c r="L285">
        <v>3</v>
      </c>
      <c r="M285">
        <v>63</v>
      </c>
    </row>
    <row r="286" spans="1:13" x14ac:dyDescent="0.25">
      <c r="A286" t="s">
        <v>308</v>
      </c>
      <c r="B286" t="s">
        <v>15</v>
      </c>
      <c r="C286">
        <v>61</v>
      </c>
      <c r="D286" t="s">
        <v>11</v>
      </c>
      <c r="E286" s="46">
        <v>45012</v>
      </c>
      <c r="F286">
        <v>140</v>
      </c>
      <c r="G286">
        <v>1.8</v>
      </c>
      <c r="H286">
        <v>2023</v>
      </c>
      <c r="I286" t="s">
        <v>1091</v>
      </c>
      <c r="J286" t="s">
        <v>1099</v>
      </c>
      <c r="K286">
        <v>2</v>
      </c>
      <c r="L286">
        <v>3</v>
      </c>
      <c r="M286">
        <v>140</v>
      </c>
    </row>
    <row r="287" spans="1:13" x14ac:dyDescent="0.25">
      <c r="A287" t="s">
        <v>309</v>
      </c>
      <c r="B287" t="s">
        <v>16</v>
      </c>
      <c r="C287">
        <v>126</v>
      </c>
      <c r="D287" t="s">
        <v>9</v>
      </c>
      <c r="E287" s="46">
        <v>45012</v>
      </c>
      <c r="F287">
        <v>128</v>
      </c>
      <c r="G287">
        <v>4.2</v>
      </c>
      <c r="H287">
        <v>2023</v>
      </c>
      <c r="I287" t="s">
        <v>1091</v>
      </c>
      <c r="J287" t="s">
        <v>1103</v>
      </c>
      <c r="K287">
        <v>4</v>
      </c>
      <c r="L287">
        <v>4</v>
      </c>
      <c r="M287">
        <v>128</v>
      </c>
    </row>
    <row r="288" spans="1:13" x14ac:dyDescent="0.25">
      <c r="A288" t="s">
        <v>310</v>
      </c>
      <c r="B288" t="s">
        <v>24</v>
      </c>
      <c r="C288">
        <v>141</v>
      </c>
      <c r="D288" t="s">
        <v>6</v>
      </c>
      <c r="E288" s="46">
        <v>45012</v>
      </c>
      <c r="F288">
        <v>80</v>
      </c>
      <c r="G288">
        <v>4.4000000000000004</v>
      </c>
      <c r="H288">
        <v>2023</v>
      </c>
      <c r="I288" t="s">
        <v>1091</v>
      </c>
      <c r="J288" t="s">
        <v>1103</v>
      </c>
      <c r="K288">
        <v>4</v>
      </c>
      <c r="L288">
        <v>4</v>
      </c>
      <c r="M288">
        <v>80</v>
      </c>
    </row>
    <row r="289" spans="1:13" x14ac:dyDescent="0.25">
      <c r="A289" t="s">
        <v>311</v>
      </c>
      <c r="B289" t="s">
        <v>8</v>
      </c>
      <c r="C289">
        <v>95</v>
      </c>
      <c r="D289" t="s">
        <v>13</v>
      </c>
      <c r="E289" s="46">
        <v>45012</v>
      </c>
      <c r="F289">
        <v>28</v>
      </c>
      <c r="G289">
        <v>2.7</v>
      </c>
      <c r="H289">
        <v>2023</v>
      </c>
      <c r="I289" t="s">
        <v>1091</v>
      </c>
      <c r="J289" t="s">
        <v>1099</v>
      </c>
      <c r="K289">
        <v>3</v>
      </c>
      <c r="L289">
        <v>3</v>
      </c>
      <c r="M289">
        <v>28</v>
      </c>
    </row>
    <row r="290" spans="1:13" x14ac:dyDescent="0.25">
      <c r="A290" t="s">
        <v>312</v>
      </c>
      <c r="B290" t="s">
        <v>19</v>
      </c>
      <c r="C290">
        <v>39</v>
      </c>
      <c r="D290" t="s">
        <v>11</v>
      </c>
      <c r="E290" s="46">
        <v>45013</v>
      </c>
      <c r="F290">
        <v>81</v>
      </c>
      <c r="G290">
        <v>5</v>
      </c>
      <c r="H290">
        <v>2023</v>
      </c>
      <c r="I290" t="s">
        <v>1092</v>
      </c>
      <c r="J290" t="s">
        <v>1099</v>
      </c>
      <c r="K290">
        <v>5</v>
      </c>
      <c r="L290">
        <v>3</v>
      </c>
      <c r="M290">
        <v>81</v>
      </c>
    </row>
    <row r="291" spans="1:13" x14ac:dyDescent="0.25">
      <c r="A291" t="s">
        <v>313</v>
      </c>
      <c r="B291" t="s">
        <v>12</v>
      </c>
      <c r="C291">
        <v>127</v>
      </c>
      <c r="D291" t="s">
        <v>9</v>
      </c>
      <c r="E291" s="46">
        <v>45013</v>
      </c>
      <c r="F291">
        <v>99</v>
      </c>
      <c r="G291">
        <v>3.9</v>
      </c>
      <c r="H291">
        <v>2023</v>
      </c>
      <c r="I291" t="s">
        <v>1092</v>
      </c>
      <c r="J291" t="s">
        <v>1103</v>
      </c>
      <c r="K291">
        <v>4</v>
      </c>
      <c r="L291">
        <v>4</v>
      </c>
      <c r="M291">
        <v>99</v>
      </c>
    </row>
    <row r="292" spans="1:13" x14ac:dyDescent="0.25">
      <c r="A292" t="s">
        <v>314</v>
      </c>
      <c r="B292" t="s">
        <v>15</v>
      </c>
      <c r="C292">
        <v>78</v>
      </c>
      <c r="D292" t="s">
        <v>9</v>
      </c>
      <c r="E292" s="46">
        <v>45013</v>
      </c>
      <c r="F292">
        <v>43</v>
      </c>
      <c r="G292">
        <v>3.8</v>
      </c>
      <c r="H292">
        <v>2023</v>
      </c>
      <c r="I292" t="s">
        <v>1092</v>
      </c>
      <c r="J292" t="s">
        <v>1099</v>
      </c>
      <c r="K292">
        <v>4</v>
      </c>
      <c r="L292">
        <v>3</v>
      </c>
      <c r="M292">
        <v>43</v>
      </c>
    </row>
    <row r="293" spans="1:13" x14ac:dyDescent="0.25">
      <c r="A293" t="s">
        <v>315</v>
      </c>
      <c r="B293" t="s">
        <v>14</v>
      </c>
      <c r="C293">
        <v>40</v>
      </c>
      <c r="D293" t="s">
        <v>9</v>
      </c>
      <c r="E293" s="46">
        <v>45013</v>
      </c>
      <c r="F293">
        <v>34</v>
      </c>
      <c r="G293">
        <v>4.5999999999999996</v>
      </c>
      <c r="H293">
        <v>2023</v>
      </c>
      <c r="I293" t="s">
        <v>1092</v>
      </c>
      <c r="J293" t="s">
        <v>1099</v>
      </c>
      <c r="K293">
        <v>5</v>
      </c>
      <c r="L293">
        <v>3</v>
      </c>
      <c r="M293">
        <v>34</v>
      </c>
    </row>
    <row r="294" spans="1:13" x14ac:dyDescent="0.25">
      <c r="A294" t="s">
        <v>316</v>
      </c>
      <c r="B294" t="s">
        <v>15</v>
      </c>
      <c r="C294">
        <v>56</v>
      </c>
      <c r="D294" t="s">
        <v>11</v>
      </c>
      <c r="E294" s="46">
        <v>45013</v>
      </c>
      <c r="F294">
        <v>225</v>
      </c>
      <c r="G294">
        <v>4.5999999999999996</v>
      </c>
      <c r="H294">
        <v>2023</v>
      </c>
      <c r="I294" t="s">
        <v>1092</v>
      </c>
      <c r="J294" t="s">
        <v>1099</v>
      </c>
      <c r="K294">
        <v>5</v>
      </c>
      <c r="L294">
        <v>3</v>
      </c>
      <c r="M294">
        <v>225</v>
      </c>
    </row>
    <row r="295" spans="1:13" x14ac:dyDescent="0.25">
      <c r="A295" t="s">
        <v>317</v>
      </c>
      <c r="B295" t="s">
        <v>19</v>
      </c>
      <c r="C295">
        <v>59</v>
      </c>
      <c r="D295" t="s">
        <v>6</v>
      </c>
      <c r="E295" s="46">
        <v>45013</v>
      </c>
      <c r="F295">
        <v>210</v>
      </c>
      <c r="G295">
        <v>4.5</v>
      </c>
      <c r="H295">
        <v>2023</v>
      </c>
      <c r="I295" t="s">
        <v>1092</v>
      </c>
      <c r="J295" t="s">
        <v>1099</v>
      </c>
      <c r="K295">
        <v>5</v>
      </c>
      <c r="L295">
        <v>3</v>
      </c>
      <c r="M295">
        <v>210</v>
      </c>
    </row>
    <row r="296" spans="1:13" x14ac:dyDescent="0.25">
      <c r="A296" t="s">
        <v>318</v>
      </c>
      <c r="B296" t="s">
        <v>16</v>
      </c>
      <c r="C296">
        <v>30</v>
      </c>
      <c r="D296" t="s">
        <v>9</v>
      </c>
      <c r="E296" s="46">
        <v>45013</v>
      </c>
      <c r="F296">
        <v>168</v>
      </c>
      <c r="G296">
        <v>4.2</v>
      </c>
      <c r="H296">
        <v>2023</v>
      </c>
      <c r="I296" t="s">
        <v>1092</v>
      </c>
      <c r="J296" t="s">
        <v>1100</v>
      </c>
      <c r="K296">
        <v>4</v>
      </c>
      <c r="L296">
        <v>2</v>
      </c>
      <c r="M296">
        <v>168</v>
      </c>
    </row>
    <row r="297" spans="1:13" x14ac:dyDescent="0.25">
      <c r="A297" t="s">
        <v>319</v>
      </c>
      <c r="B297" t="s">
        <v>14</v>
      </c>
      <c r="C297">
        <v>63</v>
      </c>
      <c r="D297" t="s">
        <v>10</v>
      </c>
      <c r="E297" s="46">
        <v>45014</v>
      </c>
      <c r="F297">
        <v>82</v>
      </c>
      <c r="G297">
        <v>4.5</v>
      </c>
      <c r="H297">
        <v>2023</v>
      </c>
      <c r="I297" t="s">
        <v>1093</v>
      </c>
      <c r="J297" t="s">
        <v>1099</v>
      </c>
      <c r="K297">
        <v>5</v>
      </c>
      <c r="L297">
        <v>3</v>
      </c>
      <c r="M297">
        <v>82</v>
      </c>
    </row>
    <row r="298" spans="1:13" x14ac:dyDescent="0.25">
      <c r="A298" t="s">
        <v>320</v>
      </c>
      <c r="B298" t="s">
        <v>23</v>
      </c>
      <c r="C298">
        <v>56</v>
      </c>
      <c r="D298" t="s">
        <v>13</v>
      </c>
      <c r="E298" s="46">
        <v>45014</v>
      </c>
      <c r="F298">
        <v>88</v>
      </c>
      <c r="G298">
        <v>4.0999999999999996</v>
      </c>
      <c r="H298">
        <v>2023</v>
      </c>
      <c r="I298" t="s">
        <v>1093</v>
      </c>
      <c r="J298" t="s">
        <v>1099</v>
      </c>
      <c r="K298">
        <v>4</v>
      </c>
      <c r="L298">
        <v>3</v>
      </c>
      <c r="M298">
        <v>88</v>
      </c>
    </row>
    <row r="299" spans="1:13" x14ac:dyDescent="0.25">
      <c r="A299" t="s">
        <v>321</v>
      </c>
      <c r="B299" t="s">
        <v>5</v>
      </c>
      <c r="C299">
        <v>95</v>
      </c>
      <c r="D299" t="s">
        <v>10</v>
      </c>
      <c r="E299" s="46">
        <v>45014</v>
      </c>
      <c r="F299">
        <v>111</v>
      </c>
      <c r="G299">
        <v>3.3</v>
      </c>
      <c r="H299">
        <v>2023</v>
      </c>
      <c r="I299" t="s">
        <v>1093</v>
      </c>
      <c r="J299" t="s">
        <v>1099</v>
      </c>
      <c r="K299">
        <v>3</v>
      </c>
      <c r="L299">
        <v>3</v>
      </c>
      <c r="M299">
        <v>111</v>
      </c>
    </row>
    <row r="300" spans="1:13" x14ac:dyDescent="0.25">
      <c r="A300" t="s">
        <v>322</v>
      </c>
      <c r="B300" t="s">
        <v>17</v>
      </c>
      <c r="C300">
        <v>128</v>
      </c>
      <c r="D300" t="s">
        <v>6</v>
      </c>
      <c r="E300" s="46">
        <v>45014</v>
      </c>
      <c r="F300">
        <v>60</v>
      </c>
      <c r="G300">
        <v>3.8</v>
      </c>
      <c r="H300">
        <v>2023</v>
      </c>
      <c r="I300" t="s">
        <v>1093</v>
      </c>
      <c r="J300" t="s">
        <v>1103</v>
      </c>
      <c r="K300">
        <v>4</v>
      </c>
      <c r="L300">
        <v>4</v>
      </c>
      <c r="M300">
        <v>60</v>
      </c>
    </row>
    <row r="301" spans="1:13" x14ac:dyDescent="0.25">
      <c r="A301" t="s">
        <v>323</v>
      </c>
      <c r="B301" t="s">
        <v>8</v>
      </c>
      <c r="C301">
        <v>49</v>
      </c>
      <c r="D301" t="s">
        <v>10</v>
      </c>
      <c r="E301" s="46">
        <v>45014</v>
      </c>
      <c r="F301">
        <v>80</v>
      </c>
      <c r="G301">
        <v>3</v>
      </c>
      <c r="H301">
        <v>2023</v>
      </c>
      <c r="I301" t="s">
        <v>1093</v>
      </c>
      <c r="J301" t="s">
        <v>1099</v>
      </c>
      <c r="K301">
        <v>3</v>
      </c>
      <c r="L301">
        <v>3</v>
      </c>
      <c r="M301">
        <v>80</v>
      </c>
    </row>
    <row r="302" spans="1:13" x14ac:dyDescent="0.25">
      <c r="A302" t="s">
        <v>324</v>
      </c>
      <c r="B302" t="s">
        <v>17</v>
      </c>
      <c r="C302">
        <v>89</v>
      </c>
      <c r="D302" t="s">
        <v>11</v>
      </c>
      <c r="E302" s="46">
        <v>45016</v>
      </c>
      <c r="F302">
        <v>90</v>
      </c>
      <c r="G302">
        <v>4.5999999999999996</v>
      </c>
      <c r="H302">
        <v>2023</v>
      </c>
      <c r="I302" t="s">
        <v>1095</v>
      </c>
      <c r="J302" t="s">
        <v>1099</v>
      </c>
      <c r="K302">
        <v>5</v>
      </c>
      <c r="L302">
        <v>3</v>
      </c>
      <c r="M302">
        <v>90</v>
      </c>
    </row>
    <row r="303" spans="1:13" x14ac:dyDescent="0.25">
      <c r="A303" t="s">
        <v>325</v>
      </c>
      <c r="B303" t="s">
        <v>22</v>
      </c>
      <c r="C303">
        <v>87</v>
      </c>
      <c r="D303" t="s">
        <v>10</v>
      </c>
      <c r="E303" s="46">
        <v>45016</v>
      </c>
      <c r="F303">
        <v>225</v>
      </c>
      <c r="G303">
        <v>2.9</v>
      </c>
      <c r="H303">
        <v>2023</v>
      </c>
      <c r="I303" t="s">
        <v>1095</v>
      </c>
      <c r="J303" t="s">
        <v>1099</v>
      </c>
      <c r="K303">
        <v>3</v>
      </c>
      <c r="L303">
        <v>3</v>
      </c>
      <c r="M303">
        <v>225</v>
      </c>
    </row>
    <row r="304" spans="1:13" x14ac:dyDescent="0.25">
      <c r="A304" t="s">
        <v>326</v>
      </c>
      <c r="B304" t="s">
        <v>20</v>
      </c>
      <c r="C304">
        <v>60</v>
      </c>
      <c r="D304" t="s">
        <v>9</v>
      </c>
      <c r="E304" s="46">
        <v>45017</v>
      </c>
      <c r="F304">
        <v>215</v>
      </c>
      <c r="G304">
        <v>3.2</v>
      </c>
      <c r="H304">
        <v>2023</v>
      </c>
      <c r="I304" t="s">
        <v>1096</v>
      </c>
      <c r="J304" t="s">
        <v>1099</v>
      </c>
      <c r="K304">
        <v>3</v>
      </c>
      <c r="L304">
        <v>3</v>
      </c>
      <c r="M304">
        <v>215</v>
      </c>
    </row>
    <row r="305" spans="1:13" x14ac:dyDescent="0.25">
      <c r="A305" t="s">
        <v>327</v>
      </c>
      <c r="B305" t="s">
        <v>21</v>
      </c>
      <c r="C305">
        <v>42</v>
      </c>
      <c r="D305" t="s">
        <v>11</v>
      </c>
      <c r="E305" s="46">
        <v>45017</v>
      </c>
      <c r="F305">
        <v>45</v>
      </c>
      <c r="G305">
        <v>1.5</v>
      </c>
      <c r="H305">
        <v>2023</v>
      </c>
      <c r="I305" t="s">
        <v>1096</v>
      </c>
      <c r="J305" t="s">
        <v>1099</v>
      </c>
      <c r="K305">
        <v>2</v>
      </c>
      <c r="L305">
        <v>3</v>
      </c>
      <c r="M305">
        <v>45</v>
      </c>
    </row>
    <row r="306" spans="1:13" x14ac:dyDescent="0.25">
      <c r="A306" t="s">
        <v>328</v>
      </c>
      <c r="B306" t="s">
        <v>18</v>
      </c>
      <c r="C306">
        <v>99</v>
      </c>
      <c r="D306" t="s">
        <v>9</v>
      </c>
      <c r="E306" s="46">
        <v>45017</v>
      </c>
      <c r="F306">
        <v>74</v>
      </c>
      <c r="G306">
        <v>4</v>
      </c>
      <c r="H306">
        <v>2023</v>
      </c>
      <c r="I306" t="s">
        <v>1096</v>
      </c>
      <c r="J306" t="s">
        <v>1099</v>
      </c>
      <c r="K306">
        <v>4</v>
      </c>
      <c r="L306">
        <v>3</v>
      </c>
      <c r="M306">
        <v>74</v>
      </c>
    </row>
    <row r="307" spans="1:13" x14ac:dyDescent="0.25">
      <c r="A307" t="s">
        <v>329</v>
      </c>
      <c r="B307" t="s">
        <v>23</v>
      </c>
      <c r="C307">
        <v>20</v>
      </c>
      <c r="D307" t="s">
        <v>11</v>
      </c>
      <c r="E307" s="46">
        <v>45017</v>
      </c>
      <c r="F307">
        <v>60</v>
      </c>
      <c r="G307">
        <v>3.6</v>
      </c>
      <c r="H307">
        <v>2023</v>
      </c>
      <c r="I307" t="s">
        <v>1096</v>
      </c>
      <c r="J307" t="s">
        <v>1100</v>
      </c>
      <c r="K307">
        <v>4</v>
      </c>
      <c r="L307">
        <v>2</v>
      </c>
      <c r="M307">
        <v>60</v>
      </c>
    </row>
    <row r="308" spans="1:13" x14ac:dyDescent="0.25">
      <c r="A308" t="s">
        <v>330</v>
      </c>
      <c r="B308" t="s">
        <v>14</v>
      </c>
      <c r="C308">
        <v>65</v>
      </c>
      <c r="D308" t="s">
        <v>9</v>
      </c>
      <c r="E308" s="46">
        <v>45017</v>
      </c>
      <c r="F308">
        <v>64</v>
      </c>
      <c r="G308">
        <v>3.7</v>
      </c>
      <c r="H308">
        <v>2023</v>
      </c>
      <c r="I308" t="s">
        <v>1096</v>
      </c>
      <c r="J308" t="s">
        <v>1099</v>
      </c>
      <c r="K308">
        <v>4</v>
      </c>
      <c r="L308">
        <v>3</v>
      </c>
      <c r="M308">
        <v>64</v>
      </c>
    </row>
    <row r="309" spans="1:13" x14ac:dyDescent="0.25">
      <c r="A309" t="s">
        <v>331</v>
      </c>
      <c r="B309" t="s">
        <v>16</v>
      </c>
      <c r="C309">
        <v>71</v>
      </c>
      <c r="D309" t="s">
        <v>10</v>
      </c>
      <c r="E309" s="46">
        <v>45018</v>
      </c>
      <c r="F309">
        <v>110</v>
      </c>
      <c r="G309">
        <v>4.8</v>
      </c>
      <c r="H309">
        <v>2023</v>
      </c>
      <c r="I309" t="s">
        <v>1090</v>
      </c>
      <c r="J309" t="s">
        <v>1099</v>
      </c>
      <c r="K309">
        <v>5</v>
      </c>
      <c r="L309">
        <v>3</v>
      </c>
      <c r="M309">
        <v>110</v>
      </c>
    </row>
    <row r="310" spans="1:13" x14ac:dyDescent="0.25">
      <c r="A310" t="s">
        <v>332</v>
      </c>
      <c r="B310" t="s">
        <v>12</v>
      </c>
      <c r="C310">
        <v>95</v>
      </c>
      <c r="D310" t="s">
        <v>6</v>
      </c>
      <c r="E310" s="46">
        <v>45018</v>
      </c>
      <c r="F310">
        <v>52</v>
      </c>
      <c r="G310">
        <v>1.2</v>
      </c>
      <c r="H310">
        <v>2023</v>
      </c>
      <c r="I310" t="s">
        <v>1090</v>
      </c>
      <c r="J310" t="s">
        <v>1099</v>
      </c>
      <c r="K310">
        <v>1</v>
      </c>
      <c r="L310">
        <v>3</v>
      </c>
      <c r="M310">
        <v>52</v>
      </c>
    </row>
    <row r="311" spans="1:13" x14ac:dyDescent="0.25">
      <c r="A311" t="s">
        <v>333</v>
      </c>
      <c r="B311" t="s">
        <v>23</v>
      </c>
      <c r="C311">
        <v>81</v>
      </c>
      <c r="D311" t="s">
        <v>13</v>
      </c>
      <c r="E311" s="46">
        <v>45019</v>
      </c>
      <c r="F311">
        <v>160</v>
      </c>
      <c r="G311">
        <v>4.7</v>
      </c>
      <c r="H311">
        <v>2023</v>
      </c>
      <c r="I311" t="s">
        <v>1091</v>
      </c>
      <c r="J311" t="s">
        <v>1099</v>
      </c>
      <c r="K311">
        <v>5</v>
      </c>
      <c r="L311">
        <v>3</v>
      </c>
      <c r="M311">
        <v>160</v>
      </c>
    </row>
    <row r="312" spans="1:13" x14ac:dyDescent="0.25">
      <c r="A312" t="s">
        <v>334</v>
      </c>
      <c r="B312" t="s">
        <v>7</v>
      </c>
      <c r="C312">
        <v>137</v>
      </c>
      <c r="D312" t="s">
        <v>13</v>
      </c>
      <c r="E312" s="46">
        <v>45019</v>
      </c>
      <c r="F312">
        <v>215</v>
      </c>
      <c r="G312">
        <v>4.7</v>
      </c>
      <c r="H312">
        <v>2023</v>
      </c>
      <c r="I312" t="s">
        <v>1091</v>
      </c>
      <c r="J312" t="s">
        <v>1103</v>
      </c>
      <c r="K312">
        <v>5</v>
      </c>
      <c r="L312">
        <v>4</v>
      </c>
      <c r="M312">
        <v>215</v>
      </c>
    </row>
    <row r="313" spans="1:13" x14ac:dyDescent="0.25">
      <c r="A313" t="s">
        <v>335</v>
      </c>
      <c r="B313" t="s">
        <v>7</v>
      </c>
      <c r="C313">
        <v>40</v>
      </c>
      <c r="D313" t="s">
        <v>6</v>
      </c>
      <c r="E313" s="46">
        <v>45019</v>
      </c>
      <c r="F313">
        <v>220</v>
      </c>
      <c r="G313">
        <v>4.5</v>
      </c>
      <c r="H313">
        <v>2023</v>
      </c>
      <c r="I313" t="s">
        <v>1091</v>
      </c>
      <c r="J313" t="s">
        <v>1099</v>
      </c>
      <c r="K313">
        <v>5</v>
      </c>
      <c r="L313">
        <v>3</v>
      </c>
      <c r="M313">
        <v>220</v>
      </c>
    </row>
    <row r="314" spans="1:13" x14ac:dyDescent="0.25">
      <c r="A314" t="s">
        <v>336</v>
      </c>
      <c r="B314" t="s">
        <v>18</v>
      </c>
      <c r="C314">
        <v>111</v>
      </c>
      <c r="D314" t="s">
        <v>9</v>
      </c>
      <c r="E314" s="46">
        <v>45020</v>
      </c>
      <c r="F314">
        <v>175</v>
      </c>
      <c r="G314">
        <v>3.5</v>
      </c>
      <c r="H314">
        <v>2023</v>
      </c>
      <c r="I314" t="s">
        <v>1092</v>
      </c>
      <c r="J314" t="s">
        <v>1099</v>
      </c>
      <c r="K314">
        <v>4</v>
      </c>
      <c r="L314">
        <v>3</v>
      </c>
      <c r="M314">
        <v>175</v>
      </c>
    </row>
    <row r="315" spans="1:13" x14ac:dyDescent="0.25">
      <c r="A315" t="s">
        <v>337</v>
      </c>
      <c r="B315" t="s">
        <v>16</v>
      </c>
      <c r="C315">
        <v>106</v>
      </c>
      <c r="D315" t="s">
        <v>9</v>
      </c>
      <c r="E315" s="46">
        <v>45020</v>
      </c>
      <c r="F315">
        <v>145</v>
      </c>
      <c r="G315">
        <v>4.0999999999999996</v>
      </c>
      <c r="H315">
        <v>2023</v>
      </c>
      <c r="I315" t="s">
        <v>1092</v>
      </c>
      <c r="J315" t="s">
        <v>1099</v>
      </c>
      <c r="K315">
        <v>4</v>
      </c>
      <c r="L315">
        <v>3</v>
      </c>
      <c r="M315">
        <v>145</v>
      </c>
    </row>
    <row r="316" spans="1:13" x14ac:dyDescent="0.25">
      <c r="A316" t="s">
        <v>338</v>
      </c>
      <c r="B316" t="s">
        <v>21</v>
      </c>
      <c r="C316">
        <v>133</v>
      </c>
      <c r="D316" t="s">
        <v>11</v>
      </c>
      <c r="E316" s="46">
        <v>45020</v>
      </c>
      <c r="F316">
        <v>72</v>
      </c>
      <c r="G316">
        <v>4.4000000000000004</v>
      </c>
      <c r="H316">
        <v>2023</v>
      </c>
      <c r="I316" t="s">
        <v>1092</v>
      </c>
      <c r="J316" t="s">
        <v>1103</v>
      </c>
      <c r="K316">
        <v>4</v>
      </c>
      <c r="L316">
        <v>4</v>
      </c>
      <c r="M316">
        <v>72</v>
      </c>
    </row>
    <row r="317" spans="1:13" x14ac:dyDescent="0.25">
      <c r="A317" t="s">
        <v>339</v>
      </c>
      <c r="B317" t="s">
        <v>15</v>
      </c>
      <c r="C317">
        <v>38</v>
      </c>
      <c r="D317" t="s">
        <v>9</v>
      </c>
      <c r="E317" s="46">
        <v>45021</v>
      </c>
      <c r="F317">
        <v>81</v>
      </c>
      <c r="G317">
        <v>3.6</v>
      </c>
      <c r="H317">
        <v>2023</v>
      </c>
      <c r="I317" t="s">
        <v>1093</v>
      </c>
      <c r="J317" t="s">
        <v>1099</v>
      </c>
      <c r="K317">
        <v>4</v>
      </c>
      <c r="L317">
        <v>3</v>
      </c>
      <c r="M317">
        <v>81</v>
      </c>
    </row>
    <row r="318" spans="1:13" x14ac:dyDescent="0.25">
      <c r="A318" t="s">
        <v>340</v>
      </c>
      <c r="B318" t="s">
        <v>19</v>
      </c>
      <c r="C318">
        <v>130</v>
      </c>
      <c r="D318" t="s">
        <v>6</v>
      </c>
      <c r="E318" s="46">
        <v>45021</v>
      </c>
      <c r="F318">
        <v>54</v>
      </c>
      <c r="G318">
        <v>4.0999999999999996</v>
      </c>
      <c r="H318">
        <v>2023</v>
      </c>
      <c r="I318" t="s">
        <v>1093</v>
      </c>
      <c r="J318" t="s">
        <v>1103</v>
      </c>
      <c r="K318">
        <v>4</v>
      </c>
      <c r="L318">
        <v>4</v>
      </c>
      <c r="M318">
        <v>54</v>
      </c>
    </row>
    <row r="319" spans="1:13" x14ac:dyDescent="0.25">
      <c r="A319" t="s">
        <v>341</v>
      </c>
      <c r="B319" t="s">
        <v>14</v>
      </c>
      <c r="C319">
        <v>23</v>
      </c>
      <c r="D319" t="s">
        <v>11</v>
      </c>
      <c r="E319" s="46">
        <v>45021</v>
      </c>
      <c r="F319">
        <v>105</v>
      </c>
      <c r="G319">
        <v>4.8</v>
      </c>
      <c r="H319">
        <v>2023</v>
      </c>
      <c r="I319" t="s">
        <v>1093</v>
      </c>
      <c r="J319" t="s">
        <v>1100</v>
      </c>
      <c r="K319">
        <v>5</v>
      </c>
      <c r="L319">
        <v>2</v>
      </c>
      <c r="M319">
        <v>105</v>
      </c>
    </row>
    <row r="320" spans="1:13" x14ac:dyDescent="0.25">
      <c r="A320" t="s">
        <v>342</v>
      </c>
      <c r="B320" t="s">
        <v>19</v>
      </c>
      <c r="C320">
        <v>124</v>
      </c>
      <c r="D320" t="s">
        <v>9</v>
      </c>
      <c r="E320" s="46">
        <v>45022</v>
      </c>
      <c r="F320">
        <v>176</v>
      </c>
      <c r="G320">
        <v>3.9</v>
      </c>
      <c r="H320">
        <v>2023</v>
      </c>
      <c r="I320" t="s">
        <v>1094</v>
      </c>
      <c r="J320" t="s">
        <v>1103</v>
      </c>
      <c r="K320">
        <v>4</v>
      </c>
      <c r="L320">
        <v>4</v>
      </c>
      <c r="M320">
        <v>176</v>
      </c>
    </row>
    <row r="321" spans="1:13" x14ac:dyDescent="0.25">
      <c r="A321" t="s">
        <v>343</v>
      </c>
      <c r="B321" t="s">
        <v>23</v>
      </c>
      <c r="C321">
        <v>107</v>
      </c>
      <c r="D321" t="s">
        <v>9</v>
      </c>
      <c r="E321" s="46">
        <v>45022</v>
      </c>
      <c r="F321">
        <v>115</v>
      </c>
      <c r="G321">
        <v>3.8</v>
      </c>
      <c r="H321">
        <v>2023</v>
      </c>
      <c r="I321" t="s">
        <v>1094</v>
      </c>
      <c r="J321" t="s">
        <v>1099</v>
      </c>
      <c r="K321">
        <v>4</v>
      </c>
      <c r="L321">
        <v>3</v>
      </c>
      <c r="M321">
        <v>115</v>
      </c>
    </row>
    <row r="322" spans="1:13" x14ac:dyDescent="0.25">
      <c r="A322" t="s">
        <v>344</v>
      </c>
      <c r="B322" t="s">
        <v>7</v>
      </c>
      <c r="C322">
        <v>60</v>
      </c>
      <c r="D322" t="s">
        <v>10</v>
      </c>
      <c r="E322" s="46">
        <v>45022</v>
      </c>
      <c r="F322">
        <v>116</v>
      </c>
      <c r="G322">
        <v>3.9</v>
      </c>
      <c r="H322">
        <v>2023</v>
      </c>
      <c r="I322" t="s">
        <v>1094</v>
      </c>
      <c r="J322" t="s">
        <v>1099</v>
      </c>
      <c r="K322">
        <v>4</v>
      </c>
      <c r="L322">
        <v>3</v>
      </c>
      <c r="M322">
        <v>116</v>
      </c>
    </row>
    <row r="323" spans="1:13" x14ac:dyDescent="0.25">
      <c r="A323" t="s">
        <v>345</v>
      </c>
      <c r="B323" t="s">
        <v>7</v>
      </c>
      <c r="C323">
        <v>158</v>
      </c>
      <c r="D323" t="s">
        <v>6</v>
      </c>
      <c r="E323" s="46">
        <v>45022</v>
      </c>
      <c r="F323">
        <v>100</v>
      </c>
      <c r="G323">
        <v>4.0999999999999996</v>
      </c>
      <c r="H323">
        <v>2023</v>
      </c>
      <c r="I323" t="s">
        <v>1094</v>
      </c>
      <c r="J323" t="s">
        <v>1103</v>
      </c>
      <c r="K323">
        <v>4</v>
      </c>
      <c r="L323">
        <v>4</v>
      </c>
      <c r="M323">
        <v>100</v>
      </c>
    </row>
    <row r="324" spans="1:13" x14ac:dyDescent="0.25">
      <c r="A324" t="s">
        <v>346</v>
      </c>
      <c r="B324" t="s">
        <v>22</v>
      </c>
      <c r="C324">
        <v>110</v>
      </c>
      <c r="D324" t="s">
        <v>6</v>
      </c>
      <c r="E324" s="46">
        <v>45023</v>
      </c>
      <c r="F324">
        <v>36</v>
      </c>
      <c r="G324">
        <v>2.2000000000000002</v>
      </c>
      <c r="H324">
        <v>2023</v>
      </c>
      <c r="I324" t="s">
        <v>1095</v>
      </c>
      <c r="J324" t="s">
        <v>1099</v>
      </c>
      <c r="K324">
        <v>2</v>
      </c>
      <c r="L324">
        <v>3</v>
      </c>
      <c r="M324">
        <v>36</v>
      </c>
    </row>
    <row r="325" spans="1:13" x14ac:dyDescent="0.25">
      <c r="A325" t="s">
        <v>347</v>
      </c>
      <c r="B325" t="s">
        <v>17</v>
      </c>
      <c r="C325">
        <v>70</v>
      </c>
      <c r="D325" t="s">
        <v>6</v>
      </c>
      <c r="E325" s="46">
        <v>45023</v>
      </c>
      <c r="F325">
        <v>114</v>
      </c>
      <c r="G325">
        <v>5</v>
      </c>
      <c r="H325">
        <v>2023</v>
      </c>
      <c r="I325" t="s">
        <v>1095</v>
      </c>
      <c r="J325" t="s">
        <v>1099</v>
      </c>
      <c r="K325">
        <v>5</v>
      </c>
      <c r="L325">
        <v>3</v>
      </c>
      <c r="M325">
        <v>114</v>
      </c>
    </row>
    <row r="326" spans="1:13" x14ac:dyDescent="0.25">
      <c r="A326" t="s">
        <v>348</v>
      </c>
      <c r="B326" t="s">
        <v>17</v>
      </c>
      <c r="C326">
        <v>150</v>
      </c>
      <c r="D326" t="s">
        <v>10</v>
      </c>
      <c r="E326" s="46">
        <v>45023</v>
      </c>
      <c r="F326">
        <v>24</v>
      </c>
      <c r="G326">
        <v>3.8</v>
      </c>
      <c r="H326">
        <v>2023</v>
      </c>
      <c r="I326" t="s">
        <v>1095</v>
      </c>
      <c r="J326" t="s">
        <v>1103</v>
      </c>
      <c r="K326">
        <v>4</v>
      </c>
      <c r="L326">
        <v>4</v>
      </c>
      <c r="M326">
        <v>24</v>
      </c>
    </row>
    <row r="327" spans="1:13" x14ac:dyDescent="0.25">
      <c r="A327" t="s">
        <v>349</v>
      </c>
      <c r="B327" t="s">
        <v>15</v>
      </c>
      <c r="C327">
        <v>36</v>
      </c>
      <c r="D327" t="s">
        <v>9</v>
      </c>
      <c r="E327" s="46">
        <v>45023</v>
      </c>
      <c r="F327">
        <v>135</v>
      </c>
      <c r="G327">
        <v>4.5999999999999996</v>
      </c>
      <c r="H327">
        <v>2023</v>
      </c>
      <c r="I327" t="s">
        <v>1095</v>
      </c>
      <c r="J327" t="s">
        <v>1099</v>
      </c>
      <c r="K327">
        <v>5</v>
      </c>
      <c r="L327">
        <v>3</v>
      </c>
      <c r="M327">
        <v>135</v>
      </c>
    </row>
    <row r="328" spans="1:13" x14ac:dyDescent="0.25">
      <c r="A328" t="s">
        <v>350</v>
      </c>
      <c r="B328" t="s">
        <v>19</v>
      </c>
      <c r="C328">
        <v>74</v>
      </c>
      <c r="D328" t="s">
        <v>9</v>
      </c>
      <c r="E328" s="46">
        <v>45023</v>
      </c>
      <c r="F328">
        <v>30</v>
      </c>
      <c r="G328">
        <v>4</v>
      </c>
      <c r="H328">
        <v>2023</v>
      </c>
      <c r="I328" t="s">
        <v>1095</v>
      </c>
      <c r="J328" t="s">
        <v>1099</v>
      </c>
      <c r="K328">
        <v>4</v>
      </c>
      <c r="L328">
        <v>3</v>
      </c>
      <c r="M328">
        <v>30</v>
      </c>
    </row>
    <row r="329" spans="1:13" x14ac:dyDescent="0.25">
      <c r="A329" t="s">
        <v>351</v>
      </c>
      <c r="B329" t="s">
        <v>12</v>
      </c>
      <c r="C329">
        <v>75</v>
      </c>
      <c r="D329" t="s">
        <v>9</v>
      </c>
      <c r="E329" s="46">
        <v>45023</v>
      </c>
      <c r="F329">
        <v>84</v>
      </c>
      <c r="G329">
        <v>2.8</v>
      </c>
      <c r="H329">
        <v>2023</v>
      </c>
      <c r="I329" t="s">
        <v>1095</v>
      </c>
      <c r="J329" t="s">
        <v>1099</v>
      </c>
      <c r="K329">
        <v>3</v>
      </c>
      <c r="L329">
        <v>3</v>
      </c>
      <c r="M329">
        <v>84</v>
      </c>
    </row>
    <row r="330" spans="1:13" x14ac:dyDescent="0.25">
      <c r="A330" t="s">
        <v>352</v>
      </c>
      <c r="B330" t="s">
        <v>5</v>
      </c>
      <c r="C330">
        <v>70</v>
      </c>
      <c r="D330" t="s">
        <v>13</v>
      </c>
      <c r="E330" s="46">
        <v>45023</v>
      </c>
      <c r="F330">
        <v>42</v>
      </c>
      <c r="G330">
        <v>4.4000000000000004</v>
      </c>
      <c r="H330">
        <v>2023</v>
      </c>
      <c r="I330" t="s">
        <v>1095</v>
      </c>
      <c r="J330" t="s">
        <v>1099</v>
      </c>
      <c r="K330">
        <v>4</v>
      </c>
      <c r="L330">
        <v>3</v>
      </c>
      <c r="M330">
        <v>42</v>
      </c>
    </row>
    <row r="331" spans="1:13" x14ac:dyDescent="0.25">
      <c r="A331" t="s">
        <v>353</v>
      </c>
      <c r="B331" t="s">
        <v>22</v>
      </c>
      <c r="C331">
        <v>23</v>
      </c>
      <c r="D331" t="s">
        <v>6</v>
      </c>
      <c r="E331" s="46">
        <v>45023</v>
      </c>
      <c r="F331">
        <v>117</v>
      </c>
      <c r="G331">
        <v>2.4</v>
      </c>
      <c r="H331">
        <v>2023</v>
      </c>
      <c r="I331" t="s">
        <v>1095</v>
      </c>
      <c r="J331" t="s">
        <v>1100</v>
      </c>
      <c r="K331">
        <v>2</v>
      </c>
      <c r="L331">
        <v>2</v>
      </c>
      <c r="M331">
        <v>117</v>
      </c>
    </row>
    <row r="332" spans="1:13" x14ac:dyDescent="0.25">
      <c r="A332" t="s">
        <v>354</v>
      </c>
      <c r="B332" t="s">
        <v>18</v>
      </c>
      <c r="C332">
        <v>104</v>
      </c>
      <c r="D332" t="s">
        <v>11</v>
      </c>
      <c r="E332" s="46">
        <v>45023</v>
      </c>
      <c r="F332">
        <v>164</v>
      </c>
      <c r="G332">
        <v>4</v>
      </c>
      <c r="H332">
        <v>2023</v>
      </c>
      <c r="I332" t="s">
        <v>1095</v>
      </c>
      <c r="J332" t="s">
        <v>1099</v>
      </c>
      <c r="K332">
        <v>4</v>
      </c>
      <c r="L332">
        <v>3</v>
      </c>
      <c r="M332">
        <v>164</v>
      </c>
    </row>
    <row r="333" spans="1:13" x14ac:dyDescent="0.25">
      <c r="A333" t="s">
        <v>355</v>
      </c>
      <c r="B333" t="s">
        <v>17</v>
      </c>
      <c r="C333">
        <v>95</v>
      </c>
      <c r="D333" t="s">
        <v>13</v>
      </c>
      <c r="E333" s="46">
        <v>45024</v>
      </c>
      <c r="F333">
        <v>123</v>
      </c>
      <c r="G333">
        <v>4.4000000000000004</v>
      </c>
      <c r="H333">
        <v>2023</v>
      </c>
      <c r="I333" t="s">
        <v>1096</v>
      </c>
      <c r="J333" t="s">
        <v>1099</v>
      </c>
      <c r="K333">
        <v>4</v>
      </c>
      <c r="L333">
        <v>3</v>
      </c>
      <c r="M333">
        <v>123</v>
      </c>
    </row>
    <row r="334" spans="1:13" x14ac:dyDescent="0.25">
      <c r="A334" t="s">
        <v>356</v>
      </c>
      <c r="B334" t="s">
        <v>8</v>
      </c>
      <c r="C334">
        <v>49</v>
      </c>
      <c r="D334" t="s">
        <v>10</v>
      </c>
      <c r="E334" s="46">
        <v>45024</v>
      </c>
      <c r="F334">
        <v>172</v>
      </c>
      <c r="G334">
        <v>2.9</v>
      </c>
      <c r="H334">
        <v>2023</v>
      </c>
      <c r="I334" t="s">
        <v>1096</v>
      </c>
      <c r="J334" t="s">
        <v>1099</v>
      </c>
      <c r="K334">
        <v>3</v>
      </c>
      <c r="L334">
        <v>3</v>
      </c>
      <c r="M334">
        <v>172</v>
      </c>
    </row>
    <row r="335" spans="1:13" x14ac:dyDescent="0.25">
      <c r="A335" t="s">
        <v>357</v>
      </c>
      <c r="B335" t="s">
        <v>16</v>
      </c>
      <c r="C335">
        <v>8</v>
      </c>
      <c r="D335" t="s">
        <v>6</v>
      </c>
      <c r="E335" s="46">
        <v>45024</v>
      </c>
      <c r="F335">
        <v>20</v>
      </c>
      <c r="G335">
        <v>4.8</v>
      </c>
      <c r="H335">
        <v>2023</v>
      </c>
      <c r="I335" t="s">
        <v>1096</v>
      </c>
      <c r="J335" t="s">
        <v>1101</v>
      </c>
      <c r="K335">
        <v>5</v>
      </c>
      <c r="L335">
        <v>1</v>
      </c>
      <c r="M335">
        <v>20</v>
      </c>
    </row>
    <row r="336" spans="1:13" x14ac:dyDescent="0.25">
      <c r="A336" t="s">
        <v>358</v>
      </c>
      <c r="B336" t="s">
        <v>17</v>
      </c>
      <c r="C336">
        <v>157</v>
      </c>
      <c r="D336" t="s">
        <v>10</v>
      </c>
      <c r="E336" s="46">
        <v>45024</v>
      </c>
      <c r="F336">
        <v>72</v>
      </c>
      <c r="G336">
        <v>3.7</v>
      </c>
      <c r="H336">
        <v>2023</v>
      </c>
      <c r="I336" t="s">
        <v>1096</v>
      </c>
      <c r="J336" t="s">
        <v>1103</v>
      </c>
      <c r="K336">
        <v>4</v>
      </c>
      <c r="L336">
        <v>4</v>
      </c>
      <c r="M336">
        <v>72</v>
      </c>
    </row>
    <row r="337" spans="1:13" x14ac:dyDescent="0.25">
      <c r="A337" t="s">
        <v>359</v>
      </c>
      <c r="B337" t="s">
        <v>23</v>
      </c>
      <c r="C337">
        <v>74</v>
      </c>
      <c r="D337" t="s">
        <v>9</v>
      </c>
      <c r="E337" s="46">
        <v>45024</v>
      </c>
      <c r="F337">
        <v>32</v>
      </c>
      <c r="G337">
        <v>4.8</v>
      </c>
      <c r="H337">
        <v>2023</v>
      </c>
      <c r="I337" t="s">
        <v>1096</v>
      </c>
      <c r="J337" t="s">
        <v>1099</v>
      </c>
      <c r="K337">
        <v>5</v>
      </c>
      <c r="L337">
        <v>3</v>
      </c>
      <c r="M337">
        <v>32</v>
      </c>
    </row>
    <row r="338" spans="1:13" x14ac:dyDescent="0.25">
      <c r="A338" t="s">
        <v>360</v>
      </c>
      <c r="B338" t="s">
        <v>22</v>
      </c>
      <c r="C338">
        <v>72</v>
      </c>
      <c r="D338" t="s">
        <v>13</v>
      </c>
      <c r="E338" s="46">
        <v>45024</v>
      </c>
      <c r="F338">
        <v>140</v>
      </c>
      <c r="G338">
        <v>3.2</v>
      </c>
      <c r="H338">
        <v>2023</v>
      </c>
      <c r="I338" t="s">
        <v>1096</v>
      </c>
      <c r="J338" t="s">
        <v>1099</v>
      </c>
      <c r="K338">
        <v>3</v>
      </c>
      <c r="L338">
        <v>3</v>
      </c>
      <c r="M338">
        <v>140</v>
      </c>
    </row>
    <row r="339" spans="1:13" x14ac:dyDescent="0.25">
      <c r="A339" t="s">
        <v>361</v>
      </c>
      <c r="B339" t="s">
        <v>23</v>
      </c>
      <c r="C339">
        <v>79</v>
      </c>
      <c r="D339" t="s">
        <v>9</v>
      </c>
      <c r="E339" s="46">
        <v>45025</v>
      </c>
      <c r="F339">
        <v>120</v>
      </c>
      <c r="G339">
        <v>4.9000000000000004</v>
      </c>
      <c r="H339">
        <v>2023</v>
      </c>
      <c r="I339" t="s">
        <v>1090</v>
      </c>
      <c r="J339" t="s">
        <v>1099</v>
      </c>
      <c r="K339">
        <v>5</v>
      </c>
      <c r="L339">
        <v>3</v>
      </c>
      <c r="M339">
        <v>120</v>
      </c>
    </row>
    <row r="340" spans="1:13" x14ac:dyDescent="0.25">
      <c r="A340" t="s">
        <v>362</v>
      </c>
      <c r="B340" t="s">
        <v>19</v>
      </c>
      <c r="C340">
        <v>23</v>
      </c>
      <c r="D340" t="s">
        <v>9</v>
      </c>
      <c r="E340" s="46">
        <v>45025</v>
      </c>
      <c r="F340">
        <v>86</v>
      </c>
      <c r="G340">
        <v>2.2000000000000002</v>
      </c>
      <c r="H340">
        <v>2023</v>
      </c>
      <c r="I340" t="s">
        <v>1090</v>
      </c>
      <c r="J340" t="s">
        <v>1100</v>
      </c>
      <c r="K340">
        <v>2</v>
      </c>
      <c r="L340">
        <v>2</v>
      </c>
      <c r="M340">
        <v>86</v>
      </c>
    </row>
    <row r="341" spans="1:13" x14ac:dyDescent="0.25">
      <c r="A341" t="s">
        <v>363</v>
      </c>
      <c r="B341" t="s">
        <v>12</v>
      </c>
      <c r="C341">
        <v>69</v>
      </c>
      <c r="D341" t="s">
        <v>9</v>
      </c>
      <c r="E341" s="46">
        <v>45025</v>
      </c>
      <c r="F341">
        <v>132</v>
      </c>
      <c r="G341">
        <v>5</v>
      </c>
      <c r="H341">
        <v>2023</v>
      </c>
      <c r="I341" t="s">
        <v>1090</v>
      </c>
      <c r="J341" t="s">
        <v>1099</v>
      </c>
      <c r="K341">
        <v>5</v>
      </c>
      <c r="L341">
        <v>3</v>
      </c>
      <c r="M341">
        <v>132</v>
      </c>
    </row>
    <row r="342" spans="1:13" x14ac:dyDescent="0.25">
      <c r="A342" t="s">
        <v>364</v>
      </c>
      <c r="B342" t="s">
        <v>7</v>
      </c>
      <c r="C342">
        <v>64</v>
      </c>
      <c r="D342" t="s">
        <v>9</v>
      </c>
      <c r="E342" s="46">
        <v>45025</v>
      </c>
      <c r="F342">
        <v>80</v>
      </c>
      <c r="G342">
        <v>3.3</v>
      </c>
      <c r="H342">
        <v>2023</v>
      </c>
      <c r="I342" t="s">
        <v>1090</v>
      </c>
      <c r="J342" t="s">
        <v>1099</v>
      </c>
      <c r="K342">
        <v>3</v>
      </c>
      <c r="L342">
        <v>3</v>
      </c>
      <c r="M342">
        <v>80</v>
      </c>
    </row>
    <row r="343" spans="1:13" x14ac:dyDescent="0.25">
      <c r="A343" t="s">
        <v>365</v>
      </c>
      <c r="B343" t="s">
        <v>24</v>
      </c>
      <c r="C343">
        <v>47</v>
      </c>
      <c r="D343" t="s">
        <v>10</v>
      </c>
      <c r="E343" s="46">
        <v>45025</v>
      </c>
      <c r="F343">
        <v>132</v>
      </c>
      <c r="G343">
        <v>3.7</v>
      </c>
      <c r="H343">
        <v>2023</v>
      </c>
      <c r="I343" t="s">
        <v>1090</v>
      </c>
      <c r="J343" t="s">
        <v>1099</v>
      </c>
      <c r="K343">
        <v>4</v>
      </c>
      <c r="L343">
        <v>3</v>
      </c>
      <c r="M343">
        <v>132</v>
      </c>
    </row>
    <row r="344" spans="1:13" x14ac:dyDescent="0.25">
      <c r="A344" t="s">
        <v>366</v>
      </c>
      <c r="B344" t="s">
        <v>23</v>
      </c>
      <c r="C344">
        <v>55</v>
      </c>
      <c r="D344" t="s">
        <v>13</v>
      </c>
      <c r="E344" s="46">
        <v>45025</v>
      </c>
      <c r="F344">
        <v>27</v>
      </c>
      <c r="G344">
        <v>3.7</v>
      </c>
      <c r="H344">
        <v>2023</v>
      </c>
      <c r="I344" t="s">
        <v>1090</v>
      </c>
      <c r="J344" t="s">
        <v>1099</v>
      </c>
      <c r="K344">
        <v>4</v>
      </c>
      <c r="L344">
        <v>3</v>
      </c>
      <c r="M344">
        <v>27</v>
      </c>
    </row>
    <row r="345" spans="1:13" x14ac:dyDescent="0.25">
      <c r="A345" t="s">
        <v>367</v>
      </c>
      <c r="B345" t="s">
        <v>18</v>
      </c>
      <c r="C345">
        <v>104</v>
      </c>
      <c r="D345" t="s">
        <v>13</v>
      </c>
      <c r="E345" s="46">
        <v>45026</v>
      </c>
      <c r="F345">
        <v>68</v>
      </c>
      <c r="G345">
        <v>3.6</v>
      </c>
      <c r="H345">
        <v>2023</v>
      </c>
      <c r="I345" t="s">
        <v>1091</v>
      </c>
      <c r="J345" t="s">
        <v>1099</v>
      </c>
      <c r="K345">
        <v>4</v>
      </c>
      <c r="L345">
        <v>3</v>
      </c>
      <c r="M345">
        <v>68</v>
      </c>
    </row>
    <row r="346" spans="1:13" x14ac:dyDescent="0.25">
      <c r="A346" t="s">
        <v>368</v>
      </c>
      <c r="B346" t="s">
        <v>24</v>
      </c>
      <c r="C346">
        <v>116</v>
      </c>
      <c r="D346" t="s">
        <v>9</v>
      </c>
      <c r="E346" s="46">
        <v>45026</v>
      </c>
      <c r="F346">
        <v>22</v>
      </c>
      <c r="G346">
        <v>4.7</v>
      </c>
      <c r="H346">
        <v>2023</v>
      </c>
      <c r="I346" t="s">
        <v>1091</v>
      </c>
      <c r="J346" t="s">
        <v>1099</v>
      </c>
      <c r="K346">
        <v>5</v>
      </c>
      <c r="L346">
        <v>3</v>
      </c>
      <c r="M346">
        <v>22</v>
      </c>
    </row>
    <row r="347" spans="1:13" x14ac:dyDescent="0.25">
      <c r="A347" t="s">
        <v>369</v>
      </c>
      <c r="B347" t="s">
        <v>19</v>
      </c>
      <c r="C347">
        <v>99</v>
      </c>
      <c r="D347" t="s">
        <v>13</v>
      </c>
      <c r="E347" s="46">
        <v>45026</v>
      </c>
      <c r="F347">
        <v>42</v>
      </c>
      <c r="G347">
        <v>3.1</v>
      </c>
      <c r="H347">
        <v>2023</v>
      </c>
      <c r="I347" t="s">
        <v>1091</v>
      </c>
      <c r="J347" t="s">
        <v>1099</v>
      </c>
      <c r="K347">
        <v>3</v>
      </c>
      <c r="L347">
        <v>3</v>
      </c>
      <c r="M347">
        <v>42</v>
      </c>
    </row>
    <row r="348" spans="1:13" x14ac:dyDescent="0.25">
      <c r="A348" t="s">
        <v>370</v>
      </c>
      <c r="B348" t="s">
        <v>18</v>
      </c>
      <c r="C348">
        <v>84</v>
      </c>
      <c r="D348" t="s">
        <v>13</v>
      </c>
      <c r="E348" s="46">
        <v>45027</v>
      </c>
      <c r="F348">
        <v>38</v>
      </c>
      <c r="G348">
        <v>3.3</v>
      </c>
      <c r="H348">
        <v>2023</v>
      </c>
      <c r="I348" t="s">
        <v>1092</v>
      </c>
      <c r="J348" t="s">
        <v>1099</v>
      </c>
      <c r="K348">
        <v>3</v>
      </c>
      <c r="L348">
        <v>3</v>
      </c>
      <c r="M348">
        <v>38</v>
      </c>
    </row>
    <row r="349" spans="1:13" x14ac:dyDescent="0.25">
      <c r="A349" t="s">
        <v>371</v>
      </c>
      <c r="B349" t="s">
        <v>16</v>
      </c>
      <c r="C349">
        <v>159</v>
      </c>
      <c r="D349" t="s">
        <v>13</v>
      </c>
      <c r="E349" s="46">
        <v>45027</v>
      </c>
      <c r="F349">
        <v>42</v>
      </c>
      <c r="G349">
        <v>4.5</v>
      </c>
      <c r="H349">
        <v>2023</v>
      </c>
      <c r="I349" t="s">
        <v>1092</v>
      </c>
      <c r="J349" t="s">
        <v>1103</v>
      </c>
      <c r="K349">
        <v>5</v>
      </c>
      <c r="L349">
        <v>4</v>
      </c>
      <c r="M349">
        <v>42</v>
      </c>
    </row>
    <row r="350" spans="1:13" x14ac:dyDescent="0.25">
      <c r="A350" t="s">
        <v>372</v>
      </c>
      <c r="B350" t="s">
        <v>15</v>
      </c>
      <c r="C350">
        <v>25</v>
      </c>
      <c r="D350" t="s">
        <v>10</v>
      </c>
      <c r="E350" s="46">
        <v>45027</v>
      </c>
      <c r="F350">
        <v>75</v>
      </c>
      <c r="G350">
        <v>3.9</v>
      </c>
      <c r="H350">
        <v>2023</v>
      </c>
      <c r="I350" t="s">
        <v>1092</v>
      </c>
      <c r="J350" t="s">
        <v>1100</v>
      </c>
      <c r="K350">
        <v>4</v>
      </c>
      <c r="L350">
        <v>2</v>
      </c>
      <c r="M350">
        <v>75</v>
      </c>
    </row>
    <row r="351" spans="1:13" x14ac:dyDescent="0.25">
      <c r="A351" t="s">
        <v>373</v>
      </c>
      <c r="B351" t="s">
        <v>16</v>
      </c>
      <c r="C351">
        <v>53</v>
      </c>
      <c r="D351" t="s">
        <v>6</v>
      </c>
      <c r="E351" s="46">
        <v>45028</v>
      </c>
      <c r="F351">
        <v>23</v>
      </c>
      <c r="G351">
        <v>4.9000000000000004</v>
      </c>
      <c r="H351">
        <v>2023</v>
      </c>
      <c r="I351" t="s">
        <v>1093</v>
      </c>
      <c r="J351" t="s">
        <v>1099</v>
      </c>
      <c r="K351">
        <v>5</v>
      </c>
      <c r="L351">
        <v>3</v>
      </c>
      <c r="M351">
        <v>23</v>
      </c>
    </row>
    <row r="352" spans="1:13" x14ac:dyDescent="0.25">
      <c r="A352" t="s">
        <v>374</v>
      </c>
      <c r="B352" t="s">
        <v>16</v>
      </c>
      <c r="C352">
        <v>89</v>
      </c>
      <c r="D352" t="s">
        <v>10</v>
      </c>
      <c r="E352" s="46">
        <v>45028</v>
      </c>
      <c r="F352">
        <v>200</v>
      </c>
      <c r="G352">
        <v>4.8</v>
      </c>
      <c r="H352">
        <v>2023</v>
      </c>
      <c r="I352" t="s">
        <v>1093</v>
      </c>
      <c r="J352" t="s">
        <v>1099</v>
      </c>
      <c r="K352">
        <v>5</v>
      </c>
      <c r="L352">
        <v>3</v>
      </c>
      <c r="M352">
        <v>200</v>
      </c>
    </row>
    <row r="353" spans="1:13" x14ac:dyDescent="0.25">
      <c r="A353" t="s">
        <v>375</v>
      </c>
      <c r="B353" t="s">
        <v>21</v>
      </c>
      <c r="C353">
        <v>73</v>
      </c>
      <c r="D353" t="s">
        <v>9</v>
      </c>
      <c r="E353" s="46">
        <v>45029</v>
      </c>
      <c r="F353">
        <v>45</v>
      </c>
      <c r="G353">
        <v>3.6</v>
      </c>
      <c r="H353">
        <v>2023</v>
      </c>
      <c r="I353" t="s">
        <v>1094</v>
      </c>
      <c r="J353" t="s">
        <v>1099</v>
      </c>
      <c r="K353">
        <v>4</v>
      </c>
      <c r="L353">
        <v>3</v>
      </c>
      <c r="M353">
        <v>45</v>
      </c>
    </row>
    <row r="354" spans="1:13" x14ac:dyDescent="0.25">
      <c r="A354" t="s">
        <v>376</v>
      </c>
      <c r="B354" t="s">
        <v>19</v>
      </c>
      <c r="C354">
        <v>50</v>
      </c>
      <c r="D354" t="s">
        <v>9</v>
      </c>
      <c r="E354" s="46">
        <v>45029</v>
      </c>
      <c r="F354">
        <v>105</v>
      </c>
      <c r="G354">
        <v>3.5</v>
      </c>
      <c r="H354">
        <v>2023</v>
      </c>
      <c r="I354" t="s">
        <v>1094</v>
      </c>
      <c r="J354" t="s">
        <v>1099</v>
      </c>
      <c r="K354">
        <v>4</v>
      </c>
      <c r="L354">
        <v>3</v>
      </c>
      <c r="M354">
        <v>105</v>
      </c>
    </row>
    <row r="355" spans="1:13" x14ac:dyDescent="0.25">
      <c r="A355" t="s">
        <v>377</v>
      </c>
      <c r="B355" t="s">
        <v>8</v>
      </c>
      <c r="C355">
        <v>98</v>
      </c>
      <c r="D355" t="s">
        <v>9</v>
      </c>
      <c r="E355" s="46">
        <v>45029</v>
      </c>
      <c r="F355">
        <v>22</v>
      </c>
      <c r="G355">
        <v>3.8</v>
      </c>
      <c r="H355">
        <v>2023</v>
      </c>
      <c r="I355" t="s">
        <v>1094</v>
      </c>
      <c r="J355" t="s">
        <v>1099</v>
      </c>
      <c r="K355">
        <v>4</v>
      </c>
      <c r="L355">
        <v>3</v>
      </c>
      <c r="M355">
        <v>22</v>
      </c>
    </row>
    <row r="356" spans="1:13" x14ac:dyDescent="0.25">
      <c r="A356" t="s">
        <v>378</v>
      </c>
      <c r="B356" t="s">
        <v>14</v>
      </c>
      <c r="C356">
        <v>114</v>
      </c>
      <c r="D356" t="s">
        <v>13</v>
      </c>
      <c r="E356" s="46">
        <v>45030</v>
      </c>
      <c r="F356">
        <v>126</v>
      </c>
      <c r="G356">
        <v>4.4000000000000004</v>
      </c>
      <c r="H356">
        <v>2023</v>
      </c>
      <c r="I356" t="s">
        <v>1095</v>
      </c>
      <c r="J356" t="s">
        <v>1099</v>
      </c>
      <c r="K356">
        <v>4</v>
      </c>
      <c r="L356">
        <v>3</v>
      </c>
      <c r="M356">
        <v>126</v>
      </c>
    </row>
    <row r="357" spans="1:13" x14ac:dyDescent="0.25">
      <c r="A357" t="s">
        <v>379</v>
      </c>
      <c r="B357" t="s">
        <v>7</v>
      </c>
      <c r="C357">
        <v>67</v>
      </c>
      <c r="D357" t="s">
        <v>13</v>
      </c>
      <c r="E357" s="46">
        <v>45030</v>
      </c>
      <c r="F357">
        <v>35</v>
      </c>
      <c r="G357">
        <v>3</v>
      </c>
      <c r="H357">
        <v>2023</v>
      </c>
      <c r="I357" t="s">
        <v>1095</v>
      </c>
      <c r="J357" t="s">
        <v>1099</v>
      </c>
      <c r="K357">
        <v>3</v>
      </c>
      <c r="L357">
        <v>3</v>
      </c>
      <c r="M357">
        <v>35</v>
      </c>
    </row>
    <row r="358" spans="1:13" x14ac:dyDescent="0.25">
      <c r="A358" t="s">
        <v>380</v>
      </c>
      <c r="B358" t="s">
        <v>23</v>
      </c>
      <c r="C358">
        <v>91</v>
      </c>
      <c r="D358" t="s">
        <v>9</v>
      </c>
      <c r="E358" s="46">
        <v>45030</v>
      </c>
      <c r="F358">
        <v>84</v>
      </c>
      <c r="G358">
        <v>4.5</v>
      </c>
      <c r="H358">
        <v>2023</v>
      </c>
      <c r="I358" t="s">
        <v>1095</v>
      </c>
      <c r="J358" t="s">
        <v>1099</v>
      </c>
      <c r="K358">
        <v>5</v>
      </c>
      <c r="L358">
        <v>3</v>
      </c>
      <c r="M358">
        <v>84</v>
      </c>
    </row>
    <row r="359" spans="1:13" x14ac:dyDescent="0.25">
      <c r="A359" t="s">
        <v>381</v>
      </c>
      <c r="B359" t="s">
        <v>5</v>
      </c>
      <c r="C359">
        <v>67</v>
      </c>
      <c r="D359" t="s">
        <v>9</v>
      </c>
      <c r="E359" s="46">
        <v>45031</v>
      </c>
      <c r="F359">
        <v>172</v>
      </c>
      <c r="G359">
        <v>4.5</v>
      </c>
      <c r="H359">
        <v>2023</v>
      </c>
      <c r="I359" t="s">
        <v>1096</v>
      </c>
      <c r="J359" t="s">
        <v>1099</v>
      </c>
      <c r="K359">
        <v>5</v>
      </c>
      <c r="L359">
        <v>3</v>
      </c>
      <c r="M359">
        <v>172</v>
      </c>
    </row>
    <row r="360" spans="1:13" x14ac:dyDescent="0.25">
      <c r="A360" t="s">
        <v>382</v>
      </c>
      <c r="B360" t="s">
        <v>14</v>
      </c>
      <c r="C360">
        <v>139</v>
      </c>
      <c r="D360" t="s">
        <v>10</v>
      </c>
      <c r="E360" s="46">
        <v>45031</v>
      </c>
      <c r="F360">
        <v>114</v>
      </c>
      <c r="G360">
        <v>4</v>
      </c>
      <c r="H360">
        <v>2023</v>
      </c>
      <c r="I360" t="s">
        <v>1096</v>
      </c>
      <c r="J360" t="s">
        <v>1103</v>
      </c>
      <c r="K360">
        <v>4</v>
      </c>
      <c r="L360">
        <v>4</v>
      </c>
      <c r="M360">
        <v>114</v>
      </c>
    </row>
    <row r="361" spans="1:13" x14ac:dyDescent="0.25">
      <c r="A361" t="s">
        <v>383</v>
      </c>
      <c r="B361" t="s">
        <v>5</v>
      </c>
      <c r="C361">
        <v>102</v>
      </c>
      <c r="D361" t="s">
        <v>10</v>
      </c>
      <c r="E361" s="46">
        <v>45031</v>
      </c>
      <c r="F361">
        <v>60</v>
      </c>
      <c r="G361">
        <v>3.8</v>
      </c>
      <c r="H361">
        <v>2023</v>
      </c>
      <c r="I361" t="s">
        <v>1096</v>
      </c>
      <c r="J361" t="s">
        <v>1099</v>
      </c>
      <c r="K361">
        <v>4</v>
      </c>
      <c r="L361">
        <v>3</v>
      </c>
      <c r="M361">
        <v>60</v>
      </c>
    </row>
    <row r="362" spans="1:13" x14ac:dyDescent="0.25">
      <c r="A362" t="s">
        <v>384</v>
      </c>
      <c r="B362" t="s">
        <v>17</v>
      </c>
      <c r="C362">
        <v>108</v>
      </c>
      <c r="D362" t="s">
        <v>11</v>
      </c>
      <c r="E362" s="46">
        <v>45031</v>
      </c>
      <c r="F362">
        <v>26</v>
      </c>
      <c r="G362">
        <v>3.3</v>
      </c>
      <c r="H362">
        <v>2023</v>
      </c>
      <c r="I362" t="s">
        <v>1096</v>
      </c>
      <c r="J362" t="s">
        <v>1099</v>
      </c>
      <c r="K362">
        <v>3</v>
      </c>
      <c r="L362">
        <v>3</v>
      </c>
      <c r="M362">
        <v>26</v>
      </c>
    </row>
    <row r="363" spans="1:13" x14ac:dyDescent="0.25">
      <c r="A363" t="s">
        <v>385</v>
      </c>
      <c r="B363" t="s">
        <v>15</v>
      </c>
      <c r="C363">
        <v>66</v>
      </c>
      <c r="D363" t="s">
        <v>9</v>
      </c>
      <c r="E363" s="46">
        <v>45031</v>
      </c>
      <c r="F363">
        <v>210</v>
      </c>
      <c r="G363">
        <v>4.3</v>
      </c>
      <c r="H363">
        <v>2023</v>
      </c>
      <c r="I363" t="s">
        <v>1096</v>
      </c>
      <c r="J363" t="s">
        <v>1099</v>
      </c>
      <c r="K363">
        <v>4</v>
      </c>
      <c r="L363">
        <v>3</v>
      </c>
      <c r="M363">
        <v>210</v>
      </c>
    </row>
    <row r="364" spans="1:13" x14ac:dyDescent="0.25">
      <c r="A364" t="s">
        <v>386</v>
      </c>
      <c r="B364" t="s">
        <v>22</v>
      </c>
      <c r="C364">
        <v>85</v>
      </c>
      <c r="D364" t="s">
        <v>10</v>
      </c>
      <c r="E364" s="46">
        <v>45031</v>
      </c>
      <c r="F364">
        <v>129</v>
      </c>
      <c r="G364">
        <v>4.2</v>
      </c>
      <c r="H364">
        <v>2023</v>
      </c>
      <c r="I364" t="s">
        <v>1096</v>
      </c>
      <c r="J364" t="s">
        <v>1099</v>
      </c>
      <c r="K364">
        <v>4</v>
      </c>
      <c r="L364">
        <v>3</v>
      </c>
      <c r="M364">
        <v>129</v>
      </c>
    </row>
    <row r="365" spans="1:13" x14ac:dyDescent="0.25">
      <c r="A365" t="s">
        <v>387</v>
      </c>
      <c r="B365" t="s">
        <v>7</v>
      </c>
      <c r="C365">
        <v>55</v>
      </c>
      <c r="D365" t="s">
        <v>11</v>
      </c>
      <c r="E365" s="46">
        <v>45031</v>
      </c>
      <c r="F365">
        <v>215</v>
      </c>
      <c r="G365">
        <v>4.3</v>
      </c>
      <c r="H365">
        <v>2023</v>
      </c>
      <c r="I365" t="s">
        <v>1096</v>
      </c>
      <c r="J365" t="s">
        <v>1099</v>
      </c>
      <c r="K365">
        <v>4</v>
      </c>
      <c r="L365">
        <v>3</v>
      </c>
      <c r="M365">
        <v>215</v>
      </c>
    </row>
    <row r="366" spans="1:13" x14ac:dyDescent="0.25">
      <c r="A366" t="s">
        <v>388</v>
      </c>
      <c r="B366" t="s">
        <v>17</v>
      </c>
      <c r="C366">
        <v>17</v>
      </c>
      <c r="D366" t="s">
        <v>6</v>
      </c>
      <c r="E366" s="46">
        <v>45031</v>
      </c>
      <c r="F366">
        <v>69</v>
      </c>
      <c r="G366">
        <v>4.5999999999999996</v>
      </c>
      <c r="H366">
        <v>2023</v>
      </c>
      <c r="I366" t="s">
        <v>1096</v>
      </c>
      <c r="J366" t="s">
        <v>1100</v>
      </c>
      <c r="K366">
        <v>5</v>
      </c>
      <c r="L366">
        <v>2</v>
      </c>
      <c r="M366">
        <v>69</v>
      </c>
    </row>
    <row r="367" spans="1:13" x14ac:dyDescent="0.25">
      <c r="A367" t="s">
        <v>389</v>
      </c>
      <c r="B367" t="s">
        <v>7</v>
      </c>
      <c r="C367">
        <v>128</v>
      </c>
      <c r="D367" t="s">
        <v>6</v>
      </c>
      <c r="E367" s="46">
        <v>45031</v>
      </c>
      <c r="F367">
        <v>140</v>
      </c>
      <c r="G367">
        <v>3</v>
      </c>
      <c r="H367">
        <v>2023</v>
      </c>
      <c r="I367" t="s">
        <v>1096</v>
      </c>
      <c r="J367" t="s">
        <v>1103</v>
      </c>
      <c r="K367">
        <v>3</v>
      </c>
      <c r="L367">
        <v>4</v>
      </c>
      <c r="M367">
        <v>140</v>
      </c>
    </row>
    <row r="368" spans="1:13" x14ac:dyDescent="0.25">
      <c r="A368" t="s">
        <v>390</v>
      </c>
      <c r="B368" t="s">
        <v>19</v>
      </c>
      <c r="C368">
        <v>45</v>
      </c>
      <c r="D368" t="s">
        <v>11</v>
      </c>
      <c r="E368" s="46">
        <v>45032</v>
      </c>
      <c r="F368">
        <v>156</v>
      </c>
      <c r="G368">
        <v>2.7</v>
      </c>
      <c r="H368">
        <v>2023</v>
      </c>
      <c r="I368" t="s">
        <v>1090</v>
      </c>
      <c r="J368" t="s">
        <v>1099</v>
      </c>
      <c r="K368">
        <v>3</v>
      </c>
      <c r="L368">
        <v>3</v>
      </c>
      <c r="M368">
        <v>156</v>
      </c>
    </row>
    <row r="369" spans="1:13" x14ac:dyDescent="0.25">
      <c r="A369" t="s">
        <v>391</v>
      </c>
      <c r="B369" t="s">
        <v>17</v>
      </c>
      <c r="C369">
        <v>41</v>
      </c>
      <c r="D369" t="s">
        <v>6</v>
      </c>
      <c r="E369" s="46">
        <v>45032</v>
      </c>
      <c r="F369">
        <v>164</v>
      </c>
      <c r="G369">
        <v>3.1</v>
      </c>
      <c r="H369">
        <v>2023</v>
      </c>
      <c r="I369" t="s">
        <v>1090</v>
      </c>
      <c r="J369" t="s">
        <v>1099</v>
      </c>
      <c r="K369">
        <v>3</v>
      </c>
      <c r="L369">
        <v>3</v>
      </c>
      <c r="M369">
        <v>164</v>
      </c>
    </row>
    <row r="370" spans="1:13" x14ac:dyDescent="0.25">
      <c r="A370" t="s">
        <v>392</v>
      </c>
      <c r="B370" t="s">
        <v>24</v>
      </c>
      <c r="C370">
        <v>49</v>
      </c>
      <c r="D370" t="s">
        <v>6</v>
      </c>
      <c r="E370" s="46">
        <v>45032</v>
      </c>
      <c r="F370">
        <v>195</v>
      </c>
      <c r="G370">
        <v>2.6</v>
      </c>
      <c r="H370">
        <v>2023</v>
      </c>
      <c r="I370" t="s">
        <v>1090</v>
      </c>
      <c r="J370" t="s">
        <v>1099</v>
      </c>
      <c r="K370">
        <v>3</v>
      </c>
      <c r="L370">
        <v>3</v>
      </c>
      <c r="M370">
        <v>195</v>
      </c>
    </row>
    <row r="371" spans="1:13" x14ac:dyDescent="0.25">
      <c r="A371" t="s">
        <v>393</v>
      </c>
      <c r="B371" t="s">
        <v>12</v>
      </c>
      <c r="C371">
        <v>21</v>
      </c>
      <c r="D371" t="s">
        <v>13</v>
      </c>
      <c r="E371" s="46">
        <v>45032</v>
      </c>
      <c r="F371">
        <v>74</v>
      </c>
      <c r="G371">
        <v>4.5999999999999996</v>
      </c>
      <c r="H371">
        <v>2023</v>
      </c>
      <c r="I371" t="s">
        <v>1090</v>
      </c>
      <c r="J371" t="s">
        <v>1100</v>
      </c>
      <c r="K371">
        <v>5</v>
      </c>
      <c r="L371">
        <v>2</v>
      </c>
      <c r="M371">
        <v>74</v>
      </c>
    </row>
    <row r="372" spans="1:13" x14ac:dyDescent="0.25">
      <c r="A372" t="s">
        <v>394</v>
      </c>
      <c r="B372" t="s">
        <v>16</v>
      </c>
      <c r="C372">
        <v>133</v>
      </c>
      <c r="D372" t="s">
        <v>11</v>
      </c>
      <c r="E372" s="46">
        <v>45032</v>
      </c>
      <c r="F372">
        <v>100</v>
      </c>
      <c r="G372">
        <v>4</v>
      </c>
      <c r="H372">
        <v>2023</v>
      </c>
      <c r="I372" t="s">
        <v>1090</v>
      </c>
      <c r="J372" t="s">
        <v>1103</v>
      </c>
      <c r="K372">
        <v>4</v>
      </c>
      <c r="L372">
        <v>4</v>
      </c>
      <c r="M372">
        <v>100</v>
      </c>
    </row>
    <row r="373" spans="1:13" x14ac:dyDescent="0.25">
      <c r="A373" t="s">
        <v>395</v>
      </c>
      <c r="B373" t="s">
        <v>20</v>
      </c>
      <c r="C373">
        <v>135</v>
      </c>
      <c r="D373" t="s">
        <v>9</v>
      </c>
      <c r="E373" s="46">
        <v>45032</v>
      </c>
      <c r="F373">
        <v>185</v>
      </c>
      <c r="G373">
        <v>4.5</v>
      </c>
      <c r="H373">
        <v>2023</v>
      </c>
      <c r="I373" t="s">
        <v>1090</v>
      </c>
      <c r="J373" t="s">
        <v>1103</v>
      </c>
      <c r="K373">
        <v>5</v>
      </c>
      <c r="L373">
        <v>4</v>
      </c>
      <c r="M373">
        <v>185</v>
      </c>
    </row>
    <row r="374" spans="1:13" x14ac:dyDescent="0.25">
      <c r="A374" t="s">
        <v>396</v>
      </c>
      <c r="B374" t="s">
        <v>14</v>
      </c>
      <c r="C374">
        <v>69</v>
      </c>
      <c r="D374" t="s">
        <v>11</v>
      </c>
      <c r="E374" s="46">
        <v>45032</v>
      </c>
      <c r="F374">
        <v>130</v>
      </c>
      <c r="G374">
        <v>1.9</v>
      </c>
      <c r="H374">
        <v>2023</v>
      </c>
      <c r="I374" t="s">
        <v>1090</v>
      </c>
      <c r="J374" t="s">
        <v>1099</v>
      </c>
      <c r="K374">
        <v>2</v>
      </c>
      <c r="L374">
        <v>3</v>
      </c>
      <c r="M374">
        <v>130</v>
      </c>
    </row>
    <row r="375" spans="1:13" x14ac:dyDescent="0.25">
      <c r="A375" t="s">
        <v>397</v>
      </c>
      <c r="B375" t="s">
        <v>18</v>
      </c>
      <c r="C375">
        <v>110</v>
      </c>
      <c r="D375" t="s">
        <v>13</v>
      </c>
      <c r="E375" s="46">
        <v>45033</v>
      </c>
      <c r="F375">
        <v>21</v>
      </c>
      <c r="G375">
        <v>2.6</v>
      </c>
      <c r="H375">
        <v>2023</v>
      </c>
      <c r="I375" t="s">
        <v>1091</v>
      </c>
      <c r="J375" t="s">
        <v>1099</v>
      </c>
      <c r="K375">
        <v>3</v>
      </c>
      <c r="L375">
        <v>3</v>
      </c>
      <c r="M375">
        <v>21</v>
      </c>
    </row>
    <row r="376" spans="1:13" x14ac:dyDescent="0.25">
      <c r="A376" t="s">
        <v>398</v>
      </c>
      <c r="B376" t="s">
        <v>5</v>
      </c>
      <c r="C376">
        <v>64</v>
      </c>
      <c r="D376" t="s">
        <v>10</v>
      </c>
      <c r="E376" s="46">
        <v>45033</v>
      </c>
      <c r="F376">
        <v>88</v>
      </c>
      <c r="G376">
        <v>4.3</v>
      </c>
      <c r="H376">
        <v>2023</v>
      </c>
      <c r="I376" t="s">
        <v>1091</v>
      </c>
      <c r="J376" t="s">
        <v>1099</v>
      </c>
      <c r="K376">
        <v>4</v>
      </c>
      <c r="L376">
        <v>3</v>
      </c>
      <c r="M376">
        <v>88</v>
      </c>
    </row>
    <row r="377" spans="1:13" x14ac:dyDescent="0.25">
      <c r="A377" t="s">
        <v>399</v>
      </c>
      <c r="B377" t="s">
        <v>23</v>
      </c>
      <c r="C377">
        <v>105</v>
      </c>
      <c r="D377" t="s">
        <v>6</v>
      </c>
      <c r="E377" s="46">
        <v>45033</v>
      </c>
      <c r="F377">
        <v>35</v>
      </c>
      <c r="G377">
        <v>4.4000000000000004</v>
      </c>
      <c r="H377">
        <v>2023</v>
      </c>
      <c r="I377" t="s">
        <v>1091</v>
      </c>
      <c r="J377" t="s">
        <v>1099</v>
      </c>
      <c r="K377">
        <v>4</v>
      </c>
      <c r="L377">
        <v>3</v>
      </c>
      <c r="M377">
        <v>35</v>
      </c>
    </row>
    <row r="378" spans="1:13" x14ac:dyDescent="0.25">
      <c r="A378" t="s">
        <v>400</v>
      </c>
      <c r="B378" t="s">
        <v>5</v>
      </c>
      <c r="C378">
        <v>165</v>
      </c>
      <c r="D378" t="s">
        <v>9</v>
      </c>
      <c r="E378" s="46">
        <v>45033</v>
      </c>
      <c r="F378">
        <v>68</v>
      </c>
      <c r="G378">
        <v>4.3</v>
      </c>
      <c r="H378">
        <v>2023</v>
      </c>
      <c r="I378" t="s">
        <v>1091</v>
      </c>
      <c r="J378" t="s">
        <v>1103</v>
      </c>
      <c r="K378">
        <v>4</v>
      </c>
      <c r="L378">
        <v>4</v>
      </c>
      <c r="M378">
        <v>68</v>
      </c>
    </row>
    <row r="379" spans="1:13" x14ac:dyDescent="0.25">
      <c r="A379" t="s">
        <v>401</v>
      </c>
      <c r="B379" t="s">
        <v>19</v>
      </c>
      <c r="C379">
        <v>125</v>
      </c>
      <c r="D379" t="s">
        <v>9</v>
      </c>
      <c r="E379" s="46">
        <v>45033</v>
      </c>
      <c r="F379">
        <v>148</v>
      </c>
      <c r="G379">
        <v>4.5</v>
      </c>
      <c r="H379">
        <v>2023</v>
      </c>
      <c r="I379" t="s">
        <v>1091</v>
      </c>
      <c r="J379" t="s">
        <v>1103</v>
      </c>
      <c r="K379">
        <v>5</v>
      </c>
      <c r="L379">
        <v>4</v>
      </c>
      <c r="M379">
        <v>148</v>
      </c>
    </row>
    <row r="380" spans="1:13" x14ac:dyDescent="0.25">
      <c r="A380" t="s">
        <v>402</v>
      </c>
      <c r="B380" t="s">
        <v>23</v>
      </c>
      <c r="C380">
        <v>88</v>
      </c>
      <c r="D380" t="s">
        <v>10</v>
      </c>
      <c r="E380" s="46">
        <v>45034</v>
      </c>
      <c r="F380">
        <v>81</v>
      </c>
      <c r="G380">
        <v>4.2</v>
      </c>
      <c r="H380">
        <v>2023</v>
      </c>
      <c r="I380" t="s">
        <v>1092</v>
      </c>
      <c r="J380" t="s">
        <v>1099</v>
      </c>
      <c r="K380">
        <v>4</v>
      </c>
      <c r="L380">
        <v>3</v>
      </c>
      <c r="M380">
        <v>81</v>
      </c>
    </row>
    <row r="381" spans="1:13" x14ac:dyDescent="0.25">
      <c r="A381" t="s">
        <v>403</v>
      </c>
      <c r="B381" t="s">
        <v>14</v>
      </c>
      <c r="C381">
        <v>6</v>
      </c>
      <c r="D381" t="s">
        <v>10</v>
      </c>
      <c r="E381" s="46">
        <v>45034</v>
      </c>
      <c r="F381">
        <v>75</v>
      </c>
      <c r="G381">
        <v>3.9</v>
      </c>
      <c r="H381">
        <v>2023</v>
      </c>
      <c r="I381" t="s">
        <v>1092</v>
      </c>
      <c r="J381" t="s">
        <v>1101</v>
      </c>
      <c r="K381">
        <v>4</v>
      </c>
      <c r="L381">
        <v>1</v>
      </c>
      <c r="M381">
        <v>75</v>
      </c>
    </row>
    <row r="382" spans="1:13" x14ac:dyDescent="0.25">
      <c r="A382" t="s">
        <v>404</v>
      </c>
      <c r="B382" t="s">
        <v>22</v>
      </c>
      <c r="C382">
        <v>69</v>
      </c>
      <c r="D382" t="s">
        <v>11</v>
      </c>
      <c r="E382" s="46">
        <v>45035</v>
      </c>
      <c r="F382">
        <v>32</v>
      </c>
      <c r="G382">
        <v>3.6</v>
      </c>
      <c r="H382">
        <v>2023</v>
      </c>
      <c r="I382" t="s">
        <v>1093</v>
      </c>
      <c r="J382" t="s">
        <v>1099</v>
      </c>
      <c r="K382">
        <v>4</v>
      </c>
      <c r="L382">
        <v>3</v>
      </c>
      <c r="M382">
        <v>32</v>
      </c>
    </row>
    <row r="383" spans="1:13" x14ac:dyDescent="0.25">
      <c r="A383" t="s">
        <v>405</v>
      </c>
      <c r="B383" t="s">
        <v>17</v>
      </c>
      <c r="C383">
        <v>107</v>
      </c>
      <c r="D383" t="s">
        <v>11</v>
      </c>
      <c r="E383" s="46">
        <v>45035</v>
      </c>
      <c r="F383">
        <v>156</v>
      </c>
      <c r="G383">
        <v>3.8</v>
      </c>
      <c r="H383">
        <v>2023</v>
      </c>
      <c r="I383" t="s">
        <v>1093</v>
      </c>
      <c r="J383" t="s">
        <v>1099</v>
      </c>
      <c r="K383">
        <v>4</v>
      </c>
      <c r="L383">
        <v>3</v>
      </c>
      <c r="M383">
        <v>156</v>
      </c>
    </row>
    <row r="384" spans="1:13" x14ac:dyDescent="0.25">
      <c r="A384" t="s">
        <v>406</v>
      </c>
      <c r="B384" t="s">
        <v>12</v>
      </c>
      <c r="C384">
        <v>90</v>
      </c>
      <c r="D384" t="s">
        <v>9</v>
      </c>
      <c r="E384" s="46">
        <v>45035</v>
      </c>
      <c r="F384">
        <v>99</v>
      </c>
      <c r="G384">
        <v>4.9000000000000004</v>
      </c>
      <c r="H384">
        <v>2023</v>
      </c>
      <c r="I384" t="s">
        <v>1093</v>
      </c>
      <c r="J384" t="s">
        <v>1099</v>
      </c>
      <c r="K384">
        <v>5</v>
      </c>
      <c r="L384">
        <v>3</v>
      </c>
      <c r="M384">
        <v>99</v>
      </c>
    </row>
    <row r="385" spans="1:13" x14ac:dyDescent="0.25">
      <c r="A385" t="s">
        <v>407</v>
      </c>
      <c r="B385" t="s">
        <v>20</v>
      </c>
      <c r="C385">
        <v>120</v>
      </c>
      <c r="D385" t="s">
        <v>6</v>
      </c>
      <c r="E385" s="46">
        <v>45035</v>
      </c>
      <c r="F385">
        <v>26</v>
      </c>
      <c r="G385">
        <v>4</v>
      </c>
      <c r="H385">
        <v>2023</v>
      </c>
      <c r="I385" t="s">
        <v>1093</v>
      </c>
      <c r="J385" t="s">
        <v>1099</v>
      </c>
      <c r="K385">
        <v>4</v>
      </c>
      <c r="L385">
        <v>3</v>
      </c>
      <c r="M385">
        <v>26</v>
      </c>
    </row>
    <row r="386" spans="1:13" x14ac:dyDescent="0.25">
      <c r="A386" t="s">
        <v>408</v>
      </c>
      <c r="B386" t="s">
        <v>8</v>
      </c>
      <c r="C386">
        <v>47</v>
      </c>
      <c r="D386" t="s">
        <v>11</v>
      </c>
      <c r="E386" s="46">
        <v>45035</v>
      </c>
      <c r="F386">
        <v>84</v>
      </c>
      <c r="G386">
        <v>4.0999999999999996</v>
      </c>
      <c r="H386">
        <v>2023</v>
      </c>
      <c r="I386" t="s">
        <v>1093</v>
      </c>
      <c r="J386" t="s">
        <v>1099</v>
      </c>
      <c r="K386">
        <v>4</v>
      </c>
      <c r="L386">
        <v>3</v>
      </c>
      <c r="M386">
        <v>84</v>
      </c>
    </row>
    <row r="387" spans="1:13" x14ac:dyDescent="0.25">
      <c r="A387" t="s">
        <v>409</v>
      </c>
      <c r="B387" t="s">
        <v>21</v>
      </c>
      <c r="C387">
        <v>60</v>
      </c>
      <c r="D387" t="s">
        <v>6</v>
      </c>
      <c r="E387" s="46">
        <v>45035</v>
      </c>
      <c r="F387">
        <v>84</v>
      </c>
      <c r="G387">
        <v>4.8</v>
      </c>
      <c r="H387">
        <v>2023</v>
      </c>
      <c r="I387" t="s">
        <v>1093</v>
      </c>
      <c r="J387" t="s">
        <v>1099</v>
      </c>
      <c r="K387">
        <v>5</v>
      </c>
      <c r="L387">
        <v>3</v>
      </c>
      <c r="M387">
        <v>84</v>
      </c>
    </row>
    <row r="388" spans="1:13" x14ac:dyDescent="0.25">
      <c r="A388" t="s">
        <v>410</v>
      </c>
      <c r="B388" t="s">
        <v>7</v>
      </c>
      <c r="C388">
        <v>64</v>
      </c>
      <c r="D388" t="s">
        <v>9</v>
      </c>
      <c r="E388" s="46">
        <v>45035</v>
      </c>
      <c r="F388">
        <v>170</v>
      </c>
      <c r="G388">
        <v>2.2999999999999998</v>
      </c>
      <c r="H388">
        <v>2023</v>
      </c>
      <c r="I388" t="s">
        <v>1093</v>
      </c>
      <c r="J388" t="s">
        <v>1099</v>
      </c>
      <c r="K388">
        <v>2</v>
      </c>
      <c r="L388">
        <v>3</v>
      </c>
      <c r="M388">
        <v>170</v>
      </c>
    </row>
    <row r="389" spans="1:13" x14ac:dyDescent="0.25">
      <c r="A389" t="s">
        <v>411</v>
      </c>
      <c r="B389" t="s">
        <v>5</v>
      </c>
      <c r="C389">
        <v>62</v>
      </c>
      <c r="D389" t="s">
        <v>11</v>
      </c>
      <c r="E389" s="46">
        <v>45035</v>
      </c>
      <c r="F389">
        <v>35</v>
      </c>
      <c r="G389">
        <v>4.4000000000000004</v>
      </c>
      <c r="H389">
        <v>2023</v>
      </c>
      <c r="I389" t="s">
        <v>1093</v>
      </c>
      <c r="J389" t="s">
        <v>1099</v>
      </c>
      <c r="K389">
        <v>4</v>
      </c>
      <c r="L389">
        <v>3</v>
      </c>
      <c r="M389">
        <v>35</v>
      </c>
    </row>
    <row r="390" spans="1:13" x14ac:dyDescent="0.25">
      <c r="A390" t="s">
        <v>412</v>
      </c>
      <c r="B390" t="s">
        <v>18</v>
      </c>
      <c r="C390">
        <v>88</v>
      </c>
      <c r="D390" t="s">
        <v>11</v>
      </c>
      <c r="E390" s="46">
        <v>45036</v>
      </c>
      <c r="F390">
        <v>35</v>
      </c>
      <c r="G390">
        <v>3.8</v>
      </c>
      <c r="H390">
        <v>2023</v>
      </c>
      <c r="I390" t="s">
        <v>1094</v>
      </c>
      <c r="J390" t="s">
        <v>1099</v>
      </c>
      <c r="K390">
        <v>4</v>
      </c>
      <c r="L390">
        <v>3</v>
      </c>
      <c r="M390">
        <v>35</v>
      </c>
    </row>
    <row r="391" spans="1:13" x14ac:dyDescent="0.25">
      <c r="A391" t="s">
        <v>413</v>
      </c>
      <c r="B391" t="s">
        <v>19</v>
      </c>
      <c r="C391">
        <v>116</v>
      </c>
      <c r="D391" t="s">
        <v>11</v>
      </c>
      <c r="E391" s="46">
        <v>45036</v>
      </c>
      <c r="F391">
        <v>132</v>
      </c>
      <c r="G391">
        <v>5</v>
      </c>
      <c r="H391">
        <v>2023</v>
      </c>
      <c r="I391" t="s">
        <v>1094</v>
      </c>
      <c r="J391" t="s">
        <v>1099</v>
      </c>
      <c r="K391">
        <v>5</v>
      </c>
      <c r="L391">
        <v>3</v>
      </c>
      <c r="M391">
        <v>132</v>
      </c>
    </row>
    <row r="392" spans="1:13" x14ac:dyDescent="0.25">
      <c r="A392" t="s">
        <v>414</v>
      </c>
      <c r="B392" t="s">
        <v>12</v>
      </c>
      <c r="C392">
        <v>82</v>
      </c>
      <c r="D392" t="s">
        <v>10</v>
      </c>
      <c r="E392" s="46">
        <v>45037</v>
      </c>
      <c r="F392">
        <v>144</v>
      </c>
      <c r="G392">
        <v>3.3</v>
      </c>
      <c r="H392">
        <v>2023</v>
      </c>
      <c r="I392" t="s">
        <v>1095</v>
      </c>
      <c r="J392" t="s">
        <v>1099</v>
      </c>
      <c r="K392">
        <v>3</v>
      </c>
      <c r="L392">
        <v>3</v>
      </c>
      <c r="M392">
        <v>144</v>
      </c>
    </row>
    <row r="393" spans="1:13" x14ac:dyDescent="0.25">
      <c r="A393" t="s">
        <v>415</v>
      </c>
      <c r="B393" t="s">
        <v>5</v>
      </c>
      <c r="C393">
        <v>99</v>
      </c>
      <c r="D393" t="s">
        <v>9</v>
      </c>
      <c r="E393" s="46">
        <v>45037</v>
      </c>
      <c r="F393">
        <v>48</v>
      </c>
      <c r="G393">
        <v>5</v>
      </c>
      <c r="H393">
        <v>2023</v>
      </c>
      <c r="I393" t="s">
        <v>1095</v>
      </c>
      <c r="J393" t="s">
        <v>1099</v>
      </c>
      <c r="K393">
        <v>5</v>
      </c>
      <c r="L393">
        <v>3</v>
      </c>
      <c r="M393">
        <v>48</v>
      </c>
    </row>
    <row r="394" spans="1:13" x14ac:dyDescent="0.25">
      <c r="A394" t="s">
        <v>416</v>
      </c>
      <c r="B394" t="s">
        <v>5</v>
      </c>
      <c r="C394">
        <v>55</v>
      </c>
      <c r="D394" t="s">
        <v>10</v>
      </c>
      <c r="E394" s="46">
        <v>45037</v>
      </c>
      <c r="F394">
        <v>200</v>
      </c>
      <c r="G394">
        <v>2.2999999999999998</v>
      </c>
      <c r="H394">
        <v>2023</v>
      </c>
      <c r="I394" t="s">
        <v>1095</v>
      </c>
      <c r="J394" t="s">
        <v>1099</v>
      </c>
      <c r="K394">
        <v>2</v>
      </c>
      <c r="L394">
        <v>3</v>
      </c>
      <c r="M394">
        <v>200</v>
      </c>
    </row>
    <row r="395" spans="1:13" x14ac:dyDescent="0.25">
      <c r="A395" t="s">
        <v>417</v>
      </c>
      <c r="B395" t="s">
        <v>7</v>
      </c>
      <c r="C395">
        <v>61</v>
      </c>
      <c r="D395" t="s">
        <v>6</v>
      </c>
      <c r="E395" s="46">
        <v>45037</v>
      </c>
      <c r="F395">
        <v>38</v>
      </c>
      <c r="G395">
        <v>4.8</v>
      </c>
      <c r="H395">
        <v>2023</v>
      </c>
      <c r="I395" t="s">
        <v>1095</v>
      </c>
      <c r="J395" t="s">
        <v>1099</v>
      </c>
      <c r="K395">
        <v>5</v>
      </c>
      <c r="L395">
        <v>3</v>
      </c>
      <c r="M395">
        <v>38</v>
      </c>
    </row>
    <row r="396" spans="1:13" x14ac:dyDescent="0.25">
      <c r="A396" t="s">
        <v>418</v>
      </c>
      <c r="B396" t="s">
        <v>19</v>
      </c>
      <c r="C396">
        <v>36</v>
      </c>
      <c r="D396" t="s">
        <v>13</v>
      </c>
      <c r="E396" s="46">
        <v>45037</v>
      </c>
      <c r="F396">
        <v>81</v>
      </c>
      <c r="G396">
        <v>3.7</v>
      </c>
      <c r="H396">
        <v>2023</v>
      </c>
      <c r="I396" t="s">
        <v>1095</v>
      </c>
      <c r="J396" t="s">
        <v>1099</v>
      </c>
      <c r="K396">
        <v>4</v>
      </c>
      <c r="L396">
        <v>3</v>
      </c>
      <c r="M396">
        <v>81</v>
      </c>
    </row>
    <row r="397" spans="1:13" x14ac:dyDescent="0.25">
      <c r="A397" t="s">
        <v>419</v>
      </c>
      <c r="B397" t="s">
        <v>12</v>
      </c>
      <c r="C397">
        <v>123</v>
      </c>
      <c r="D397" t="s">
        <v>11</v>
      </c>
      <c r="E397" s="46">
        <v>45037</v>
      </c>
      <c r="F397">
        <v>120</v>
      </c>
      <c r="G397">
        <v>4.2</v>
      </c>
      <c r="H397">
        <v>2023</v>
      </c>
      <c r="I397" t="s">
        <v>1095</v>
      </c>
      <c r="J397" t="s">
        <v>1103</v>
      </c>
      <c r="K397">
        <v>4</v>
      </c>
      <c r="L397">
        <v>4</v>
      </c>
      <c r="M397">
        <v>120</v>
      </c>
    </row>
    <row r="398" spans="1:13" x14ac:dyDescent="0.25">
      <c r="A398" t="s">
        <v>420</v>
      </c>
      <c r="B398" t="s">
        <v>24</v>
      </c>
      <c r="C398">
        <v>24</v>
      </c>
      <c r="D398" t="s">
        <v>6</v>
      </c>
      <c r="E398" s="46">
        <v>45037</v>
      </c>
      <c r="F398">
        <v>74</v>
      </c>
      <c r="G398">
        <v>4.8</v>
      </c>
      <c r="H398">
        <v>2023</v>
      </c>
      <c r="I398" t="s">
        <v>1095</v>
      </c>
      <c r="J398" t="s">
        <v>1100</v>
      </c>
      <c r="K398">
        <v>5</v>
      </c>
      <c r="L398">
        <v>2</v>
      </c>
      <c r="M398">
        <v>74</v>
      </c>
    </row>
    <row r="399" spans="1:13" x14ac:dyDescent="0.25">
      <c r="A399" t="s">
        <v>421</v>
      </c>
      <c r="B399" t="s">
        <v>12</v>
      </c>
      <c r="C399">
        <v>43</v>
      </c>
      <c r="D399" t="s">
        <v>11</v>
      </c>
      <c r="E399" s="46">
        <v>45038</v>
      </c>
      <c r="F399">
        <v>128</v>
      </c>
      <c r="G399">
        <v>4.7</v>
      </c>
      <c r="H399">
        <v>2023</v>
      </c>
      <c r="I399" t="s">
        <v>1096</v>
      </c>
      <c r="J399" t="s">
        <v>1099</v>
      </c>
      <c r="K399">
        <v>5</v>
      </c>
      <c r="L399">
        <v>3</v>
      </c>
      <c r="M399">
        <v>128</v>
      </c>
    </row>
    <row r="400" spans="1:13" x14ac:dyDescent="0.25">
      <c r="A400" t="s">
        <v>422</v>
      </c>
      <c r="B400" t="s">
        <v>21</v>
      </c>
      <c r="C400">
        <v>95</v>
      </c>
      <c r="D400" t="s">
        <v>9</v>
      </c>
      <c r="E400" s="46">
        <v>45038</v>
      </c>
      <c r="F400">
        <v>21</v>
      </c>
      <c r="G400">
        <v>3.9</v>
      </c>
      <c r="H400">
        <v>2023</v>
      </c>
      <c r="I400" t="s">
        <v>1096</v>
      </c>
      <c r="J400" t="s">
        <v>1099</v>
      </c>
      <c r="K400">
        <v>4</v>
      </c>
      <c r="L400">
        <v>3</v>
      </c>
      <c r="M400">
        <v>21</v>
      </c>
    </row>
    <row r="401" spans="1:13" x14ac:dyDescent="0.25">
      <c r="A401" t="s">
        <v>423</v>
      </c>
      <c r="B401" t="s">
        <v>5</v>
      </c>
      <c r="C401">
        <v>53</v>
      </c>
      <c r="D401" t="s">
        <v>11</v>
      </c>
      <c r="E401" s="46">
        <v>45038</v>
      </c>
      <c r="F401">
        <v>110</v>
      </c>
      <c r="G401">
        <v>4.3</v>
      </c>
      <c r="H401">
        <v>2023</v>
      </c>
      <c r="I401" t="s">
        <v>1096</v>
      </c>
      <c r="J401" t="s">
        <v>1099</v>
      </c>
      <c r="K401">
        <v>4</v>
      </c>
      <c r="L401">
        <v>3</v>
      </c>
      <c r="M401">
        <v>110</v>
      </c>
    </row>
    <row r="402" spans="1:13" x14ac:dyDescent="0.25">
      <c r="A402" t="s">
        <v>424</v>
      </c>
      <c r="B402" t="s">
        <v>12</v>
      </c>
      <c r="C402">
        <v>113</v>
      </c>
      <c r="D402" t="s">
        <v>11</v>
      </c>
      <c r="E402" s="46">
        <v>45038</v>
      </c>
      <c r="F402">
        <v>145</v>
      </c>
      <c r="G402">
        <v>4</v>
      </c>
      <c r="H402">
        <v>2023</v>
      </c>
      <c r="I402" t="s">
        <v>1096</v>
      </c>
      <c r="J402" t="s">
        <v>1099</v>
      </c>
      <c r="K402">
        <v>4</v>
      </c>
      <c r="L402">
        <v>3</v>
      </c>
      <c r="M402">
        <v>145</v>
      </c>
    </row>
    <row r="403" spans="1:13" x14ac:dyDescent="0.25">
      <c r="A403" t="s">
        <v>425</v>
      </c>
      <c r="B403" t="s">
        <v>5</v>
      </c>
      <c r="C403">
        <v>89</v>
      </c>
      <c r="D403" t="s">
        <v>13</v>
      </c>
      <c r="E403" s="46">
        <v>45038</v>
      </c>
      <c r="F403">
        <v>129</v>
      </c>
      <c r="G403">
        <v>4</v>
      </c>
      <c r="H403">
        <v>2023</v>
      </c>
      <c r="I403" t="s">
        <v>1096</v>
      </c>
      <c r="J403" t="s">
        <v>1099</v>
      </c>
      <c r="K403">
        <v>4</v>
      </c>
      <c r="L403">
        <v>3</v>
      </c>
      <c r="M403">
        <v>129</v>
      </c>
    </row>
    <row r="404" spans="1:13" x14ac:dyDescent="0.25">
      <c r="A404" t="s">
        <v>426</v>
      </c>
      <c r="B404" t="s">
        <v>18</v>
      </c>
      <c r="C404">
        <v>84</v>
      </c>
      <c r="D404" t="s">
        <v>10</v>
      </c>
      <c r="E404" s="46">
        <v>45038</v>
      </c>
      <c r="F404">
        <v>156</v>
      </c>
      <c r="G404">
        <v>3.2</v>
      </c>
      <c r="H404">
        <v>2023</v>
      </c>
      <c r="I404" t="s">
        <v>1096</v>
      </c>
      <c r="J404" t="s">
        <v>1099</v>
      </c>
      <c r="K404">
        <v>3</v>
      </c>
      <c r="L404">
        <v>3</v>
      </c>
      <c r="M404">
        <v>156</v>
      </c>
    </row>
    <row r="405" spans="1:13" x14ac:dyDescent="0.25">
      <c r="A405" t="s">
        <v>427</v>
      </c>
      <c r="B405" t="s">
        <v>24</v>
      </c>
      <c r="C405">
        <v>130</v>
      </c>
      <c r="D405" t="s">
        <v>11</v>
      </c>
      <c r="E405" s="46">
        <v>45039</v>
      </c>
      <c r="F405">
        <v>120</v>
      </c>
      <c r="G405">
        <v>3.8</v>
      </c>
      <c r="H405">
        <v>2023</v>
      </c>
      <c r="I405" t="s">
        <v>1090</v>
      </c>
      <c r="J405" t="s">
        <v>1103</v>
      </c>
      <c r="K405">
        <v>4</v>
      </c>
      <c r="L405">
        <v>4</v>
      </c>
      <c r="M405">
        <v>120</v>
      </c>
    </row>
    <row r="406" spans="1:13" x14ac:dyDescent="0.25">
      <c r="A406" t="s">
        <v>428</v>
      </c>
      <c r="B406" t="s">
        <v>21</v>
      </c>
      <c r="C406">
        <v>163</v>
      </c>
      <c r="D406" t="s">
        <v>13</v>
      </c>
      <c r="E406" s="46">
        <v>45039</v>
      </c>
      <c r="F406">
        <v>62</v>
      </c>
      <c r="G406">
        <v>3.4</v>
      </c>
      <c r="H406">
        <v>2023</v>
      </c>
      <c r="I406" t="s">
        <v>1090</v>
      </c>
      <c r="J406" t="s">
        <v>1103</v>
      </c>
      <c r="K406">
        <v>3</v>
      </c>
      <c r="L406">
        <v>4</v>
      </c>
      <c r="M406">
        <v>62</v>
      </c>
    </row>
    <row r="407" spans="1:13" x14ac:dyDescent="0.25">
      <c r="A407" t="s">
        <v>429</v>
      </c>
      <c r="B407" t="s">
        <v>22</v>
      </c>
      <c r="C407">
        <v>127</v>
      </c>
      <c r="D407" t="s">
        <v>11</v>
      </c>
      <c r="E407" s="46">
        <v>45039</v>
      </c>
      <c r="F407">
        <v>160</v>
      </c>
      <c r="G407">
        <v>3.2</v>
      </c>
      <c r="H407">
        <v>2023</v>
      </c>
      <c r="I407" t="s">
        <v>1090</v>
      </c>
      <c r="J407" t="s">
        <v>1103</v>
      </c>
      <c r="K407">
        <v>3</v>
      </c>
      <c r="L407">
        <v>4</v>
      </c>
      <c r="M407">
        <v>160</v>
      </c>
    </row>
    <row r="408" spans="1:13" x14ac:dyDescent="0.25">
      <c r="A408" t="s">
        <v>430</v>
      </c>
      <c r="B408" t="s">
        <v>12</v>
      </c>
      <c r="C408">
        <v>50</v>
      </c>
      <c r="D408" t="s">
        <v>11</v>
      </c>
      <c r="E408" s="46">
        <v>45039</v>
      </c>
      <c r="F408">
        <v>56</v>
      </c>
      <c r="G408">
        <v>4.7</v>
      </c>
      <c r="H408">
        <v>2023</v>
      </c>
      <c r="I408" t="s">
        <v>1090</v>
      </c>
      <c r="J408" t="s">
        <v>1099</v>
      </c>
      <c r="K408">
        <v>5</v>
      </c>
      <c r="L408">
        <v>3</v>
      </c>
      <c r="M408">
        <v>56</v>
      </c>
    </row>
    <row r="409" spans="1:13" x14ac:dyDescent="0.25">
      <c r="A409" t="s">
        <v>431</v>
      </c>
      <c r="B409" t="s">
        <v>15</v>
      </c>
      <c r="C409">
        <v>88</v>
      </c>
      <c r="D409" t="s">
        <v>6</v>
      </c>
      <c r="E409" s="46">
        <v>45039</v>
      </c>
      <c r="F409">
        <v>72</v>
      </c>
      <c r="G409">
        <v>4</v>
      </c>
      <c r="H409">
        <v>2023</v>
      </c>
      <c r="I409" t="s">
        <v>1090</v>
      </c>
      <c r="J409" t="s">
        <v>1099</v>
      </c>
      <c r="K409">
        <v>4</v>
      </c>
      <c r="L409">
        <v>3</v>
      </c>
      <c r="M409">
        <v>72</v>
      </c>
    </row>
    <row r="410" spans="1:13" x14ac:dyDescent="0.25">
      <c r="A410" t="s">
        <v>432</v>
      </c>
      <c r="B410" t="s">
        <v>12</v>
      </c>
      <c r="C410">
        <v>139</v>
      </c>
      <c r="D410" t="s">
        <v>9</v>
      </c>
      <c r="E410" s="46">
        <v>45040</v>
      </c>
      <c r="F410">
        <v>81</v>
      </c>
      <c r="G410">
        <v>4.8</v>
      </c>
      <c r="H410">
        <v>2023</v>
      </c>
      <c r="I410" t="s">
        <v>1091</v>
      </c>
      <c r="J410" t="s">
        <v>1103</v>
      </c>
      <c r="K410">
        <v>5</v>
      </c>
      <c r="L410">
        <v>4</v>
      </c>
      <c r="M410">
        <v>81</v>
      </c>
    </row>
    <row r="411" spans="1:13" x14ac:dyDescent="0.25">
      <c r="A411" t="s">
        <v>433</v>
      </c>
      <c r="B411" t="s">
        <v>21</v>
      </c>
      <c r="C411">
        <v>111</v>
      </c>
      <c r="D411" t="s">
        <v>11</v>
      </c>
      <c r="E411" s="46">
        <v>45040</v>
      </c>
      <c r="F411">
        <v>144</v>
      </c>
      <c r="G411">
        <v>3.9</v>
      </c>
      <c r="H411">
        <v>2023</v>
      </c>
      <c r="I411" t="s">
        <v>1091</v>
      </c>
      <c r="J411" t="s">
        <v>1099</v>
      </c>
      <c r="K411">
        <v>4</v>
      </c>
      <c r="L411">
        <v>3</v>
      </c>
      <c r="M411">
        <v>144</v>
      </c>
    </row>
    <row r="412" spans="1:13" x14ac:dyDescent="0.25">
      <c r="A412" t="s">
        <v>434</v>
      </c>
      <c r="B412" t="s">
        <v>23</v>
      </c>
      <c r="C412">
        <v>115</v>
      </c>
      <c r="D412" t="s">
        <v>9</v>
      </c>
      <c r="E412" s="46">
        <v>45040</v>
      </c>
      <c r="F412">
        <v>111</v>
      </c>
      <c r="G412">
        <v>4.3</v>
      </c>
      <c r="H412">
        <v>2023</v>
      </c>
      <c r="I412" t="s">
        <v>1091</v>
      </c>
      <c r="J412" t="s">
        <v>1099</v>
      </c>
      <c r="K412">
        <v>4</v>
      </c>
      <c r="L412">
        <v>3</v>
      </c>
      <c r="M412">
        <v>111</v>
      </c>
    </row>
    <row r="413" spans="1:13" x14ac:dyDescent="0.25">
      <c r="A413" t="s">
        <v>435</v>
      </c>
      <c r="B413" t="s">
        <v>5</v>
      </c>
      <c r="C413">
        <v>26</v>
      </c>
      <c r="D413" t="s">
        <v>13</v>
      </c>
      <c r="E413" s="46">
        <v>45040</v>
      </c>
      <c r="F413">
        <v>43</v>
      </c>
      <c r="G413">
        <v>4.2</v>
      </c>
      <c r="H413">
        <v>2023</v>
      </c>
      <c r="I413" t="s">
        <v>1091</v>
      </c>
      <c r="J413" t="s">
        <v>1100</v>
      </c>
      <c r="K413">
        <v>4</v>
      </c>
      <c r="L413">
        <v>2</v>
      </c>
      <c r="M413">
        <v>43</v>
      </c>
    </row>
    <row r="414" spans="1:13" x14ac:dyDescent="0.25">
      <c r="A414" t="s">
        <v>436</v>
      </c>
      <c r="B414" t="s">
        <v>18</v>
      </c>
      <c r="C414">
        <v>131</v>
      </c>
      <c r="D414" t="s">
        <v>6</v>
      </c>
      <c r="E414" s="46">
        <v>45040</v>
      </c>
      <c r="F414">
        <v>41</v>
      </c>
      <c r="G414">
        <v>4.9000000000000004</v>
      </c>
      <c r="H414">
        <v>2023</v>
      </c>
      <c r="I414" t="s">
        <v>1091</v>
      </c>
      <c r="J414" t="s">
        <v>1103</v>
      </c>
      <c r="K414">
        <v>5</v>
      </c>
      <c r="L414">
        <v>4</v>
      </c>
      <c r="M414">
        <v>41</v>
      </c>
    </row>
    <row r="415" spans="1:13" x14ac:dyDescent="0.25">
      <c r="A415" t="s">
        <v>437</v>
      </c>
      <c r="B415" t="s">
        <v>23</v>
      </c>
      <c r="C415">
        <v>27</v>
      </c>
      <c r="D415" t="s">
        <v>6</v>
      </c>
      <c r="E415" s="46">
        <v>45040</v>
      </c>
      <c r="F415">
        <v>74</v>
      </c>
      <c r="G415">
        <v>4</v>
      </c>
      <c r="H415">
        <v>2023</v>
      </c>
      <c r="I415" t="s">
        <v>1091</v>
      </c>
      <c r="J415" t="s">
        <v>1100</v>
      </c>
      <c r="K415">
        <v>4</v>
      </c>
      <c r="L415">
        <v>2</v>
      </c>
      <c r="M415">
        <v>74</v>
      </c>
    </row>
    <row r="416" spans="1:13" x14ac:dyDescent="0.25">
      <c r="A416" t="s">
        <v>438</v>
      </c>
      <c r="B416" t="s">
        <v>16</v>
      </c>
      <c r="C416">
        <v>75</v>
      </c>
      <c r="D416" t="s">
        <v>11</v>
      </c>
      <c r="E416" s="46">
        <v>45040</v>
      </c>
      <c r="F416">
        <v>43</v>
      </c>
      <c r="G416">
        <v>4.9000000000000004</v>
      </c>
      <c r="H416">
        <v>2023</v>
      </c>
      <c r="I416" t="s">
        <v>1091</v>
      </c>
      <c r="J416" t="s">
        <v>1099</v>
      </c>
      <c r="K416">
        <v>5</v>
      </c>
      <c r="L416">
        <v>3</v>
      </c>
      <c r="M416">
        <v>43</v>
      </c>
    </row>
    <row r="417" spans="1:13" x14ac:dyDescent="0.25">
      <c r="A417" t="s">
        <v>439</v>
      </c>
      <c r="B417" t="s">
        <v>7</v>
      </c>
      <c r="C417">
        <v>123</v>
      </c>
      <c r="D417" t="s">
        <v>6</v>
      </c>
      <c r="E417" s="46">
        <v>45040</v>
      </c>
      <c r="F417">
        <v>128</v>
      </c>
      <c r="G417">
        <v>3.6</v>
      </c>
      <c r="H417">
        <v>2023</v>
      </c>
      <c r="I417" t="s">
        <v>1091</v>
      </c>
      <c r="J417" t="s">
        <v>1103</v>
      </c>
      <c r="K417">
        <v>4</v>
      </c>
      <c r="L417">
        <v>4</v>
      </c>
      <c r="M417">
        <v>128</v>
      </c>
    </row>
    <row r="418" spans="1:13" x14ac:dyDescent="0.25">
      <c r="A418" t="s">
        <v>440</v>
      </c>
      <c r="B418" t="s">
        <v>20</v>
      </c>
      <c r="C418">
        <v>129</v>
      </c>
      <c r="D418" t="s">
        <v>6</v>
      </c>
      <c r="E418" s="46">
        <v>45041</v>
      </c>
      <c r="F418">
        <v>144</v>
      </c>
      <c r="G418">
        <v>4.0999999999999996</v>
      </c>
      <c r="H418">
        <v>2023</v>
      </c>
      <c r="I418" t="s">
        <v>1092</v>
      </c>
      <c r="J418" t="s">
        <v>1103</v>
      </c>
      <c r="K418">
        <v>4</v>
      </c>
      <c r="L418">
        <v>4</v>
      </c>
      <c r="M418">
        <v>144</v>
      </c>
    </row>
    <row r="419" spans="1:13" x14ac:dyDescent="0.25">
      <c r="A419" t="s">
        <v>441</v>
      </c>
      <c r="B419" t="s">
        <v>16</v>
      </c>
      <c r="C419">
        <v>124</v>
      </c>
      <c r="D419" t="s">
        <v>9</v>
      </c>
      <c r="E419" s="46">
        <v>45041</v>
      </c>
      <c r="F419">
        <v>132</v>
      </c>
      <c r="G419">
        <v>4.9000000000000004</v>
      </c>
      <c r="H419">
        <v>2023</v>
      </c>
      <c r="I419" t="s">
        <v>1092</v>
      </c>
      <c r="J419" t="s">
        <v>1103</v>
      </c>
      <c r="K419">
        <v>5</v>
      </c>
      <c r="L419">
        <v>4</v>
      </c>
      <c r="M419">
        <v>132</v>
      </c>
    </row>
    <row r="420" spans="1:13" x14ac:dyDescent="0.25">
      <c r="A420" t="s">
        <v>442</v>
      </c>
      <c r="B420" t="s">
        <v>23</v>
      </c>
      <c r="C420">
        <v>108</v>
      </c>
      <c r="D420" t="s">
        <v>9</v>
      </c>
      <c r="E420" s="46">
        <v>45041</v>
      </c>
      <c r="F420">
        <v>180</v>
      </c>
      <c r="G420">
        <v>3.9</v>
      </c>
      <c r="H420">
        <v>2023</v>
      </c>
      <c r="I420" t="s">
        <v>1092</v>
      </c>
      <c r="J420" t="s">
        <v>1099</v>
      </c>
      <c r="K420">
        <v>4</v>
      </c>
      <c r="L420">
        <v>3</v>
      </c>
      <c r="M420">
        <v>180</v>
      </c>
    </row>
    <row r="421" spans="1:13" x14ac:dyDescent="0.25">
      <c r="A421" t="s">
        <v>443</v>
      </c>
      <c r="B421" t="s">
        <v>8</v>
      </c>
      <c r="C421">
        <v>15</v>
      </c>
      <c r="D421" t="s">
        <v>9</v>
      </c>
      <c r="E421" s="46">
        <v>45041</v>
      </c>
      <c r="F421">
        <v>31</v>
      </c>
      <c r="G421">
        <v>4.0999999999999996</v>
      </c>
      <c r="H421">
        <v>2023</v>
      </c>
      <c r="I421" t="s">
        <v>1092</v>
      </c>
      <c r="J421" t="s">
        <v>1100</v>
      </c>
      <c r="K421">
        <v>4</v>
      </c>
      <c r="L421">
        <v>2</v>
      </c>
      <c r="M421">
        <v>31</v>
      </c>
    </row>
    <row r="422" spans="1:13" x14ac:dyDescent="0.25">
      <c r="A422" t="s">
        <v>444</v>
      </c>
      <c r="B422" t="s">
        <v>23</v>
      </c>
      <c r="C422">
        <v>66</v>
      </c>
      <c r="D422" t="s">
        <v>9</v>
      </c>
      <c r="E422" s="46">
        <v>45041</v>
      </c>
      <c r="F422">
        <v>102</v>
      </c>
      <c r="G422">
        <v>3.8</v>
      </c>
      <c r="H422">
        <v>2023</v>
      </c>
      <c r="I422" t="s">
        <v>1092</v>
      </c>
      <c r="J422" t="s">
        <v>1099</v>
      </c>
      <c r="K422">
        <v>4</v>
      </c>
      <c r="L422">
        <v>3</v>
      </c>
      <c r="M422">
        <v>102</v>
      </c>
    </row>
    <row r="423" spans="1:13" x14ac:dyDescent="0.25">
      <c r="A423" t="s">
        <v>445</v>
      </c>
      <c r="B423" t="s">
        <v>15</v>
      </c>
      <c r="C423">
        <v>126</v>
      </c>
      <c r="D423" t="s">
        <v>11</v>
      </c>
      <c r="E423" s="46">
        <v>45042</v>
      </c>
      <c r="F423">
        <v>175</v>
      </c>
      <c r="G423">
        <v>4.8</v>
      </c>
      <c r="H423">
        <v>2023</v>
      </c>
      <c r="I423" t="s">
        <v>1093</v>
      </c>
      <c r="J423" t="s">
        <v>1103</v>
      </c>
      <c r="K423">
        <v>5</v>
      </c>
      <c r="L423">
        <v>4</v>
      </c>
      <c r="M423">
        <v>175</v>
      </c>
    </row>
    <row r="424" spans="1:13" x14ac:dyDescent="0.25">
      <c r="A424" t="s">
        <v>446</v>
      </c>
      <c r="B424" t="s">
        <v>16</v>
      </c>
      <c r="C424">
        <v>26</v>
      </c>
      <c r="D424" t="s">
        <v>10</v>
      </c>
      <c r="E424" s="46">
        <v>45042</v>
      </c>
      <c r="F424">
        <v>87</v>
      </c>
      <c r="G424">
        <v>4.7</v>
      </c>
      <c r="H424">
        <v>2023</v>
      </c>
      <c r="I424" t="s">
        <v>1093</v>
      </c>
      <c r="J424" t="s">
        <v>1100</v>
      </c>
      <c r="K424">
        <v>5</v>
      </c>
      <c r="L424">
        <v>2</v>
      </c>
      <c r="M424">
        <v>87</v>
      </c>
    </row>
    <row r="425" spans="1:13" x14ac:dyDescent="0.25">
      <c r="A425" t="s">
        <v>447</v>
      </c>
      <c r="B425" t="s">
        <v>24</v>
      </c>
      <c r="C425">
        <v>105</v>
      </c>
      <c r="D425" t="s">
        <v>11</v>
      </c>
      <c r="E425" s="46">
        <v>45042</v>
      </c>
      <c r="F425">
        <v>66</v>
      </c>
      <c r="G425">
        <v>4.2</v>
      </c>
      <c r="H425">
        <v>2023</v>
      </c>
      <c r="I425" t="s">
        <v>1093</v>
      </c>
      <c r="J425" t="s">
        <v>1099</v>
      </c>
      <c r="K425">
        <v>4</v>
      </c>
      <c r="L425">
        <v>3</v>
      </c>
      <c r="M425">
        <v>66</v>
      </c>
    </row>
    <row r="426" spans="1:13" x14ac:dyDescent="0.25">
      <c r="A426" t="s">
        <v>448</v>
      </c>
      <c r="B426" t="s">
        <v>24</v>
      </c>
      <c r="C426">
        <v>31</v>
      </c>
      <c r="D426" t="s">
        <v>11</v>
      </c>
      <c r="E426" s="46">
        <v>45042</v>
      </c>
      <c r="F426">
        <v>25</v>
      </c>
      <c r="G426">
        <v>3.2</v>
      </c>
      <c r="H426">
        <v>2023</v>
      </c>
      <c r="I426" t="s">
        <v>1093</v>
      </c>
      <c r="J426" t="s">
        <v>1099</v>
      </c>
      <c r="K426">
        <v>3</v>
      </c>
      <c r="L426">
        <v>3</v>
      </c>
      <c r="M426">
        <v>25</v>
      </c>
    </row>
    <row r="427" spans="1:13" x14ac:dyDescent="0.25">
      <c r="A427" t="s">
        <v>449</v>
      </c>
      <c r="B427" t="s">
        <v>23</v>
      </c>
      <c r="C427">
        <v>109</v>
      </c>
      <c r="D427" t="s">
        <v>9</v>
      </c>
      <c r="E427" s="46">
        <v>45042</v>
      </c>
      <c r="F427">
        <v>126</v>
      </c>
      <c r="G427">
        <v>3.4</v>
      </c>
      <c r="H427">
        <v>2023</v>
      </c>
      <c r="I427" t="s">
        <v>1093</v>
      </c>
      <c r="J427" t="s">
        <v>1099</v>
      </c>
      <c r="K427">
        <v>3</v>
      </c>
      <c r="L427">
        <v>3</v>
      </c>
      <c r="M427">
        <v>126</v>
      </c>
    </row>
    <row r="428" spans="1:13" x14ac:dyDescent="0.25">
      <c r="A428" t="s">
        <v>450</v>
      </c>
      <c r="B428" t="s">
        <v>20</v>
      </c>
      <c r="C428">
        <v>113</v>
      </c>
      <c r="D428" t="s">
        <v>13</v>
      </c>
      <c r="E428" s="46">
        <v>45043</v>
      </c>
      <c r="F428">
        <v>42</v>
      </c>
      <c r="G428">
        <v>4.5999999999999996</v>
      </c>
      <c r="H428">
        <v>2023</v>
      </c>
      <c r="I428" t="s">
        <v>1094</v>
      </c>
      <c r="J428" t="s">
        <v>1099</v>
      </c>
      <c r="K428">
        <v>5</v>
      </c>
      <c r="L428">
        <v>3</v>
      </c>
      <c r="M428">
        <v>42</v>
      </c>
    </row>
    <row r="429" spans="1:13" x14ac:dyDescent="0.25">
      <c r="A429" t="s">
        <v>451</v>
      </c>
      <c r="B429" t="s">
        <v>15</v>
      </c>
      <c r="C429">
        <v>101</v>
      </c>
      <c r="D429" t="s">
        <v>10</v>
      </c>
      <c r="E429" s="46">
        <v>45043</v>
      </c>
      <c r="F429">
        <v>225</v>
      </c>
      <c r="G429">
        <v>1.9</v>
      </c>
      <c r="H429">
        <v>2023</v>
      </c>
      <c r="I429" t="s">
        <v>1094</v>
      </c>
      <c r="J429" t="s">
        <v>1099</v>
      </c>
      <c r="K429">
        <v>2</v>
      </c>
      <c r="L429">
        <v>3</v>
      </c>
      <c r="M429">
        <v>225</v>
      </c>
    </row>
    <row r="430" spans="1:13" x14ac:dyDescent="0.25">
      <c r="A430" t="s">
        <v>452</v>
      </c>
      <c r="B430" t="s">
        <v>21</v>
      </c>
      <c r="C430">
        <v>156</v>
      </c>
      <c r="D430" t="s">
        <v>10</v>
      </c>
      <c r="E430" s="46">
        <v>45043</v>
      </c>
      <c r="F430">
        <v>42</v>
      </c>
      <c r="G430">
        <v>3.3</v>
      </c>
      <c r="H430">
        <v>2023</v>
      </c>
      <c r="I430" t="s">
        <v>1094</v>
      </c>
      <c r="J430" t="s">
        <v>1103</v>
      </c>
      <c r="K430">
        <v>3</v>
      </c>
      <c r="L430">
        <v>4</v>
      </c>
      <c r="M430">
        <v>42</v>
      </c>
    </row>
    <row r="431" spans="1:13" x14ac:dyDescent="0.25">
      <c r="A431" t="s">
        <v>453</v>
      </c>
      <c r="B431" t="s">
        <v>23</v>
      </c>
      <c r="C431">
        <v>145</v>
      </c>
      <c r="D431" t="s">
        <v>13</v>
      </c>
      <c r="E431" s="46">
        <v>45044</v>
      </c>
      <c r="F431">
        <v>110</v>
      </c>
      <c r="G431">
        <v>3.1</v>
      </c>
      <c r="H431">
        <v>2023</v>
      </c>
      <c r="I431" t="s">
        <v>1095</v>
      </c>
      <c r="J431" t="s">
        <v>1103</v>
      </c>
      <c r="K431">
        <v>3</v>
      </c>
      <c r="L431">
        <v>4</v>
      </c>
      <c r="M431">
        <v>110</v>
      </c>
    </row>
    <row r="432" spans="1:13" x14ac:dyDescent="0.25">
      <c r="A432" t="s">
        <v>454</v>
      </c>
      <c r="B432" t="s">
        <v>7</v>
      </c>
      <c r="C432">
        <v>36</v>
      </c>
      <c r="D432" t="s">
        <v>9</v>
      </c>
      <c r="E432" s="46">
        <v>45044</v>
      </c>
      <c r="F432">
        <v>225</v>
      </c>
      <c r="G432">
        <v>4.8</v>
      </c>
      <c r="H432">
        <v>2023</v>
      </c>
      <c r="I432" t="s">
        <v>1095</v>
      </c>
      <c r="J432" t="s">
        <v>1099</v>
      </c>
      <c r="K432">
        <v>5</v>
      </c>
      <c r="L432">
        <v>3</v>
      </c>
      <c r="M432">
        <v>225</v>
      </c>
    </row>
    <row r="433" spans="1:13" x14ac:dyDescent="0.25">
      <c r="A433" t="s">
        <v>455</v>
      </c>
      <c r="B433" t="s">
        <v>24</v>
      </c>
      <c r="C433">
        <v>135</v>
      </c>
      <c r="D433" t="s">
        <v>6</v>
      </c>
      <c r="E433" s="46">
        <v>45045</v>
      </c>
      <c r="F433">
        <v>125</v>
      </c>
      <c r="G433">
        <v>3.3</v>
      </c>
      <c r="H433">
        <v>2023</v>
      </c>
      <c r="I433" t="s">
        <v>1096</v>
      </c>
      <c r="J433" t="s">
        <v>1103</v>
      </c>
      <c r="K433">
        <v>3</v>
      </c>
      <c r="L433">
        <v>4</v>
      </c>
      <c r="M433">
        <v>125</v>
      </c>
    </row>
    <row r="434" spans="1:13" x14ac:dyDescent="0.25">
      <c r="A434" t="s">
        <v>456</v>
      </c>
      <c r="B434" t="s">
        <v>15</v>
      </c>
      <c r="C434">
        <v>81</v>
      </c>
      <c r="D434" t="s">
        <v>9</v>
      </c>
      <c r="E434" s="46">
        <v>45045</v>
      </c>
      <c r="F434">
        <v>78</v>
      </c>
      <c r="G434">
        <v>2.9</v>
      </c>
      <c r="H434">
        <v>2023</v>
      </c>
      <c r="I434" t="s">
        <v>1096</v>
      </c>
      <c r="J434" t="s">
        <v>1099</v>
      </c>
      <c r="K434">
        <v>3</v>
      </c>
      <c r="L434">
        <v>3</v>
      </c>
      <c r="M434">
        <v>78</v>
      </c>
    </row>
    <row r="435" spans="1:13" x14ac:dyDescent="0.25">
      <c r="A435" t="s">
        <v>457</v>
      </c>
      <c r="B435" t="s">
        <v>15</v>
      </c>
      <c r="C435">
        <v>81</v>
      </c>
      <c r="D435" t="s">
        <v>13</v>
      </c>
      <c r="E435" s="46">
        <v>45045</v>
      </c>
      <c r="F435">
        <v>40</v>
      </c>
      <c r="G435">
        <v>2.4</v>
      </c>
      <c r="H435">
        <v>2023</v>
      </c>
      <c r="I435" t="s">
        <v>1096</v>
      </c>
      <c r="J435" t="s">
        <v>1099</v>
      </c>
      <c r="K435">
        <v>2</v>
      </c>
      <c r="L435">
        <v>3</v>
      </c>
      <c r="M435">
        <v>40</v>
      </c>
    </row>
    <row r="436" spans="1:13" x14ac:dyDescent="0.25">
      <c r="A436" t="s">
        <v>458</v>
      </c>
      <c r="B436" t="s">
        <v>22</v>
      </c>
      <c r="C436">
        <v>93</v>
      </c>
      <c r="D436" t="s">
        <v>11</v>
      </c>
      <c r="E436" s="46">
        <v>45045</v>
      </c>
      <c r="F436">
        <v>150</v>
      </c>
      <c r="G436">
        <v>4.5999999999999996</v>
      </c>
      <c r="H436">
        <v>2023</v>
      </c>
      <c r="I436" t="s">
        <v>1096</v>
      </c>
      <c r="J436" t="s">
        <v>1099</v>
      </c>
      <c r="K436">
        <v>5</v>
      </c>
      <c r="L436">
        <v>3</v>
      </c>
      <c r="M436">
        <v>150</v>
      </c>
    </row>
    <row r="437" spans="1:13" x14ac:dyDescent="0.25">
      <c r="A437" t="s">
        <v>459</v>
      </c>
      <c r="B437" t="s">
        <v>23</v>
      </c>
      <c r="C437">
        <v>14</v>
      </c>
      <c r="D437" t="s">
        <v>9</v>
      </c>
      <c r="E437" s="46">
        <v>45045</v>
      </c>
      <c r="F437">
        <v>96</v>
      </c>
      <c r="G437">
        <v>4.8</v>
      </c>
      <c r="H437">
        <v>2023</v>
      </c>
      <c r="I437" t="s">
        <v>1096</v>
      </c>
      <c r="J437" t="s">
        <v>1100</v>
      </c>
      <c r="K437">
        <v>5</v>
      </c>
      <c r="L437">
        <v>2</v>
      </c>
      <c r="M437">
        <v>96</v>
      </c>
    </row>
    <row r="438" spans="1:13" x14ac:dyDescent="0.25">
      <c r="A438" t="s">
        <v>460</v>
      </c>
      <c r="B438" t="s">
        <v>24</v>
      </c>
      <c r="C438">
        <v>95</v>
      </c>
      <c r="D438" t="s">
        <v>13</v>
      </c>
      <c r="E438" s="46">
        <v>45046</v>
      </c>
      <c r="F438">
        <v>75</v>
      </c>
      <c r="G438">
        <v>4.8</v>
      </c>
      <c r="H438">
        <v>2023</v>
      </c>
      <c r="I438" t="s">
        <v>1090</v>
      </c>
      <c r="J438" t="s">
        <v>1099</v>
      </c>
      <c r="K438">
        <v>5</v>
      </c>
      <c r="L438">
        <v>3</v>
      </c>
      <c r="M438">
        <v>75</v>
      </c>
    </row>
    <row r="439" spans="1:13" x14ac:dyDescent="0.25">
      <c r="A439" t="s">
        <v>461</v>
      </c>
      <c r="B439" t="s">
        <v>22</v>
      </c>
      <c r="C439">
        <v>81</v>
      </c>
      <c r="D439" t="s">
        <v>13</v>
      </c>
      <c r="E439" s="46">
        <v>45046</v>
      </c>
      <c r="F439">
        <v>60</v>
      </c>
      <c r="G439">
        <v>3.6</v>
      </c>
      <c r="H439">
        <v>2023</v>
      </c>
      <c r="I439" t="s">
        <v>1090</v>
      </c>
      <c r="J439" t="s">
        <v>1099</v>
      </c>
      <c r="K439">
        <v>4</v>
      </c>
      <c r="L439">
        <v>3</v>
      </c>
      <c r="M439">
        <v>60</v>
      </c>
    </row>
    <row r="440" spans="1:13" x14ac:dyDescent="0.25">
      <c r="A440" t="s">
        <v>462</v>
      </c>
      <c r="B440" t="s">
        <v>5</v>
      </c>
      <c r="C440">
        <v>60</v>
      </c>
      <c r="D440" t="s">
        <v>9</v>
      </c>
      <c r="E440" s="46">
        <v>45047</v>
      </c>
      <c r="F440">
        <v>41</v>
      </c>
      <c r="G440">
        <v>4.8</v>
      </c>
      <c r="H440">
        <v>2023</v>
      </c>
      <c r="I440" t="s">
        <v>1091</v>
      </c>
      <c r="J440" t="s">
        <v>1099</v>
      </c>
      <c r="K440">
        <v>5</v>
      </c>
      <c r="L440">
        <v>3</v>
      </c>
      <c r="M440">
        <v>41</v>
      </c>
    </row>
    <row r="441" spans="1:13" x14ac:dyDescent="0.25">
      <c r="A441" t="s">
        <v>463</v>
      </c>
      <c r="B441" t="s">
        <v>14</v>
      </c>
      <c r="C441">
        <v>137</v>
      </c>
      <c r="D441" t="s">
        <v>11</v>
      </c>
      <c r="E441" s="46">
        <v>45047</v>
      </c>
      <c r="F441">
        <v>20</v>
      </c>
      <c r="G441">
        <v>4.2</v>
      </c>
      <c r="H441">
        <v>2023</v>
      </c>
      <c r="I441" t="s">
        <v>1091</v>
      </c>
      <c r="J441" t="s">
        <v>1103</v>
      </c>
      <c r="K441">
        <v>4</v>
      </c>
      <c r="L441">
        <v>4</v>
      </c>
      <c r="M441">
        <v>20</v>
      </c>
    </row>
    <row r="442" spans="1:13" x14ac:dyDescent="0.25">
      <c r="A442" t="s">
        <v>464</v>
      </c>
      <c r="B442" t="s">
        <v>12</v>
      </c>
      <c r="C442">
        <v>112</v>
      </c>
      <c r="D442" t="s">
        <v>6</v>
      </c>
      <c r="E442" s="46">
        <v>45047</v>
      </c>
      <c r="F442">
        <v>84</v>
      </c>
      <c r="G442">
        <v>2.6</v>
      </c>
      <c r="H442">
        <v>2023</v>
      </c>
      <c r="I442" t="s">
        <v>1091</v>
      </c>
      <c r="J442" t="s">
        <v>1099</v>
      </c>
      <c r="K442">
        <v>3</v>
      </c>
      <c r="L442">
        <v>3</v>
      </c>
      <c r="M442">
        <v>84</v>
      </c>
    </row>
    <row r="443" spans="1:13" x14ac:dyDescent="0.25">
      <c r="A443" t="s">
        <v>465</v>
      </c>
      <c r="B443" t="s">
        <v>24</v>
      </c>
      <c r="C443">
        <v>76</v>
      </c>
      <c r="D443" t="s">
        <v>10</v>
      </c>
      <c r="E443" s="46">
        <v>45047</v>
      </c>
      <c r="F443">
        <v>140</v>
      </c>
      <c r="G443">
        <v>3.7</v>
      </c>
      <c r="H443">
        <v>2023</v>
      </c>
      <c r="I443" t="s">
        <v>1091</v>
      </c>
      <c r="J443" t="s">
        <v>1099</v>
      </c>
      <c r="K443">
        <v>4</v>
      </c>
      <c r="L443">
        <v>3</v>
      </c>
      <c r="M443">
        <v>140</v>
      </c>
    </row>
    <row r="444" spans="1:13" x14ac:dyDescent="0.25">
      <c r="A444" t="s">
        <v>466</v>
      </c>
      <c r="B444" t="s">
        <v>19</v>
      </c>
      <c r="C444">
        <v>73</v>
      </c>
      <c r="D444" t="s">
        <v>9</v>
      </c>
      <c r="E444" s="46">
        <v>45047</v>
      </c>
      <c r="F444">
        <v>66</v>
      </c>
      <c r="G444">
        <v>4.8</v>
      </c>
      <c r="H444">
        <v>2023</v>
      </c>
      <c r="I444" t="s">
        <v>1091</v>
      </c>
      <c r="J444" t="s">
        <v>1099</v>
      </c>
      <c r="K444">
        <v>5</v>
      </c>
      <c r="L444">
        <v>3</v>
      </c>
      <c r="M444">
        <v>66</v>
      </c>
    </row>
    <row r="445" spans="1:13" x14ac:dyDescent="0.25">
      <c r="A445" t="s">
        <v>467</v>
      </c>
      <c r="B445" t="s">
        <v>18</v>
      </c>
      <c r="C445">
        <v>119</v>
      </c>
      <c r="D445" t="s">
        <v>11</v>
      </c>
      <c r="E445" s="46">
        <v>45047</v>
      </c>
      <c r="F445">
        <v>105</v>
      </c>
      <c r="G445">
        <v>4.7</v>
      </c>
      <c r="H445">
        <v>2023</v>
      </c>
      <c r="I445" t="s">
        <v>1091</v>
      </c>
      <c r="J445" t="s">
        <v>1099</v>
      </c>
      <c r="K445">
        <v>5</v>
      </c>
      <c r="L445">
        <v>3</v>
      </c>
      <c r="M445">
        <v>105</v>
      </c>
    </row>
    <row r="446" spans="1:13" x14ac:dyDescent="0.25">
      <c r="A446" t="s">
        <v>468</v>
      </c>
      <c r="B446" t="s">
        <v>20</v>
      </c>
      <c r="C446">
        <v>135</v>
      </c>
      <c r="D446" t="s">
        <v>13</v>
      </c>
      <c r="E446" s="46">
        <v>45048</v>
      </c>
      <c r="F446">
        <v>104</v>
      </c>
      <c r="G446">
        <v>4.0999999999999996</v>
      </c>
      <c r="H446">
        <v>2023</v>
      </c>
      <c r="I446" t="s">
        <v>1092</v>
      </c>
      <c r="J446" t="s">
        <v>1103</v>
      </c>
      <c r="K446">
        <v>4</v>
      </c>
      <c r="L446">
        <v>4</v>
      </c>
      <c r="M446">
        <v>104</v>
      </c>
    </row>
    <row r="447" spans="1:13" x14ac:dyDescent="0.25">
      <c r="A447" t="s">
        <v>469</v>
      </c>
      <c r="B447" t="s">
        <v>14</v>
      </c>
      <c r="C447">
        <v>41</v>
      </c>
      <c r="D447" t="s">
        <v>6</v>
      </c>
      <c r="E447" s="46">
        <v>45048</v>
      </c>
      <c r="F447">
        <v>123</v>
      </c>
      <c r="G447">
        <v>3.2</v>
      </c>
      <c r="H447">
        <v>2023</v>
      </c>
      <c r="I447" t="s">
        <v>1092</v>
      </c>
      <c r="J447" t="s">
        <v>1099</v>
      </c>
      <c r="K447">
        <v>3</v>
      </c>
      <c r="L447">
        <v>3</v>
      </c>
      <c r="M447">
        <v>123</v>
      </c>
    </row>
    <row r="448" spans="1:13" x14ac:dyDescent="0.25">
      <c r="A448" t="s">
        <v>470</v>
      </c>
      <c r="B448" t="s">
        <v>23</v>
      </c>
      <c r="C448">
        <v>35</v>
      </c>
      <c r="D448" t="s">
        <v>13</v>
      </c>
      <c r="E448" s="46">
        <v>45049</v>
      </c>
      <c r="F448">
        <v>215</v>
      </c>
      <c r="G448">
        <v>4.3</v>
      </c>
      <c r="H448">
        <v>2023</v>
      </c>
      <c r="I448" t="s">
        <v>1093</v>
      </c>
      <c r="J448" t="s">
        <v>1099</v>
      </c>
      <c r="K448">
        <v>4</v>
      </c>
      <c r="L448">
        <v>3</v>
      </c>
      <c r="M448">
        <v>215</v>
      </c>
    </row>
    <row r="449" spans="1:13" x14ac:dyDescent="0.25">
      <c r="A449" t="s">
        <v>471</v>
      </c>
      <c r="B449" t="s">
        <v>20</v>
      </c>
      <c r="C449">
        <v>96</v>
      </c>
      <c r="D449" t="s">
        <v>9</v>
      </c>
      <c r="E449" s="46">
        <v>45049</v>
      </c>
      <c r="F449">
        <v>46</v>
      </c>
      <c r="G449">
        <v>0.7</v>
      </c>
      <c r="H449">
        <v>2023</v>
      </c>
      <c r="I449" t="s">
        <v>1093</v>
      </c>
      <c r="J449" t="s">
        <v>1099</v>
      </c>
      <c r="K449">
        <v>1</v>
      </c>
      <c r="L449">
        <v>3</v>
      </c>
      <c r="M449">
        <v>46</v>
      </c>
    </row>
    <row r="450" spans="1:13" x14ac:dyDescent="0.25">
      <c r="A450" t="s">
        <v>472</v>
      </c>
      <c r="B450" t="s">
        <v>22</v>
      </c>
      <c r="C450">
        <v>61</v>
      </c>
      <c r="D450" t="s">
        <v>6</v>
      </c>
      <c r="E450" s="46">
        <v>45049</v>
      </c>
      <c r="F450">
        <v>115</v>
      </c>
      <c r="G450">
        <v>3.7</v>
      </c>
      <c r="H450">
        <v>2023</v>
      </c>
      <c r="I450" t="s">
        <v>1093</v>
      </c>
      <c r="J450" t="s">
        <v>1099</v>
      </c>
      <c r="K450">
        <v>4</v>
      </c>
      <c r="L450">
        <v>3</v>
      </c>
      <c r="M450">
        <v>115</v>
      </c>
    </row>
    <row r="451" spans="1:13" x14ac:dyDescent="0.25">
      <c r="A451" t="s">
        <v>473</v>
      </c>
      <c r="B451" t="s">
        <v>20</v>
      </c>
      <c r="C451">
        <v>91</v>
      </c>
      <c r="D451" t="s">
        <v>6</v>
      </c>
      <c r="E451" s="46">
        <v>45049</v>
      </c>
      <c r="F451">
        <v>124</v>
      </c>
      <c r="G451">
        <v>3.9</v>
      </c>
      <c r="H451">
        <v>2023</v>
      </c>
      <c r="I451" t="s">
        <v>1093</v>
      </c>
      <c r="J451" t="s">
        <v>1099</v>
      </c>
      <c r="K451">
        <v>4</v>
      </c>
      <c r="L451">
        <v>3</v>
      </c>
      <c r="M451">
        <v>124</v>
      </c>
    </row>
    <row r="452" spans="1:13" x14ac:dyDescent="0.25">
      <c r="A452" t="s">
        <v>474</v>
      </c>
      <c r="B452" t="s">
        <v>17</v>
      </c>
      <c r="C452">
        <v>30</v>
      </c>
      <c r="D452" t="s">
        <v>6</v>
      </c>
      <c r="E452" s="46">
        <v>45050</v>
      </c>
      <c r="F452">
        <v>205</v>
      </c>
      <c r="G452">
        <v>4.5</v>
      </c>
      <c r="H452">
        <v>2023</v>
      </c>
      <c r="I452" t="s">
        <v>1094</v>
      </c>
      <c r="J452" t="s">
        <v>1100</v>
      </c>
      <c r="K452">
        <v>5</v>
      </c>
      <c r="L452">
        <v>2</v>
      </c>
      <c r="M452">
        <v>205</v>
      </c>
    </row>
    <row r="453" spans="1:13" x14ac:dyDescent="0.25">
      <c r="A453" t="s">
        <v>475</v>
      </c>
      <c r="B453" t="s">
        <v>5</v>
      </c>
      <c r="C453">
        <v>111</v>
      </c>
      <c r="D453" t="s">
        <v>11</v>
      </c>
      <c r="E453" s="46">
        <v>45050</v>
      </c>
      <c r="F453">
        <v>90</v>
      </c>
      <c r="G453">
        <v>2.8</v>
      </c>
      <c r="H453">
        <v>2023</v>
      </c>
      <c r="I453" t="s">
        <v>1094</v>
      </c>
      <c r="J453" t="s">
        <v>1099</v>
      </c>
      <c r="K453">
        <v>3</v>
      </c>
      <c r="L453">
        <v>3</v>
      </c>
      <c r="M453">
        <v>90</v>
      </c>
    </row>
    <row r="454" spans="1:13" x14ac:dyDescent="0.25">
      <c r="A454" t="s">
        <v>476</v>
      </c>
      <c r="B454" t="s">
        <v>22</v>
      </c>
      <c r="C454">
        <v>81</v>
      </c>
      <c r="D454" t="s">
        <v>9</v>
      </c>
      <c r="E454" s="46">
        <v>45050</v>
      </c>
      <c r="F454">
        <v>92</v>
      </c>
      <c r="G454">
        <v>4.9000000000000004</v>
      </c>
      <c r="H454">
        <v>2023</v>
      </c>
      <c r="I454" t="s">
        <v>1094</v>
      </c>
      <c r="J454" t="s">
        <v>1099</v>
      </c>
      <c r="K454">
        <v>5</v>
      </c>
      <c r="L454">
        <v>3</v>
      </c>
      <c r="M454">
        <v>92</v>
      </c>
    </row>
    <row r="455" spans="1:13" x14ac:dyDescent="0.25">
      <c r="A455" t="s">
        <v>477</v>
      </c>
      <c r="B455" t="s">
        <v>24</v>
      </c>
      <c r="C455">
        <v>40</v>
      </c>
      <c r="D455" t="s">
        <v>13</v>
      </c>
      <c r="E455" s="46">
        <v>45052</v>
      </c>
      <c r="F455">
        <v>108</v>
      </c>
      <c r="G455">
        <v>4.2</v>
      </c>
      <c r="H455">
        <v>2023</v>
      </c>
      <c r="I455" t="s">
        <v>1096</v>
      </c>
      <c r="J455" t="s">
        <v>1099</v>
      </c>
      <c r="K455">
        <v>4</v>
      </c>
      <c r="L455">
        <v>3</v>
      </c>
      <c r="M455">
        <v>108</v>
      </c>
    </row>
    <row r="456" spans="1:13" x14ac:dyDescent="0.25">
      <c r="A456" t="s">
        <v>478</v>
      </c>
      <c r="B456" t="s">
        <v>5</v>
      </c>
      <c r="C456">
        <v>143</v>
      </c>
      <c r="D456" t="s">
        <v>13</v>
      </c>
      <c r="E456" s="46">
        <v>45052</v>
      </c>
      <c r="F456">
        <v>54</v>
      </c>
      <c r="G456">
        <v>4.4000000000000004</v>
      </c>
      <c r="H456">
        <v>2023</v>
      </c>
      <c r="I456" t="s">
        <v>1096</v>
      </c>
      <c r="J456" t="s">
        <v>1103</v>
      </c>
      <c r="K456">
        <v>4</v>
      </c>
      <c r="L456">
        <v>4</v>
      </c>
      <c r="M456">
        <v>54</v>
      </c>
    </row>
    <row r="457" spans="1:13" x14ac:dyDescent="0.25">
      <c r="A457" t="s">
        <v>479</v>
      </c>
      <c r="B457" t="s">
        <v>24</v>
      </c>
      <c r="C457">
        <v>70</v>
      </c>
      <c r="D457" t="s">
        <v>13</v>
      </c>
      <c r="E457" s="46">
        <v>45053</v>
      </c>
      <c r="F457">
        <v>44</v>
      </c>
      <c r="G457">
        <v>3.5</v>
      </c>
      <c r="H457">
        <v>2023</v>
      </c>
      <c r="I457" t="s">
        <v>1090</v>
      </c>
      <c r="J457" t="s">
        <v>1099</v>
      </c>
      <c r="K457">
        <v>4</v>
      </c>
      <c r="L457">
        <v>3</v>
      </c>
      <c r="M457">
        <v>44</v>
      </c>
    </row>
    <row r="458" spans="1:13" x14ac:dyDescent="0.25">
      <c r="A458" t="s">
        <v>480</v>
      </c>
      <c r="B458" t="s">
        <v>19</v>
      </c>
      <c r="C458">
        <v>137</v>
      </c>
      <c r="D458" t="s">
        <v>13</v>
      </c>
      <c r="E458" s="46">
        <v>45053</v>
      </c>
      <c r="F458">
        <v>44</v>
      </c>
      <c r="G458">
        <v>4.7</v>
      </c>
      <c r="H458">
        <v>2023</v>
      </c>
      <c r="I458" t="s">
        <v>1090</v>
      </c>
      <c r="J458" t="s">
        <v>1103</v>
      </c>
      <c r="K458">
        <v>5</v>
      </c>
      <c r="L458">
        <v>4</v>
      </c>
      <c r="M458">
        <v>44</v>
      </c>
    </row>
    <row r="459" spans="1:13" x14ac:dyDescent="0.25">
      <c r="A459" t="s">
        <v>481</v>
      </c>
      <c r="B459" t="s">
        <v>20</v>
      </c>
      <c r="C459">
        <v>52</v>
      </c>
      <c r="D459" t="s">
        <v>9</v>
      </c>
      <c r="E459" s="46">
        <v>45054</v>
      </c>
      <c r="F459">
        <v>37</v>
      </c>
      <c r="G459">
        <v>4.9000000000000004</v>
      </c>
      <c r="H459">
        <v>2023</v>
      </c>
      <c r="I459" t="s">
        <v>1091</v>
      </c>
      <c r="J459" t="s">
        <v>1099</v>
      </c>
      <c r="K459">
        <v>5</v>
      </c>
      <c r="L459">
        <v>3</v>
      </c>
      <c r="M459">
        <v>37</v>
      </c>
    </row>
    <row r="460" spans="1:13" x14ac:dyDescent="0.25">
      <c r="A460" t="s">
        <v>482</v>
      </c>
      <c r="B460" t="s">
        <v>12</v>
      </c>
      <c r="C460">
        <v>31</v>
      </c>
      <c r="D460" t="s">
        <v>11</v>
      </c>
      <c r="E460" s="46">
        <v>45054</v>
      </c>
      <c r="F460">
        <v>180</v>
      </c>
      <c r="G460">
        <v>4.5</v>
      </c>
      <c r="H460">
        <v>2023</v>
      </c>
      <c r="I460" t="s">
        <v>1091</v>
      </c>
      <c r="J460" t="s">
        <v>1099</v>
      </c>
      <c r="K460">
        <v>5</v>
      </c>
      <c r="L460">
        <v>3</v>
      </c>
      <c r="M460">
        <v>180</v>
      </c>
    </row>
    <row r="461" spans="1:13" x14ac:dyDescent="0.25">
      <c r="A461" t="s">
        <v>483</v>
      </c>
      <c r="B461" t="s">
        <v>20</v>
      </c>
      <c r="C461">
        <v>114</v>
      </c>
      <c r="D461" t="s">
        <v>6</v>
      </c>
      <c r="E461" s="46">
        <v>45054</v>
      </c>
      <c r="F461">
        <v>105</v>
      </c>
      <c r="G461">
        <v>4.9000000000000004</v>
      </c>
      <c r="H461">
        <v>2023</v>
      </c>
      <c r="I461" t="s">
        <v>1091</v>
      </c>
      <c r="J461" t="s">
        <v>1099</v>
      </c>
      <c r="K461">
        <v>5</v>
      </c>
      <c r="L461">
        <v>3</v>
      </c>
      <c r="M461">
        <v>105</v>
      </c>
    </row>
    <row r="462" spans="1:13" x14ac:dyDescent="0.25">
      <c r="A462" t="s">
        <v>484</v>
      </c>
      <c r="B462" t="s">
        <v>19</v>
      </c>
      <c r="C462">
        <v>73</v>
      </c>
      <c r="D462" t="s">
        <v>10</v>
      </c>
      <c r="E462" s="46">
        <v>45054</v>
      </c>
      <c r="F462">
        <v>87</v>
      </c>
      <c r="G462">
        <v>3.6</v>
      </c>
      <c r="H462">
        <v>2023</v>
      </c>
      <c r="I462" t="s">
        <v>1091</v>
      </c>
      <c r="J462" t="s">
        <v>1099</v>
      </c>
      <c r="K462">
        <v>4</v>
      </c>
      <c r="L462">
        <v>3</v>
      </c>
      <c r="M462">
        <v>87</v>
      </c>
    </row>
    <row r="463" spans="1:13" x14ac:dyDescent="0.25">
      <c r="A463" t="s">
        <v>485</v>
      </c>
      <c r="B463" t="s">
        <v>22</v>
      </c>
      <c r="C463">
        <v>25</v>
      </c>
      <c r="D463" t="s">
        <v>11</v>
      </c>
      <c r="E463" s="46">
        <v>45054</v>
      </c>
      <c r="F463">
        <v>52</v>
      </c>
      <c r="G463">
        <v>3.8</v>
      </c>
      <c r="H463">
        <v>2023</v>
      </c>
      <c r="I463" t="s">
        <v>1091</v>
      </c>
      <c r="J463" t="s">
        <v>1100</v>
      </c>
      <c r="K463">
        <v>4</v>
      </c>
      <c r="L463">
        <v>2</v>
      </c>
      <c r="M463">
        <v>52</v>
      </c>
    </row>
    <row r="464" spans="1:13" x14ac:dyDescent="0.25">
      <c r="A464" t="s">
        <v>486</v>
      </c>
      <c r="B464" t="s">
        <v>8</v>
      </c>
      <c r="C464">
        <v>44</v>
      </c>
      <c r="D464" t="s">
        <v>6</v>
      </c>
      <c r="E464" s="46">
        <v>45054</v>
      </c>
      <c r="F464">
        <v>63</v>
      </c>
      <c r="G464">
        <v>3.5</v>
      </c>
      <c r="H464">
        <v>2023</v>
      </c>
      <c r="I464" t="s">
        <v>1091</v>
      </c>
      <c r="J464" t="s">
        <v>1099</v>
      </c>
      <c r="K464">
        <v>4</v>
      </c>
      <c r="L464">
        <v>3</v>
      </c>
      <c r="M464">
        <v>63</v>
      </c>
    </row>
    <row r="465" spans="1:13" x14ac:dyDescent="0.25">
      <c r="A465" t="s">
        <v>487</v>
      </c>
      <c r="B465" t="s">
        <v>7</v>
      </c>
      <c r="C465">
        <v>34</v>
      </c>
      <c r="D465" t="s">
        <v>9</v>
      </c>
      <c r="E465" s="46">
        <v>45055</v>
      </c>
      <c r="F465">
        <v>195</v>
      </c>
      <c r="G465">
        <v>4.8</v>
      </c>
      <c r="H465">
        <v>2023</v>
      </c>
      <c r="I465" t="s">
        <v>1092</v>
      </c>
      <c r="J465" t="s">
        <v>1099</v>
      </c>
      <c r="K465">
        <v>5</v>
      </c>
      <c r="L465">
        <v>3</v>
      </c>
      <c r="M465">
        <v>195</v>
      </c>
    </row>
    <row r="466" spans="1:13" x14ac:dyDescent="0.25">
      <c r="A466" t="s">
        <v>488</v>
      </c>
      <c r="B466" t="s">
        <v>5</v>
      </c>
      <c r="C466">
        <v>89</v>
      </c>
      <c r="D466" t="s">
        <v>13</v>
      </c>
      <c r="E466" s="46">
        <v>45056</v>
      </c>
      <c r="F466">
        <v>176</v>
      </c>
      <c r="G466">
        <v>4.5</v>
      </c>
      <c r="H466">
        <v>2023</v>
      </c>
      <c r="I466" t="s">
        <v>1093</v>
      </c>
      <c r="J466" t="s">
        <v>1099</v>
      </c>
      <c r="K466">
        <v>5</v>
      </c>
      <c r="L466">
        <v>3</v>
      </c>
      <c r="M466">
        <v>176</v>
      </c>
    </row>
    <row r="467" spans="1:13" x14ac:dyDescent="0.25">
      <c r="A467" t="s">
        <v>489</v>
      </c>
      <c r="B467" t="s">
        <v>18</v>
      </c>
      <c r="C467">
        <v>54</v>
      </c>
      <c r="D467" t="s">
        <v>11</v>
      </c>
      <c r="E467" s="46">
        <v>45057</v>
      </c>
      <c r="F467">
        <v>31</v>
      </c>
      <c r="G467">
        <v>3.3</v>
      </c>
      <c r="H467">
        <v>2023</v>
      </c>
      <c r="I467" t="s">
        <v>1094</v>
      </c>
      <c r="J467" t="s">
        <v>1099</v>
      </c>
      <c r="K467">
        <v>3</v>
      </c>
      <c r="L467">
        <v>3</v>
      </c>
      <c r="M467">
        <v>31</v>
      </c>
    </row>
    <row r="468" spans="1:13" x14ac:dyDescent="0.25">
      <c r="A468" t="s">
        <v>490</v>
      </c>
      <c r="B468" t="s">
        <v>23</v>
      </c>
      <c r="C468">
        <v>25</v>
      </c>
      <c r="D468" t="s">
        <v>11</v>
      </c>
      <c r="E468" s="46">
        <v>45058</v>
      </c>
      <c r="F468">
        <v>27</v>
      </c>
      <c r="G468">
        <v>3.2</v>
      </c>
      <c r="H468">
        <v>2023</v>
      </c>
      <c r="I468" t="s">
        <v>1095</v>
      </c>
      <c r="J468" t="s">
        <v>1100</v>
      </c>
      <c r="K468">
        <v>3</v>
      </c>
      <c r="L468">
        <v>2</v>
      </c>
      <c r="M468">
        <v>27</v>
      </c>
    </row>
    <row r="469" spans="1:13" x14ac:dyDescent="0.25">
      <c r="A469" t="s">
        <v>491</v>
      </c>
      <c r="B469" t="s">
        <v>14</v>
      </c>
      <c r="C469">
        <v>91</v>
      </c>
      <c r="D469" t="s">
        <v>13</v>
      </c>
      <c r="E469" s="46">
        <v>45058</v>
      </c>
      <c r="F469">
        <v>76</v>
      </c>
      <c r="G469">
        <v>4.9000000000000004</v>
      </c>
      <c r="H469">
        <v>2023</v>
      </c>
      <c r="I469" t="s">
        <v>1095</v>
      </c>
      <c r="J469" t="s">
        <v>1099</v>
      </c>
      <c r="K469">
        <v>5</v>
      </c>
      <c r="L469">
        <v>3</v>
      </c>
      <c r="M469">
        <v>76</v>
      </c>
    </row>
    <row r="470" spans="1:13" x14ac:dyDescent="0.25">
      <c r="A470" t="s">
        <v>492</v>
      </c>
      <c r="B470" t="s">
        <v>8</v>
      </c>
      <c r="C470">
        <v>144</v>
      </c>
      <c r="D470" t="s">
        <v>6</v>
      </c>
      <c r="E470" s="46">
        <v>45058</v>
      </c>
      <c r="F470">
        <v>62</v>
      </c>
      <c r="G470">
        <v>4.8</v>
      </c>
      <c r="H470">
        <v>2023</v>
      </c>
      <c r="I470" t="s">
        <v>1095</v>
      </c>
      <c r="J470" t="s">
        <v>1103</v>
      </c>
      <c r="K470">
        <v>5</v>
      </c>
      <c r="L470">
        <v>4</v>
      </c>
      <c r="M470">
        <v>62</v>
      </c>
    </row>
    <row r="471" spans="1:13" x14ac:dyDescent="0.25">
      <c r="A471" t="s">
        <v>493</v>
      </c>
      <c r="B471" t="s">
        <v>14</v>
      </c>
      <c r="C471">
        <v>81</v>
      </c>
      <c r="D471" t="s">
        <v>9</v>
      </c>
      <c r="E471" s="46">
        <v>45060</v>
      </c>
      <c r="F471">
        <v>100</v>
      </c>
      <c r="G471">
        <v>1.3</v>
      </c>
      <c r="H471">
        <v>2023</v>
      </c>
      <c r="I471" t="s">
        <v>1090</v>
      </c>
      <c r="J471" t="s">
        <v>1099</v>
      </c>
      <c r="K471">
        <v>1</v>
      </c>
      <c r="L471">
        <v>3</v>
      </c>
      <c r="M471">
        <v>100</v>
      </c>
    </row>
    <row r="472" spans="1:13" x14ac:dyDescent="0.25">
      <c r="A472" t="s">
        <v>494</v>
      </c>
      <c r="B472" t="s">
        <v>17</v>
      </c>
      <c r="C472">
        <v>92</v>
      </c>
      <c r="D472" t="s">
        <v>11</v>
      </c>
      <c r="E472" s="46">
        <v>45060</v>
      </c>
      <c r="F472">
        <v>44</v>
      </c>
      <c r="G472">
        <v>3.1</v>
      </c>
      <c r="H472">
        <v>2023</v>
      </c>
      <c r="I472" t="s">
        <v>1090</v>
      </c>
      <c r="J472" t="s">
        <v>1099</v>
      </c>
      <c r="K472">
        <v>3</v>
      </c>
      <c r="L472">
        <v>3</v>
      </c>
      <c r="M472">
        <v>44</v>
      </c>
    </row>
    <row r="473" spans="1:13" x14ac:dyDescent="0.25">
      <c r="A473" t="s">
        <v>495</v>
      </c>
      <c r="B473" t="s">
        <v>23</v>
      </c>
      <c r="C473">
        <v>115</v>
      </c>
      <c r="D473" t="s">
        <v>13</v>
      </c>
      <c r="E473" s="46">
        <v>45060</v>
      </c>
      <c r="F473">
        <v>168</v>
      </c>
      <c r="G473">
        <v>3.4</v>
      </c>
      <c r="H473">
        <v>2023</v>
      </c>
      <c r="I473" t="s">
        <v>1090</v>
      </c>
      <c r="J473" t="s">
        <v>1099</v>
      </c>
      <c r="K473">
        <v>3</v>
      </c>
      <c r="L473">
        <v>3</v>
      </c>
      <c r="M473">
        <v>168</v>
      </c>
    </row>
    <row r="474" spans="1:13" x14ac:dyDescent="0.25">
      <c r="A474" t="s">
        <v>496</v>
      </c>
      <c r="B474" t="s">
        <v>15</v>
      </c>
      <c r="C474">
        <v>56</v>
      </c>
      <c r="D474" t="s">
        <v>13</v>
      </c>
      <c r="E474" s="46">
        <v>45061</v>
      </c>
      <c r="F474">
        <v>200</v>
      </c>
      <c r="G474">
        <v>4.5999999999999996</v>
      </c>
      <c r="H474">
        <v>2023</v>
      </c>
      <c r="I474" t="s">
        <v>1091</v>
      </c>
      <c r="J474" t="s">
        <v>1099</v>
      </c>
      <c r="K474">
        <v>5</v>
      </c>
      <c r="L474">
        <v>3</v>
      </c>
      <c r="M474">
        <v>200</v>
      </c>
    </row>
    <row r="475" spans="1:13" x14ac:dyDescent="0.25">
      <c r="A475" t="s">
        <v>497</v>
      </c>
      <c r="B475" t="s">
        <v>12</v>
      </c>
      <c r="C475">
        <v>154</v>
      </c>
      <c r="D475" t="s">
        <v>11</v>
      </c>
      <c r="E475" s="46">
        <v>45061</v>
      </c>
      <c r="F475">
        <v>84</v>
      </c>
      <c r="G475">
        <v>4.3</v>
      </c>
      <c r="H475">
        <v>2023</v>
      </c>
      <c r="I475" t="s">
        <v>1091</v>
      </c>
      <c r="J475" t="s">
        <v>1103</v>
      </c>
      <c r="K475">
        <v>4</v>
      </c>
      <c r="L475">
        <v>4</v>
      </c>
      <c r="M475">
        <v>84</v>
      </c>
    </row>
    <row r="476" spans="1:13" x14ac:dyDescent="0.25">
      <c r="A476" t="s">
        <v>498</v>
      </c>
      <c r="B476" t="s">
        <v>5</v>
      </c>
      <c r="C476">
        <v>51</v>
      </c>
      <c r="D476" t="s">
        <v>13</v>
      </c>
      <c r="E476" s="46">
        <v>45062</v>
      </c>
      <c r="F476">
        <v>117</v>
      </c>
      <c r="G476">
        <v>2.7</v>
      </c>
      <c r="H476">
        <v>2023</v>
      </c>
      <c r="I476" t="s">
        <v>1092</v>
      </c>
      <c r="J476" t="s">
        <v>1099</v>
      </c>
      <c r="K476">
        <v>3</v>
      </c>
      <c r="L476">
        <v>3</v>
      </c>
      <c r="M476">
        <v>117</v>
      </c>
    </row>
    <row r="477" spans="1:13" x14ac:dyDescent="0.25">
      <c r="A477" t="s">
        <v>499</v>
      </c>
      <c r="B477" t="s">
        <v>7</v>
      </c>
      <c r="C477">
        <v>21</v>
      </c>
      <c r="D477" t="s">
        <v>9</v>
      </c>
      <c r="E477" s="46">
        <v>45062</v>
      </c>
      <c r="F477">
        <v>63</v>
      </c>
      <c r="G477">
        <v>4.2</v>
      </c>
      <c r="H477">
        <v>2023</v>
      </c>
      <c r="I477" t="s">
        <v>1092</v>
      </c>
      <c r="J477" t="s">
        <v>1100</v>
      </c>
      <c r="K477">
        <v>4</v>
      </c>
      <c r="L477">
        <v>2</v>
      </c>
      <c r="M477">
        <v>63</v>
      </c>
    </row>
    <row r="478" spans="1:13" x14ac:dyDescent="0.25">
      <c r="A478" t="s">
        <v>500</v>
      </c>
      <c r="B478" t="s">
        <v>23</v>
      </c>
      <c r="C478">
        <v>80</v>
      </c>
      <c r="D478" t="s">
        <v>13</v>
      </c>
      <c r="E478" s="46">
        <v>45063</v>
      </c>
      <c r="F478">
        <v>145</v>
      </c>
      <c r="G478">
        <v>4.9000000000000004</v>
      </c>
      <c r="H478">
        <v>2023</v>
      </c>
      <c r="I478" t="s">
        <v>1093</v>
      </c>
      <c r="J478" t="s">
        <v>1099</v>
      </c>
      <c r="K478">
        <v>5</v>
      </c>
      <c r="L478">
        <v>3</v>
      </c>
      <c r="M478">
        <v>145</v>
      </c>
    </row>
    <row r="479" spans="1:13" x14ac:dyDescent="0.25">
      <c r="A479" t="s">
        <v>501</v>
      </c>
      <c r="B479" t="s">
        <v>5</v>
      </c>
      <c r="C479">
        <v>139</v>
      </c>
      <c r="D479" t="s">
        <v>11</v>
      </c>
      <c r="E479" s="46">
        <v>45063</v>
      </c>
      <c r="F479">
        <v>220</v>
      </c>
      <c r="G479">
        <v>3.2</v>
      </c>
      <c r="H479">
        <v>2023</v>
      </c>
      <c r="I479" t="s">
        <v>1093</v>
      </c>
      <c r="J479" t="s">
        <v>1103</v>
      </c>
      <c r="K479">
        <v>3</v>
      </c>
      <c r="L479">
        <v>4</v>
      </c>
      <c r="M479">
        <v>220</v>
      </c>
    </row>
    <row r="480" spans="1:13" x14ac:dyDescent="0.25">
      <c r="A480" t="s">
        <v>502</v>
      </c>
      <c r="B480" t="s">
        <v>24</v>
      </c>
      <c r="C480">
        <v>50</v>
      </c>
      <c r="D480" t="s">
        <v>9</v>
      </c>
      <c r="E480" s="46">
        <v>45063</v>
      </c>
      <c r="F480">
        <v>26</v>
      </c>
      <c r="G480">
        <v>4.7</v>
      </c>
      <c r="H480">
        <v>2023</v>
      </c>
      <c r="I480" t="s">
        <v>1093</v>
      </c>
      <c r="J480" t="s">
        <v>1099</v>
      </c>
      <c r="K480">
        <v>5</v>
      </c>
      <c r="L480">
        <v>3</v>
      </c>
      <c r="M480">
        <v>26</v>
      </c>
    </row>
    <row r="481" spans="1:13" x14ac:dyDescent="0.25">
      <c r="A481" t="s">
        <v>503</v>
      </c>
      <c r="B481" t="s">
        <v>23</v>
      </c>
      <c r="C481">
        <v>88</v>
      </c>
      <c r="D481" t="s">
        <v>13</v>
      </c>
      <c r="E481" s="46">
        <v>45063</v>
      </c>
      <c r="F481">
        <v>78</v>
      </c>
      <c r="G481">
        <v>4.3</v>
      </c>
      <c r="H481">
        <v>2023</v>
      </c>
      <c r="I481" t="s">
        <v>1093</v>
      </c>
      <c r="J481" t="s">
        <v>1099</v>
      </c>
      <c r="K481">
        <v>4</v>
      </c>
      <c r="L481">
        <v>3</v>
      </c>
      <c r="M481">
        <v>78</v>
      </c>
    </row>
    <row r="482" spans="1:13" x14ac:dyDescent="0.25">
      <c r="A482" t="s">
        <v>504</v>
      </c>
      <c r="B482" t="s">
        <v>18</v>
      </c>
      <c r="C482">
        <v>19</v>
      </c>
      <c r="D482" t="s">
        <v>6</v>
      </c>
      <c r="E482" s="46">
        <v>45064</v>
      </c>
      <c r="F482">
        <v>132</v>
      </c>
      <c r="G482">
        <v>4.3</v>
      </c>
      <c r="H482">
        <v>2023</v>
      </c>
      <c r="I482" t="s">
        <v>1094</v>
      </c>
      <c r="J482" t="s">
        <v>1100</v>
      </c>
      <c r="K482">
        <v>4</v>
      </c>
      <c r="L482">
        <v>2</v>
      </c>
      <c r="M482">
        <v>132</v>
      </c>
    </row>
    <row r="483" spans="1:13" x14ac:dyDescent="0.25">
      <c r="A483" t="s">
        <v>505</v>
      </c>
      <c r="B483" t="s">
        <v>22</v>
      </c>
      <c r="C483">
        <v>104</v>
      </c>
      <c r="D483" t="s">
        <v>6</v>
      </c>
      <c r="E483" s="46">
        <v>45065</v>
      </c>
      <c r="F483">
        <v>68</v>
      </c>
      <c r="G483">
        <v>3.7</v>
      </c>
      <c r="H483">
        <v>2023</v>
      </c>
      <c r="I483" t="s">
        <v>1095</v>
      </c>
      <c r="J483" t="s">
        <v>1099</v>
      </c>
      <c r="K483">
        <v>4</v>
      </c>
      <c r="L483">
        <v>3</v>
      </c>
      <c r="M483">
        <v>68</v>
      </c>
    </row>
    <row r="484" spans="1:13" x14ac:dyDescent="0.25">
      <c r="A484" t="s">
        <v>506</v>
      </c>
      <c r="B484" t="s">
        <v>12</v>
      </c>
      <c r="C484">
        <v>67</v>
      </c>
      <c r="D484" t="s">
        <v>11</v>
      </c>
      <c r="E484" s="46">
        <v>45067</v>
      </c>
      <c r="F484">
        <v>129</v>
      </c>
      <c r="G484">
        <v>4.7</v>
      </c>
      <c r="H484">
        <v>2023</v>
      </c>
      <c r="I484" t="s">
        <v>1090</v>
      </c>
      <c r="J484" t="s">
        <v>1099</v>
      </c>
      <c r="K484">
        <v>5</v>
      </c>
      <c r="L484">
        <v>3</v>
      </c>
      <c r="M484">
        <v>129</v>
      </c>
    </row>
    <row r="485" spans="1:13" x14ac:dyDescent="0.25">
      <c r="A485" t="s">
        <v>507</v>
      </c>
      <c r="B485" t="s">
        <v>16</v>
      </c>
      <c r="C485">
        <v>107</v>
      </c>
      <c r="D485" t="s">
        <v>6</v>
      </c>
      <c r="E485" s="46">
        <v>45067</v>
      </c>
      <c r="F485">
        <v>115</v>
      </c>
      <c r="G485">
        <v>4.9000000000000004</v>
      </c>
      <c r="H485">
        <v>2023</v>
      </c>
      <c r="I485" t="s">
        <v>1090</v>
      </c>
      <c r="J485" t="s">
        <v>1099</v>
      </c>
      <c r="K485">
        <v>5</v>
      </c>
      <c r="L485">
        <v>3</v>
      </c>
      <c r="M485">
        <v>115</v>
      </c>
    </row>
    <row r="486" spans="1:13" x14ac:dyDescent="0.25">
      <c r="A486" t="s">
        <v>508</v>
      </c>
      <c r="B486" t="s">
        <v>16</v>
      </c>
      <c r="C486">
        <v>93</v>
      </c>
      <c r="D486" t="s">
        <v>6</v>
      </c>
      <c r="E486" s="46">
        <v>45067</v>
      </c>
      <c r="F486">
        <v>128</v>
      </c>
      <c r="G486">
        <v>3.9</v>
      </c>
      <c r="H486">
        <v>2023</v>
      </c>
      <c r="I486" t="s">
        <v>1090</v>
      </c>
      <c r="J486" t="s">
        <v>1099</v>
      </c>
      <c r="K486">
        <v>4</v>
      </c>
      <c r="L486">
        <v>3</v>
      </c>
      <c r="M486">
        <v>128</v>
      </c>
    </row>
    <row r="487" spans="1:13" x14ac:dyDescent="0.25">
      <c r="A487" t="s">
        <v>509</v>
      </c>
      <c r="B487" t="s">
        <v>16</v>
      </c>
      <c r="C487">
        <v>117</v>
      </c>
      <c r="D487" t="s">
        <v>11</v>
      </c>
      <c r="E487" s="46">
        <v>45067</v>
      </c>
      <c r="F487">
        <v>90</v>
      </c>
      <c r="G487">
        <v>4.5</v>
      </c>
      <c r="H487">
        <v>2023</v>
      </c>
      <c r="I487" t="s">
        <v>1090</v>
      </c>
      <c r="J487" t="s">
        <v>1099</v>
      </c>
      <c r="K487">
        <v>5</v>
      </c>
      <c r="L487">
        <v>3</v>
      </c>
      <c r="M487">
        <v>90</v>
      </c>
    </row>
    <row r="488" spans="1:13" x14ac:dyDescent="0.25">
      <c r="A488" t="s">
        <v>510</v>
      </c>
      <c r="B488" t="s">
        <v>24</v>
      </c>
      <c r="C488">
        <v>76</v>
      </c>
      <c r="D488" t="s">
        <v>13</v>
      </c>
      <c r="E488" s="46">
        <v>45068</v>
      </c>
      <c r="F488">
        <v>39</v>
      </c>
      <c r="G488">
        <v>4.5999999999999996</v>
      </c>
      <c r="H488">
        <v>2023</v>
      </c>
      <c r="I488" t="s">
        <v>1091</v>
      </c>
      <c r="J488" t="s">
        <v>1099</v>
      </c>
      <c r="K488">
        <v>5</v>
      </c>
      <c r="L488">
        <v>3</v>
      </c>
      <c r="M488">
        <v>39</v>
      </c>
    </row>
    <row r="489" spans="1:13" x14ac:dyDescent="0.25">
      <c r="A489" t="s">
        <v>511</v>
      </c>
      <c r="B489" t="s">
        <v>18</v>
      </c>
      <c r="C489">
        <v>64</v>
      </c>
      <c r="D489" t="s">
        <v>6</v>
      </c>
      <c r="E489" s="46">
        <v>45068</v>
      </c>
      <c r="F489">
        <v>132</v>
      </c>
      <c r="G489">
        <v>3.3</v>
      </c>
      <c r="H489">
        <v>2023</v>
      </c>
      <c r="I489" t="s">
        <v>1091</v>
      </c>
      <c r="J489" t="s">
        <v>1099</v>
      </c>
      <c r="K489">
        <v>3</v>
      </c>
      <c r="L489">
        <v>3</v>
      </c>
      <c r="M489">
        <v>132</v>
      </c>
    </row>
    <row r="490" spans="1:13" x14ac:dyDescent="0.25">
      <c r="A490" t="s">
        <v>512</v>
      </c>
      <c r="B490" t="s">
        <v>8</v>
      </c>
      <c r="C490">
        <v>33</v>
      </c>
      <c r="D490" t="s">
        <v>6</v>
      </c>
      <c r="E490" s="46">
        <v>45068</v>
      </c>
      <c r="F490">
        <v>170</v>
      </c>
      <c r="G490">
        <v>3.8</v>
      </c>
      <c r="H490">
        <v>2023</v>
      </c>
      <c r="I490" t="s">
        <v>1091</v>
      </c>
      <c r="J490" t="s">
        <v>1099</v>
      </c>
      <c r="K490">
        <v>4</v>
      </c>
      <c r="L490">
        <v>3</v>
      </c>
      <c r="M490">
        <v>170</v>
      </c>
    </row>
    <row r="491" spans="1:13" x14ac:dyDescent="0.25">
      <c r="A491" t="s">
        <v>513</v>
      </c>
      <c r="B491" t="s">
        <v>16</v>
      </c>
      <c r="C491">
        <v>115</v>
      </c>
      <c r="D491" t="s">
        <v>11</v>
      </c>
      <c r="E491" s="46">
        <v>45068</v>
      </c>
      <c r="F491">
        <v>42</v>
      </c>
      <c r="G491">
        <v>4.7</v>
      </c>
      <c r="H491">
        <v>2023</v>
      </c>
      <c r="I491" t="s">
        <v>1091</v>
      </c>
      <c r="J491" t="s">
        <v>1099</v>
      </c>
      <c r="K491">
        <v>5</v>
      </c>
      <c r="L491">
        <v>3</v>
      </c>
      <c r="M491">
        <v>42</v>
      </c>
    </row>
    <row r="492" spans="1:13" x14ac:dyDescent="0.25">
      <c r="A492" t="s">
        <v>514</v>
      </c>
      <c r="B492" t="s">
        <v>21</v>
      </c>
      <c r="C492">
        <v>155</v>
      </c>
      <c r="D492" t="s">
        <v>13</v>
      </c>
      <c r="E492" s="46">
        <v>45069</v>
      </c>
      <c r="F492">
        <v>37</v>
      </c>
      <c r="G492">
        <v>4</v>
      </c>
      <c r="H492">
        <v>2023</v>
      </c>
      <c r="I492" t="s">
        <v>1092</v>
      </c>
      <c r="J492" t="s">
        <v>1103</v>
      </c>
      <c r="K492">
        <v>4</v>
      </c>
      <c r="L492">
        <v>4</v>
      </c>
      <c r="M492">
        <v>37</v>
      </c>
    </row>
    <row r="493" spans="1:13" x14ac:dyDescent="0.25">
      <c r="A493" t="s">
        <v>515</v>
      </c>
      <c r="B493" t="s">
        <v>12</v>
      </c>
      <c r="C493">
        <v>117</v>
      </c>
      <c r="D493" t="s">
        <v>13</v>
      </c>
      <c r="E493" s="46">
        <v>45069</v>
      </c>
      <c r="F493">
        <v>88</v>
      </c>
      <c r="G493">
        <v>4.7</v>
      </c>
      <c r="H493">
        <v>2023</v>
      </c>
      <c r="I493" t="s">
        <v>1092</v>
      </c>
      <c r="J493" t="s">
        <v>1099</v>
      </c>
      <c r="K493">
        <v>5</v>
      </c>
      <c r="L493">
        <v>3</v>
      </c>
      <c r="M493">
        <v>88</v>
      </c>
    </row>
    <row r="494" spans="1:13" x14ac:dyDescent="0.25">
      <c r="A494" t="s">
        <v>516</v>
      </c>
      <c r="B494" t="s">
        <v>5</v>
      </c>
      <c r="C494">
        <v>63</v>
      </c>
      <c r="D494" t="s">
        <v>13</v>
      </c>
      <c r="E494" s="46">
        <v>45069</v>
      </c>
      <c r="F494">
        <v>80</v>
      </c>
      <c r="G494">
        <v>2.5</v>
      </c>
      <c r="H494">
        <v>2023</v>
      </c>
      <c r="I494" t="s">
        <v>1092</v>
      </c>
      <c r="J494" t="s">
        <v>1099</v>
      </c>
      <c r="K494">
        <v>3</v>
      </c>
      <c r="L494">
        <v>3</v>
      </c>
      <c r="M494">
        <v>80</v>
      </c>
    </row>
    <row r="495" spans="1:13" x14ac:dyDescent="0.25">
      <c r="A495" t="s">
        <v>517</v>
      </c>
      <c r="B495" t="s">
        <v>18</v>
      </c>
      <c r="C495">
        <v>59</v>
      </c>
      <c r="D495" t="s">
        <v>10</v>
      </c>
      <c r="E495" s="46">
        <v>45070</v>
      </c>
      <c r="F495">
        <v>123</v>
      </c>
      <c r="G495">
        <v>3.6</v>
      </c>
      <c r="H495">
        <v>2023</v>
      </c>
      <c r="I495" t="s">
        <v>1093</v>
      </c>
      <c r="J495" t="s">
        <v>1099</v>
      </c>
      <c r="K495">
        <v>4</v>
      </c>
      <c r="L495">
        <v>3</v>
      </c>
      <c r="M495">
        <v>123</v>
      </c>
    </row>
    <row r="496" spans="1:13" x14ac:dyDescent="0.25">
      <c r="A496" t="s">
        <v>518</v>
      </c>
      <c r="B496" t="s">
        <v>7</v>
      </c>
      <c r="C496">
        <v>133</v>
      </c>
      <c r="D496" t="s">
        <v>6</v>
      </c>
      <c r="E496" s="46">
        <v>45070</v>
      </c>
      <c r="F496">
        <v>31</v>
      </c>
      <c r="G496">
        <v>3.7</v>
      </c>
      <c r="H496">
        <v>2023</v>
      </c>
      <c r="I496" t="s">
        <v>1093</v>
      </c>
      <c r="J496" t="s">
        <v>1103</v>
      </c>
      <c r="K496">
        <v>4</v>
      </c>
      <c r="L496">
        <v>4</v>
      </c>
      <c r="M496">
        <v>31</v>
      </c>
    </row>
    <row r="497" spans="1:13" x14ac:dyDescent="0.25">
      <c r="A497" t="s">
        <v>519</v>
      </c>
      <c r="B497" t="s">
        <v>17</v>
      </c>
      <c r="C497">
        <v>101</v>
      </c>
      <c r="D497" t="s">
        <v>9</v>
      </c>
      <c r="E497" s="46">
        <v>45070</v>
      </c>
      <c r="F497">
        <v>205</v>
      </c>
      <c r="G497">
        <v>3.9</v>
      </c>
      <c r="H497">
        <v>2023</v>
      </c>
      <c r="I497" t="s">
        <v>1093</v>
      </c>
      <c r="J497" t="s">
        <v>1099</v>
      </c>
      <c r="K497">
        <v>4</v>
      </c>
      <c r="L497">
        <v>3</v>
      </c>
      <c r="M497">
        <v>205</v>
      </c>
    </row>
    <row r="498" spans="1:13" x14ac:dyDescent="0.25">
      <c r="A498" t="s">
        <v>520</v>
      </c>
      <c r="B498" t="s">
        <v>14</v>
      </c>
      <c r="C498">
        <v>151</v>
      </c>
      <c r="D498" t="s">
        <v>13</v>
      </c>
      <c r="E498" s="46">
        <v>45071</v>
      </c>
      <c r="F498">
        <v>123</v>
      </c>
      <c r="G498">
        <v>3.7</v>
      </c>
      <c r="H498">
        <v>2023</v>
      </c>
      <c r="I498" t="s">
        <v>1094</v>
      </c>
      <c r="J498" t="s">
        <v>1103</v>
      </c>
      <c r="K498">
        <v>4</v>
      </c>
      <c r="L498">
        <v>4</v>
      </c>
      <c r="M498">
        <v>123</v>
      </c>
    </row>
    <row r="499" spans="1:13" x14ac:dyDescent="0.25">
      <c r="A499" t="s">
        <v>521</v>
      </c>
      <c r="B499" t="s">
        <v>8</v>
      </c>
      <c r="C499">
        <v>146</v>
      </c>
      <c r="D499" t="s">
        <v>6</v>
      </c>
      <c r="E499" s="46">
        <v>45071</v>
      </c>
      <c r="F499">
        <v>123</v>
      </c>
      <c r="G499">
        <v>4.3</v>
      </c>
      <c r="H499">
        <v>2023</v>
      </c>
      <c r="I499" t="s">
        <v>1094</v>
      </c>
      <c r="J499" t="s">
        <v>1103</v>
      </c>
      <c r="K499">
        <v>4</v>
      </c>
      <c r="L499">
        <v>4</v>
      </c>
      <c r="M499">
        <v>123</v>
      </c>
    </row>
    <row r="500" spans="1:13" x14ac:dyDescent="0.25">
      <c r="A500" t="s">
        <v>522</v>
      </c>
      <c r="B500" t="s">
        <v>5</v>
      </c>
      <c r="C500">
        <v>148</v>
      </c>
      <c r="D500" t="s">
        <v>6</v>
      </c>
      <c r="E500" s="46">
        <v>45071</v>
      </c>
      <c r="F500">
        <v>36</v>
      </c>
      <c r="G500">
        <v>2.9</v>
      </c>
      <c r="H500">
        <v>2023</v>
      </c>
      <c r="I500" t="s">
        <v>1094</v>
      </c>
      <c r="J500" t="s">
        <v>1103</v>
      </c>
      <c r="K500">
        <v>3</v>
      </c>
      <c r="L500">
        <v>4</v>
      </c>
      <c r="M500">
        <v>36</v>
      </c>
    </row>
    <row r="501" spans="1:13" x14ac:dyDescent="0.25">
      <c r="A501" t="s">
        <v>523</v>
      </c>
      <c r="B501" t="s">
        <v>14</v>
      </c>
      <c r="C501">
        <v>81</v>
      </c>
      <c r="D501" t="s">
        <v>6</v>
      </c>
      <c r="E501" s="46">
        <v>45071</v>
      </c>
      <c r="F501">
        <v>116</v>
      </c>
      <c r="G501">
        <v>4.3</v>
      </c>
      <c r="H501">
        <v>2023</v>
      </c>
      <c r="I501" t="s">
        <v>1094</v>
      </c>
      <c r="J501" t="s">
        <v>1099</v>
      </c>
      <c r="K501">
        <v>4</v>
      </c>
      <c r="L501">
        <v>3</v>
      </c>
      <c r="M501">
        <v>116</v>
      </c>
    </row>
    <row r="502" spans="1:13" x14ac:dyDescent="0.25">
      <c r="A502" t="s">
        <v>524</v>
      </c>
      <c r="B502" t="s">
        <v>22</v>
      </c>
      <c r="C502">
        <v>115</v>
      </c>
      <c r="D502" t="s">
        <v>6</v>
      </c>
      <c r="E502" s="46">
        <v>45071</v>
      </c>
      <c r="F502">
        <v>40</v>
      </c>
      <c r="G502">
        <v>4.9000000000000004</v>
      </c>
      <c r="H502">
        <v>2023</v>
      </c>
      <c r="I502" t="s">
        <v>1094</v>
      </c>
      <c r="J502" t="s">
        <v>1099</v>
      </c>
      <c r="K502">
        <v>5</v>
      </c>
      <c r="L502">
        <v>3</v>
      </c>
      <c r="M502">
        <v>40</v>
      </c>
    </row>
    <row r="503" spans="1:13" x14ac:dyDescent="0.25">
      <c r="A503" t="s">
        <v>525</v>
      </c>
      <c r="B503" t="s">
        <v>22</v>
      </c>
      <c r="C503">
        <v>117</v>
      </c>
      <c r="D503" t="s">
        <v>13</v>
      </c>
      <c r="E503" s="46">
        <v>45071</v>
      </c>
      <c r="F503">
        <v>40</v>
      </c>
      <c r="G503">
        <v>4</v>
      </c>
      <c r="H503">
        <v>2023</v>
      </c>
      <c r="I503" t="s">
        <v>1094</v>
      </c>
      <c r="J503" t="s">
        <v>1099</v>
      </c>
      <c r="K503">
        <v>4</v>
      </c>
      <c r="L503">
        <v>3</v>
      </c>
      <c r="M503">
        <v>40</v>
      </c>
    </row>
    <row r="504" spans="1:13" x14ac:dyDescent="0.25">
      <c r="A504" t="s">
        <v>526</v>
      </c>
      <c r="B504" t="s">
        <v>17</v>
      </c>
      <c r="C504">
        <v>110</v>
      </c>
      <c r="D504" t="s">
        <v>11</v>
      </c>
      <c r="E504" s="46">
        <v>45072</v>
      </c>
      <c r="F504">
        <v>82</v>
      </c>
      <c r="G504">
        <v>4</v>
      </c>
      <c r="H504">
        <v>2023</v>
      </c>
      <c r="I504" t="s">
        <v>1095</v>
      </c>
      <c r="J504" t="s">
        <v>1099</v>
      </c>
      <c r="K504">
        <v>4</v>
      </c>
      <c r="L504">
        <v>3</v>
      </c>
      <c r="M504">
        <v>82</v>
      </c>
    </row>
    <row r="505" spans="1:13" x14ac:dyDescent="0.25">
      <c r="A505" t="s">
        <v>527</v>
      </c>
      <c r="B505" t="s">
        <v>24</v>
      </c>
      <c r="C505">
        <v>103</v>
      </c>
      <c r="D505" t="s">
        <v>10</v>
      </c>
      <c r="E505" s="46">
        <v>45072</v>
      </c>
      <c r="F505">
        <v>62</v>
      </c>
      <c r="G505">
        <v>3.4</v>
      </c>
      <c r="H505">
        <v>2023</v>
      </c>
      <c r="I505" t="s">
        <v>1095</v>
      </c>
      <c r="J505" t="s">
        <v>1099</v>
      </c>
      <c r="K505">
        <v>3</v>
      </c>
      <c r="L505">
        <v>3</v>
      </c>
      <c r="M505">
        <v>62</v>
      </c>
    </row>
    <row r="506" spans="1:13" x14ac:dyDescent="0.25">
      <c r="A506" t="s">
        <v>528</v>
      </c>
      <c r="B506" t="s">
        <v>21</v>
      </c>
      <c r="C506">
        <v>45</v>
      </c>
      <c r="D506" t="s">
        <v>10</v>
      </c>
      <c r="E506" s="46">
        <v>45072</v>
      </c>
      <c r="F506">
        <v>135</v>
      </c>
      <c r="G506">
        <v>3.9</v>
      </c>
      <c r="H506">
        <v>2023</v>
      </c>
      <c r="I506" t="s">
        <v>1095</v>
      </c>
      <c r="J506" t="s">
        <v>1099</v>
      </c>
      <c r="K506">
        <v>4</v>
      </c>
      <c r="L506">
        <v>3</v>
      </c>
      <c r="M506">
        <v>135</v>
      </c>
    </row>
    <row r="507" spans="1:13" x14ac:dyDescent="0.25">
      <c r="A507" t="s">
        <v>529</v>
      </c>
      <c r="B507" t="s">
        <v>17</v>
      </c>
      <c r="C507">
        <v>110</v>
      </c>
      <c r="D507" t="s">
        <v>9</v>
      </c>
      <c r="E507" s="46">
        <v>45072</v>
      </c>
      <c r="F507">
        <v>155</v>
      </c>
      <c r="G507">
        <v>2.1</v>
      </c>
      <c r="H507">
        <v>2023</v>
      </c>
      <c r="I507" t="s">
        <v>1095</v>
      </c>
      <c r="J507" t="s">
        <v>1099</v>
      </c>
      <c r="K507">
        <v>2</v>
      </c>
      <c r="L507">
        <v>3</v>
      </c>
      <c r="M507">
        <v>155</v>
      </c>
    </row>
    <row r="508" spans="1:13" x14ac:dyDescent="0.25">
      <c r="A508" t="s">
        <v>530</v>
      </c>
      <c r="B508" t="s">
        <v>18</v>
      </c>
      <c r="C508">
        <v>43</v>
      </c>
      <c r="D508" t="s">
        <v>11</v>
      </c>
      <c r="E508" s="46">
        <v>45072</v>
      </c>
      <c r="F508">
        <v>37</v>
      </c>
      <c r="G508">
        <v>4.9000000000000004</v>
      </c>
      <c r="H508">
        <v>2023</v>
      </c>
      <c r="I508" t="s">
        <v>1095</v>
      </c>
      <c r="J508" t="s">
        <v>1099</v>
      </c>
      <c r="K508">
        <v>5</v>
      </c>
      <c r="L508">
        <v>3</v>
      </c>
      <c r="M508">
        <v>37</v>
      </c>
    </row>
    <row r="509" spans="1:13" x14ac:dyDescent="0.25">
      <c r="A509" t="s">
        <v>531</v>
      </c>
      <c r="B509" t="s">
        <v>17</v>
      </c>
      <c r="C509">
        <v>104</v>
      </c>
      <c r="D509" t="s">
        <v>13</v>
      </c>
      <c r="E509" s="46">
        <v>45073</v>
      </c>
      <c r="F509">
        <v>56</v>
      </c>
      <c r="G509">
        <v>3.4</v>
      </c>
      <c r="H509">
        <v>2023</v>
      </c>
      <c r="I509" t="s">
        <v>1096</v>
      </c>
      <c r="J509" t="s">
        <v>1099</v>
      </c>
      <c r="K509">
        <v>3</v>
      </c>
      <c r="L509">
        <v>3</v>
      </c>
      <c r="M509">
        <v>56</v>
      </c>
    </row>
    <row r="510" spans="1:13" x14ac:dyDescent="0.25">
      <c r="A510" t="s">
        <v>532</v>
      </c>
      <c r="B510" t="s">
        <v>17</v>
      </c>
      <c r="C510">
        <v>101</v>
      </c>
      <c r="D510" t="s">
        <v>13</v>
      </c>
      <c r="E510" s="46">
        <v>45073</v>
      </c>
      <c r="F510">
        <v>185</v>
      </c>
      <c r="G510">
        <v>5</v>
      </c>
      <c r="H510">
        <v>2023</v>
      </c>
      <c r="I510" t="s">
        <v>1096</v>
      </c>
      <c r="J510" t="s">
        <v>1099</v>
      </c>
      <c r="K510">
        <v>5</v>
      </c>
      <c r="L510">
        <v>3</v>
      </c>
      <c r="M510">
        <v>185</v>
      </c>
    </row>
    <row r="511" spans="1:13" x14ac:dyDescent="0.25">
      <c r="A511" t="s">
        <v>533</v>
      </c>
      <c r="B511" t="s">
        <v>20</v>
      </c>
      <c r="C511">
        <v>55</v>
      </c>
      <c r="D511" t="s">
        <v>11</v>
      </c>
      <c r="E511" s="46">
        <v>45074</v>
      </c>
      <c r="F511">
        <v>145</v>
      </c>
      <c r="G511">
        <v>4.5</v>
      </c>
      <c r="H511">
        <v>2023</v>
      </c>
      <c r="I511" t="s">
        <v>1090</v>
      </c>
      <c r="J511" t="s">
        <v>1099</v>
      </c>
      <c r="K511">
        <v>5</v>
      </c>
      <c r="L511">
        <v>3</v>
      </c>
      <c r="M511">
        <v>145</v>
      </c>
    </row>
    <row r="512" spans="1:13" x14ac:dyDescent="0.25">
      <c r="A512" t="s">
        <v>534</v>
      </c>
      <c r="B512" t="s">
        <v>14</v>
      </c>
      <c r="C512">
        <v>40</v>
      </c>
      <c r="D512" t="s">
        <v>10</v>
      </c>
      <c r="E512" s="46">
        <v>45074</v>
      </c>
      <c r="F512">
        <v>116</v>
      </c>
      <c r="G512">
        <v>2.6</v>
      </c>
      <c r="H512">
        <v>2023</v>
      </c>
      <c r="I512" t="s">
        <v>1090</v>
      </c>
      <c r="J512" t="s">
        <v>1099</v>
      </c>
      <c r="K512">
        <v>3</v>
      </c>
      <c r="L512">
        <v>3</v>
      </c>
      <c r="M512">
        <v>116</v>
      </c>
    </row>
    <row r="513" spans="1:13" x14ac:dyDescent="0.25">
      <c r="A513" t="s">
        <v>535</v>
      </c>
      <c r="B513" t="s">
        <v>18</v>
      </c>
      <c r="C513">
        <v>122</v>
      </c>
      <c r="D513" t="s">
        <v>6</v>
      </c>
      <c r="E513" s="46">
        <v>45074</v>
      </c>
      <c r="F513">
        <v>45</v>
      </c>
      <c r="G513">
        <v>4.2</v>
      </c>
      <c r="H513">
        <v>2023</v>
      </c>
      <c r="I513" t="s">
        <v>1090</v>
      </c>
      <c r="J513" t="s">
        <v>1103</v>
      </c>
      <c r="K513">
        <v>4</v>
      </c>
      <c r="L513">
        <v>4</v>
      </c>
      <c r="M513">
        <v>45</v>
      </c>
    </row>
    <row r="514" spans="1:13" x14ac:dyDescent="0.25">
      <c r="A514" t="s">
        <v>536</v>
      </c>
      <c r="B514" t="s">
        <v>8</v>
      </c>
      <c r="C514">
        <v>98</v>
      </c>
      <c r="D514" t="s">
        <v>13</v>
      </c>
      <c r="E514" s="46">
        <v>45075</v>
      </c>
      <c r="F514">
        <v>35</v>
      </c>
      <c r="G514">
        <v>4.5</v>
      </c>
      <c r="H514">
        <v>2023</v>
      </c>
      <c r="I514" t="s">
        <v>1091</v>
      </c>
      <c r="J514" t="s">
        <v>1099</v>
      </c>
      <c r="K514">
        <v>5</v>
      </c>
      <c r="L514">
        <v>3</v>
      </c>
      <c r="M514">
        <v>35</v>
      </c>
    </row>
    <row r="515" spans="1:13" x14ac:dyDescent="0.25">
      <c r="A515" t="s">
        <v>537</v>
      </c>
      <c r="B515" t="s">
        <v>22</v>
      </c>
      <c r="C515">
        <v>110</v>
      </c>
      <c r="D515" t="s">
        <v>10</v>
      </c>
      <c r="E515" s="46">
        <v>45075</v>
      </c>
      <c r="F515">
        <v>100</v>
      </c>
      <c r="G515">
        <v>4.4000000000000004</v>
      </c>
      <c r="H515">
        <v>2023</v>
      </c>
      <c r="I515" t="s">
        <v>1091</v>
      </c>
      <c r="J515" t="s">
        <v>1099</v>
      </c>
      <c r="K515">
        <v>4</v>
      </c>
      <c r="L515">
        <v>3</v>
      </c>
      <c r="M515">
        <v>100</v>
      </c>
    </row>
    <row r="516" spans="1:13" x14ac:dyDescent="0.25">
      <c r="A516" t="s">
        <v>538</v>
      </c>
      <c r="B516" t="s">
        <v>22</v>
      </c>
      <c r="C516">
        <v>62</v>
      </c>
      <c r="D516" t="s">
        <v>11</v>
      </c>
      <c r="E516" s="46">
        <v>45076</v>
      </c>
      <c r="F516">
        <v>125</v>
      </c>
      <c r="G516">
        <v>3.5</v>
      </c>
      <c r="H516">
        <v>2023</v>
      </c>
      <c r="I516" t="s">
        <v>1092</v>
      </c>
      <c r="J516" t="s">
        <v>1099</v>
      </c>
      <c r="K516">
        <v>4</v>
      </c>
      <c r="L516">
        <v>3</v>
      </c>
      <c r="M516">
        <v>125</v>
      </c>
    </row>
    <row r="517" spans="1:13" x14ac:dyDescent="0.25">
      <c r="A517" t="s">
        <v>539</v>
      </c>
      <c r="B517" t="s">
        <v>18</v>
      </c>
      <c r="C517">
        <v>134</v>
      </c>
      <c r="D517" t="s">
        <v>6</v>
      </c>
      <c r="E517" s="46">
        <v>45076</v>
      </c>
      <c r="F517">
        <v>120</v>
      </c>
      <c r="G517">
        <v>3</v>
      </c>
      <c r="H517">
        <v>2023</v>
      </c>
      <c r="I517" t="s">
        <v>1092</v>
      </c>
      <c r="J517" t="s">
        <v>1103</v>
      </c>
      <c r="K517">
        <v>3</v>
      </c>
      <c r="L517">
        <v>4</v>
      </c>
      <c r="M517">
        <v>120</v>
      </c>
    </row>
    <row r="518" spans="1:13" x14ac:dyDescent="0.25">
      <c r="A518" t="s">
        <v>540</v>
      </c>
      <c r="B518" t="s">
        <v>19</v>
      </c>
      <c r="C518">
        <v>94</v>
      </c>
      <c r="D518" t="s">
        <v>9</v>
      </c>
      <c r="E518" s="46">
        <v>45076</v>
      </c>
      <c r="F518">
        <v>180</v>
      </c>
      <c r="G518">
        <v>4.7</v>
      </c>
      <c r="H518">
        <v>2023</v>
      </c>
      <c r="I518" t="s">
        <v>1092</v>
      </c>
      <c r="J518" t="s">
        <v>1099</v>
      </c>
      <c r="K518">
        <v>5</v>
      </c>
      <c r="L518">
        <v>3</v>
      </c>
      <c r="M518">
        <v>180</v>
      </c>
    </row>
    <row r="519" spans="1:13" x14ac:dyDescent="0.25">
      <c r="A519" t="s">
        <v>541</v>
      </c>
      <c r="B519" t="s">
        <v>15</v>
      </c>
      <c r="C519">
        <v>63</v>
      </c>
      <c r="D519" t="s">
        <v>10</v>
      </c>
      <c r="E519" s="46">
        <v>45076</v>
      </c>
      <c r="F519">
        <v>44</v>
      </c>
      <c r="G519">
        <v>3</v>
      </c>
      <c r="H519">
        <v>2023</v>
      </c>
      <c r="I519" t="s">
        <v>1092</v>
      </c>
      <c r="J519" t="s">
        <v>1099</v>
      </c>
      <c r="K519">
        <v>3</v>
      </c>
      <c r="L519">
        <v>3</v>
      </c>
      <c r="M519">
        <v>44</v>
      </c>
    </row>
    <row r="520" spans="1:13" x14ac:dyDescent="0.25">
      <c r="A520" t="s">
        <v>542</v>
      </c>
      <c r="B520" t="s">
        <v>7</v>
      </c>
      <c r="C520">
        <v>95</v>
      </c>
      <c r="D520" t="s">
        <v>6</v>
      </c>
      <c r="E520" s="46">
        <v>45076</v>
      </c>
      <c r="F520">
        <v>86</v>
      </c>
      <c r="G520">
        <v>3.6</v>
      </c>
      <c r="H520">
        <v>2023</v>
      </c>
      <c r="I520" t="s">
        <v>1092</v>
      </c>
      <c r="J520" t="s">
        <v>1099</v>
      </c>
      <c r="K520">
        <v>4</v>
      </c>
      <c r="L520">
        <v>3</v>
      </c>
      <c r="M520">
        <v>86</v>
      </c>
    </row>
    <row r="521" spans="1:13" x14ac:dyDescent="0.25">
      <c r="A521" t="s">
        <v>543</v>
      </c>
      <c r="B521" t="s">
        <v>18</v>
      </c>
      <c r="C521">
        <v>106</v>
      </c>
      <c r="D521" t="s">
        <v>6</v>
      </c>
      <c r="E521" s="46">
        <v>45077</v>
      </c>
      <c r="F521">
        <v>120</v>
      </c>
      <c r="G521">
        <v>4.0999999999999996</v>
      </c>
      <c r="H521">
        <v>2023</v>
      </c>
      <c r="I521" t="s">
        <v>1093</v>
      </c>
      <c r="J521" t="s">
        <v>1099</v>
      </c>
      <c r="K521">
        <v>4</v>
      </c>
      <c r="L521">
        <v>3</v>
      </c>
      <c r="M521">
        <v>120</v>
      </c>
    </row>
    <row r="522" spans="1:13" x14ac:dyDescent="0.25">
      <c r="A522" t="s">
        <v>544</v>
      </c>
      <c r="B522" t="s">
        <v>21</v>
      </c>
      <c r="C522">
        <v>94</v>
      </c>
      <c r="D522" t="s">
        <v>9</v>
      </c>
      <c r="E522" s="46">
        <v>45077</v>
      </c>
      <c r="F522">
        <v>100</v>
      </c>
      <c r="G522">
        <v>3.7</v>
      </c>
      <c r="H522">
        <v>2023</v>
      </c>
      <c r="I522" t="s">
        <v>1093</v>
      </c>
      <c r="J522" t="s">
        <v>1099</v>
      </c>
      <c r="K522">
        <v>4</v>
      </c>
      <c r="L522">
        <v>3</v>
      </c>
      <c r="M522">
        <v>100</v>
      </c>
    </row>
    <row r="523" spans="1:13" x14ac:dyDescent="0.25">
      <c r="A523" t="s">
        <v>545</v>
      </c>
      <c r="B523" t="s">
        <v>21</v>
      </c>
      <c r="C523">
        <v>51</v>
      </c>
      <c r="D523" t="s">
        <v>9</v>
      </c>
      <c r="E523" s="46">
        <v>45078</v>
      </c>
      <c r="F523">
        <v>108</v>
      </c>
      <c r="G523">
        <v>4.5</v>
      </c>
      <c r="H523">
        <v>2023</v>
      </c>
      <c r="I523" t="s">
        <v>1094</v>
      </c>
      <c r="J523" t="s">
        <v>1099</v>
      </c>
      <c r="K523">
        <v>5</v>
      </c>
      <c r="L523">
        <v>3</v>
      </c>
      <c r="M523">
        <v>108</v>
      </c>
    </row>
    <row r="524" spans="1:13" x14ac:dyDescent="0.25">
      <c r="A524" t="s">
        <v>546</v>
      </c>
      <c r="B524" t="s">
        <v>5</v>
      </c>
      <c r="C524">
        <v>39</v>
      </c>
      <c r="D524" t="s">
        <v>9</v>
      </c>
      <c r="E524" s="46">
        <v>45078</v>
      </c>
      <c r="F524">
        <v>46</v>
      </c>
      <c r="G524">
        <v>4.5999999999999996</v>
      </c>
      <c r="H524">
        <v>2023</v>
      </c>
      <c r="I524" t="s">
        <v>1094</v>
      </c>
      <c r="J524" t="s">
        <v>1099</v>
      </c>
      <c r="K524">
        <v>5</v>
      </c>
      <c r="L524">
        <v>3</v>
      </c>
      <c r="M524">
        <v>46</v>
      </c>
    </row>
    <row r="525" spans="1:13" x14ac:dyDescent="0.25">
      <c r="A525" t="s">
        <v>547</v>
      </c>
      <c r="B525" t="s">
        <v>14</v>
      </c>
      <c r="C525">
        <v>111</v>
      </c>
      <c r="D525" t="s">
        <v>6</v>
      </c>
      <c r="E525" s="46">
        <v>45078</v>
      </c>
      <c r="F525">
        <v>210</v>
      </c>
      <c r="G525">
        <v>4.3</v>
      </c>
      <c r="H525">
        <v>2023</v>
      </c>
      <c r="I525" t="s">
        <v>1094</v>
      </c>
      <c r="J525" t="s">
        <v>1099</v>
      </c>
      <c r="K525">
        <v>4</v>
      </c>
      <c r="L525">
        <v>3</v>
      </c>
      <c r="M525">
        <v>210</v>
      </c>
    </row>
    <row r="526" spans="1:13" x14ac:dyDescent="0.25">
      <c r="A526" t="s">
        <v>548</v>
      </c>
      <c r="B526" t="s">
        <v>16</v>
      </c>
      <c r="C526">
        <v>141</v>
      </c>
      <c r="D526" t="s">
        <v>11</v>
      </c>
      <c r="E526" s="46">
        <v>45080</v>
      </c>
      <c r="F526">
        <v>54</v>
      </c>
      <c r="G526">
        <v>4.8</v>
      </c>
      <c r="H526">
        <v>2023</v>
      </c>
      <c r="I526" t="s">
        <v>1096</v>
      </c>
      <c r="J526" t="s">
        <v>1103</v>
      </c>
      <c r="K526">
        <v>5</v>
      </c>
      <c r="L526">
        <v>4</v>
      </c>
      <c r="M526">
        <v>54</v>
      </c>
    </row>
    <row r="527" spans="1:13" x14ac:dyDescent="0.25">
      <c r="A527" t="s">
        <v>549</v>
      </c>
      <c r="B527" t="s">
        <v>15</v>
      </c>
      <c r="C527">
        <v>147</v>
      </c>
      <c r="D527" t="s">
        <v>6</v>
      </c>
      <c r="E527" s="46">
        <v>45080</v>
      </c>
      <c r="F527">
        <v>115</v>
      </c>
      <c r="G527">
        <v>4.7</v>
      </c>
      <c r="H527">
        <v>2023</v>
      </c>
      <c r="I527" t="s">
        <v>1096</v>
      </c>
      <c r="J527" t="s">
        <v>1103</v>
      </c>
      <c r="K527">
        <v>5</v>
      </c>
      <c r="L527">
        <v>4</v>
      </c>
      <c r="M527">
        <v>115</v>
      </c>
    </row>
    <row r="528" spans="1:13" x14ac:dyDescent="0.25">
      <c r="A528" t="s">
        <v>550</v>
      </c>
      <c r="B528" t="s">
        <v>19</v>
      </c>
      <c r="C528">
        <v>49</v>
      </c>
      <c r="D528" t="s">
        <v>9</v>
      </c>
      <c r="E528" s="46">
        <v>45081</v>
      </c>
      <c r="F528">
        <v>100</v>
      </c>
      <c r="G528">
        <v>2.2000000000000002</v>
      </c>
      <c r="H528">
        <v>2023</v>
      </c>
      <c r="I528" t="s">
        <v>1090</v>
      </c>
      <c r="J528" t="s">
        <v>1099</v>
      </c>
      <c r="K528">
        <v>2</v>
      </c>
      <c r="L528">
        <v>3</v>
      </c>
      <c r="M528">
        <v>100</v>
      </c>
    </row>
    <row r="529" spans="1:13" x14ac:dyDescent="0.25">
      <c r="A529" t="s">
        <v>551</v>
      </c>
      <c r="B529" t="s">
        <v>23</v>
      </c>
      <c r="C529">
        <v>75</v>
      </c>
      <c r="D529" t="s">
        <v>6</v>
      </c>
      <c r="E529" s="46">
        <v>45081</v>
      </c>
      <c r="F529">
        <v>38</v>
      </c>
      <c r="G529">
        <v>4.4000000000000004</v>
      </c>
      <c r="H529">
        <v>2023</v>
      </c>
      <c r="I529" t="s">
        <v>1090</v>
      </c>
      <c r="J529" t="s">
        <v>1099</v>
      </c>
      <c r="K529">
        <v>4</v>
      </c>
      <c r="L529">
        <v>3</v>
      </c>
      <c r="M529">
        <v>38</v>
      </c>
    </row>
    <row r="530" spans="1:13" x14ac:dyDescent="0.25">
      <c r="A530" t="s">
        <v>552</v>
      </c>
      <c r="B530" t="s">
        <v>16</v>
      </c>
      <c r="C530">
        <v>48</v>
      </c>
      <c r="D530" t="s">
        <v>11</v>
      </c>
      <c r="E530" s="46">
        <v>45082</v>
      </c>
      <c r="F530">
        <v>120</v>
      </c>
      <c r="G530">
        <v>4.0999999999999996</v>
      </c>
      <c r="H530">
        <v>2023</v>
      </c>
      <c r="I530" t="s">
        <v>1091</v>
      </c>
      <c r="J530" t="s">
        <v>1099</v>
      </c>
      <c r="K530">
        <v>4</v>
      </c>
      <c r="L530">
        <v>3</v>
      </c>
      <c r="M530">
        <v>120</v>
      </c>
    </row>
    <row r="531" spans="1:13" x14ac:dyDescent="0.25">
      <c r="A531" t="s">
        <v>553</v>
      </c>
      <c r="B531" t="s">
        <v>22</v>
      </c>
      <c r="C531">
        <v>48</v>
      </c>
      <c r="D531" t="s">
        <v>11</v>
      </c>
      <c r="E531" s="46">
        <v>45082</v>
      </c>
      <c r="F531">
        <v>120</v>
      </c>
      <c r="G531">
        <v>4.0999999999999996</v>
      </c>
      <c r="H531">
        <v>2023</v>
      </c>
      <c r="I531" t="s">
        <v>1091</v>
      </c>
      <c r="J531" t="s">
        <v>1099</v>
      </c>
      <c r="K531">
        <v>4</v>
      </c>
      <c r="L531">
        <v>3</v>
      </c>
      <c r="M531">
        <v>120</v>
      </c>
    </row>
    <row r="532" spans="1:13" x14ac:dyDescent="0.25">
      <c r="A532" t="s">
        <v>554</v>
      </c>
      <c r="B532" t="s">
        <v>12</v>
      </c>
      <c r="C532">
        <v>138</v>
      </c>
      <c r="D532" t="s">
        <v>9</v>
      </c>
      <c r="E532" s="46">
        <v>45082</v>
      </c>
      <c r="F532">
        <v>29</v>
      </c>
      <c r="G532">
        <v>4.4000000000000004</v>
      </c>
      <c r="H532">
        <v>2023</v>
      </c>
      <c r="I532" t="s">
        <v>1091</v>
      </c>
      <c r="J532" t="s">
        <v>1103</v>
      </c>
      <c r="K532">
        <v>4</v>
      </c>
      <c r="L532">
        <v>4</v>
      </c>
      <c r="M532">
        <v>29</v>
      </c>
    </row>
    <row r="533" spans="1:13" x14ac:dyDescent="0.25">
      <c r="A533" t="s">
        <v>555</v>
      </c>
      <c r="B533" t="s">
        <v>7</v>
      </c>
      <c r="C533">
        <v>144</v>
      </c>
      <c r="D533" t="s">
        <v>9</v>
      </c>
      <c r="E533" s="46">
        <v>45083</v>
      </c>
      <c r="F533">
        <v>25</v>
      </c>
      <c r="G533">
        <v>3.7</v>
      </c>
      <c r="H533">
        <v>2023</v>
      </c>
      <c r="I533" t="s">
        <v>1092</v>
      </c>
      <c r="J533" t="s">
        <v>1103</v>
      </c>
      <c r="K533">
        <v>4</v>
      </c>
      <c r="L533">
        <v>4</v>
      </c>
      <c r="M533">
        <v>25</v>
      </c>
    </row>
    <row r="534" spans="1:13" x14ac:dyDescent="0.25">
      <c r="A534" t="s">
        <v>556</v>
      </c>
      <c r="B534" t="s">
        <v>17</v>
      </c>
      <c r="C534">
        <v>119</v>
      </c>
      <c r="D534" t="s">
        <v>6</v>
      </c>
      <c r="E534" s="46">
        <v>45084</v>
      </c>
      <c r="F534">
        <v>116</v>
      </c>
      <c r="G534">
        <v>3.8</v>
      </c>
      <c r="H534">
        <v>2023</v>
      </c>
      <c r="I534" t="s">
        <v>1093</v>
      </c>
      <c r="J534" t="s">
        <v>1099</v>
      </c>
      <c r="K534">
        <v>4</v>
      </c>
      <c r="L534">
        <v>3</v>
      </c>
      <c r="M534">
        <v>116</v>
      </c>
    </row>
    <row r="535" spans="1:13" x14ac:dyDescent="0.25">
      <c r="A535" t="s">
        <v>557</v>
      </c>
      <c r="B535" t="s">
        <v>12</v>
      </c>
      <c r="C535">
        <v>101</v>
      </c>
      <c r="D535" t="s">
        <v>11</v>
      </c>
      <c r="E535" s="46">
        <v>45085</v>
      </c>
      <c r="F535">
        <v>132</v>
      </c>
      <c r="G535">
        <v>4.3</v>
      </c>
      <c r="H535">
        <v>2023</v>
      </c>
      <c r="I535" t="s">
        <v>1094</v>
      </c>
      <c r="J535" t="s">
        <v>1099</v>
      </c>
      <c r="K535">
        <v>4</v>
      </c>
      <c r="L535">
        <v>3</v>
      </c>
      <c r="M535">
        <v>132</v>
      </c>
    </row>
    <row r="536" spans="1:13" x14ac:dyDescent="0.25">
      <c r="A536" t="s">
        <v>558</v>
      </c>
      <c r="B536" t="s">
        <v>7</v>
      </c>
      <c r="C536">
        <v>59</v>
      </c>
      <c r="D536" t="s">
        <v>6</v>
      </c>
      <c r="E536" s="46">
        <v>45086</v>
      </c>
      <c r="F536">
        <v>90</v>
      </c>
      <c r="G536">
        <v>3.5</v>
      </c>
      <c r="H536">
        <v>2023</v>
      </c>
      <c r="I536" t="s">
        <v>1095</v>
      </c>
      <c r="J536" t="s">
        <v>1099</v>
      </c>
      <c r="K536">
        <v>4</v>
      </c>
      <c r="L536">
        <v>3</v>
      </c>
      <c r="M536">
        <v>90</v>
      </c>
    </row>
    <row r="537" spans="1:13" x14ac:dyDescent="0.25">
      <c r="A537" t="s">
        <v>559</v>
      </c>
      <c r="B537" t="s">
        <v>14</v>
      </c>
      <c r="C537">
        <v>125</v>
      </c>
      <c r="D537" t="s">
        <v>10</v>
      </c>
      <c r="E537" s="46">
        <v>45086</v>
      </c>
      <c r="F537">
        <v>87</v>
      </c>
      <c r="G537">
        <v>4.0999999999999996</v>
      </c>
      <c r="H537">
        <v>2023</v>
      </c>
      <c r="I537" t="s">
        <v>1095</v>
      </c>
      <c r="J537" t="s">
        <v>1103</v>
      </c>
      <c r="K537">
        <v>4</v>
      </c>
      <c r="L537">
        <v>4</v>
      </c>
      <c r="M537">
        <v>87</v>
      </c>
    </row>
    <row r="538" spans="1:13" x14ac:dyDescent="0.25">
      <c r="A538" t="s">
        <v>560</v>
      </c>
      <c r="B538" t="s">
        <v>18</v>
      </c>
      <c r="C538">
        <v>147</v>
      </c>
      <c r="D538" t="s">
        <v>6</v>
      </c>
      <c r="E538" s="46">
        <v>45086</v>
      </c>
      <c r="F538">
        <v>140</v>
      </c>
      <c r="G538">
        <v>4.2</v>
      </c>
      <c r="H538">
        <v>2023</v>
      </c>
      <c r="I538" t="s">
        <v>1095</v>
      </c>
      <c r="J538" t="s">
        <v>1103</v>
      </c>
      <c r="K538">
        <v>4</v>
      </c>
      <c r="L538">
        <v>4</v>
      </c>
      <c r="M538">
        <v>140</v>
      </c>
    </row>
    <row r="539" spans="1:13" x14ac:dyDescent="0.25">
      <c r="A539" t="s">
        <v>561</v>
      </c>
      <c r="B539" t="s">
        <v>24</v>
      </c>
      <c r="C539">
        <v>76</v>
      </c>
      <c r="D539" t="s">
        <v>6</v>
      </c>
      <c r="E539" s="46">
        <v>45086</v>
      </c>
      <c r="F539">
        <v>164</v>
      </c>
      <c r="G539">
        <v>4.5</v>
      </c>
      <c r="H539">
        <v>2023</v>
      </c>
      <c r="I539" t="s">
        <v>1095</v>
      </c>
      <c r="J539" t="s">
        <v>1099</v>
      </c>
      <c r="K539">
        <v>5</v>
      </c>
      <c r="L539">
        <v>3</v>
      </c>
      <c r="M539">
        <v>164</v>
      </c>
    </row>
    <row r="540" spans="1:13" x14ac:dyDescent="0.25">
      <c r="A540" t="s">
        <v>562</v>
      </c>
      <c r="B540" t="s">
        <v>15</v>
      </c>
      <c r="C540">
        <v>99</v>
      </c>
      <c r="D540" t="s">
        <v>11</v>
      </c>
      <c r="E540" s="46">
        <v>45087</v>
      </c>
      <c r="F540">
        <v>180</v>
      </c>
      <c r="G540">
        <v>3.8</v>
      </c>
      <c r="H540">
        <v>2023</v>
      </c>
      <c r="I540" t="s">
        <v>1096</v>
      </c>
      <c r="J540" t="s">
        <v>1099</v>
      </c>
      <c r="K540">
        <v>4</v>
      </c>
      <c r="L540">
        <v>3</v>
      </c>
      <c r="M540">
        <v>180</v>
      </c>
    </row>
    <row r="541" spans="1:13" x14ac:dyDescent="0.25">
      <c r="A541" t="s">
        <v>563</v>
      </c>
      <c r="B541" t="s">
        <v>5</v>
      </c>
      <c r="C541">
        <v>111</v>
      </c>
      <c r="D541" t="s">
        <v>13</v>
      </c>
      <c r="E541" s="46">
        <v>45088</v>
      </c>
      <c r="F541">
        <v>22</v>
      </c>
      <c r="G541">
        <v>4.0999999999999996</v>
      </c>
      <c r="H541">
        <v>2023</v>
      </c>
      <c r="I541" t="s">
        <v>1090</v>
      </c>
      <c r="J541" t="s">
        <v>1099</v>
      </c>
      <c r="K541">
        <v>4</v>
      </c>
      <c r="L541">
        <v>3</v>
      </c>
      <c r="M541">
        <v>22</v>
      </c>
    </row>
    <row r="542" spans="1:13" x14ac:dyDescent="0.25">
      <c r="A542" t="s">
        <v>564</v>
      </c>
      <c r="B542" t="s">
        <v>8</v>
      </c>
      <c r="C542">
        <v>147</v>
      </c>
      <c r="D542" t="s">
        <v>10</v>
      </c>
      <c r="E542" s="46">
        <v>45088</v>
      </c>
      <c r="F542">
        <v>82</v>
      </c>
      <c r="G542">
        <v>4.4000000000000004</v>
      </c>
      <c r="H542">
        <v>2023</v>
      </c>
      <c r="I542" t="s">
        <v>1090</v>
      </c>
      <c r="J542" t="s">
        <v>1103</v>
      </c>
      <c r="K542">
        <v>4</v>
      </c>
      <c r="L542">
        <v>4</v>
      </c>
      <c r="M542">
        <v>82</v>
      </c>
    </row>
    <row r="543" spans="1:13" x14ac:dyDescent="0.25">
      <c r="A543" t="s">
        <v>565</v>
      </c>
      <c r="B543" t="s">
        <v>20</v>
      </c>
      <c r="C543">
        <v>141</v>
      </c>
      <c r="D543" t="s">
        <v>11</v>
      </c>
      <c r="E543" s="46">
        <v>45088</v>
      </c>
      <c r="F543">
        <v>100</v>
      </c>
      <c r="G543">
        <v>4.5999999999999996</v>
      </c>
      <c r="H543">
        <v>2023</v>
      </c>
      <c r="I543" t="s">
        <v>1090</v>
      </c>
      <c r="J543" t="s">
        <v>1103</v>
      </c>
      <c r="K543">
        <v>5</v>
      </c>
      <c r="L543">
        <v>4</v>
      </c>
      <c r="M543">
        <v>100</v>
      </c>
    </row>
    <row r="544" spans="1:13" x14ac:dyDescent="0.25">
      <c r="A544" t="s">
        <v>566</v>
      </c>
      <c r="B544" t="s">
        <v>24</v>
      </c>
      <c r="C544">
        <v>71</v>
      </c>
      <c r="D544" t="s">
        <v>6</v>
      </c>
      <c r="E544" s="46">
        <v>45089</v>
      </c>
      <c r="F544">
        <v>52</v>
      </c>
      <c r="G544">
        <v>3.4</v>
      </c>
      <c r="H544">
        <v>2023</v>
      </c>
      <c r="I544" t="s">
        <v>1091</v>
      </c>
      <c r="J544" t="s">
        <v>1099</v>
      </c>
      <c r="K544">
        <v>3</v>
      </c>
      <c r="L544">
        <v>3</v>
      </c>
      <c r="M544">
        <v>52</v>
      </c>
    </row>
    <row r="545" spans="1:13" x14ac:dyDescent="0.25">
      <c r="A545" t="s">
        <v>567</v>
      </c>
      <c r="B545" t="s">
        <v>24</v>
      </c>
      <c r="C545">
        <v>121</v>
      </c>
      <c r="D545" t="s">
        <v>10</v>
      </c>
      <c r="E545" s="46">
        <v>45090</v>
      </c>
      <c r="F545">
        <v>84</v>
      </c>
      <c r="G545">
        <v>4.5999999999999996</v>
      </c>
      <c r="H545">
        <v>2023</v>
      </c>
      <c r="I545" t="s">
        <v>1092</v>
      </c>
      <c r="J545" t="s">
        <v>1103</v>
      </c>
      <c r="K545">
        <v>5</v>
      </c>
      <c r="L545">
        <v>4</v>
      </c>
      <c r="M545">
        <v>84</v>
      </c>
    </row>
    <row r="546" spans="1:13" x14ac:dyDescent="0.25">
      <c r="A546" t="s">
        <v>568</v>
      </c>
      <c r="B546" t="s">
        <v>24</v>
      </c>
      <c r="C546">
        <v>60</v>
      </c>
      <c r="D546" t="s">
        <v>10</v>
      </c>
      <c r="E546" s="46">
        <v>45090</v>
      </c>
      <c r="F546">
        <v>37</v>
      </c>
      <c r="G546">
        <v>3.9</v>
      </c>
      <c r="H546">
        <v>2023</v>
      </c>
      <c r="I546" t="s">
        <v>1092</v>
      </c>
      <c r="J546" t="s">
        <v>1099</v>
      </c>
      <c r="K546">
        <v>4</v>
      </c>
      <c r="L546">
        <v>3</v>
      </c>
      <c r="M546">
        <v>37</v>
      </c>
    </row>
    <row r="547" spans="1:13" x14ac:dyDescent="0.25">
      <c r="A547" t="s">
        <v>569</v>
      </c>
      <c r="B547" t="s">
        <v>19</v>
      </c>
      <c r="C547">
        <v>158</v>
      </c>
      <c r="D547" t="s">
        <v>11</v>
      </c>
      <c r="E547" s="46">
        <v>45091</v>
      </c>
      <c r="F547">
        <v>190</v>
      </c>
      <c r="G547">
        <v>4</v>
      </c>
      <c r="H547">
        <v>2023</v>
      </c>
      <c r="I547" t="s">
        <v>1093</v>
      </c>
      <c r="J547" t="s">
        <v>1103</v>
      </c>
      <c r="K547">
        <v>4</v>
      </c>
      <c r="L547">
        <v>4</v>
      </c>
      <c r="M547">
        <v>190</v>
      </c>
    </row>
    <row r="548" spans="1:13" x14ac:dyDescent="0.25">
      <c r="A548" t="s">
        <v>570</v>
      </c>
      <c r="B548" t="s">
        <v>18</v>
      </c>
      <c r="C548">
        <v>159</v>
      </c>
      <c r="D548" t="s">
        <v>9</v>
      </c>
      <c r="E548" s="46">
        <v>45091</v>
      </c>
      <c r="F548">
        <v>66</v>
      </c>
      <c r="G548">
        <v>3.4</v>
      </c>
      <c r="H548">
        <v>2023</v>
      </c>
      <c r="I548" t="s">
        <v>1093</v>
      </c>
      <c r="J548" t="s">
        <v>1103</v>
      </c>
      <c r="K548">
        <v>3</v>
      </c>
      <c r="L548">
        <v>4</v>
      </c>
      <c r="M548">
        <v>66</v>
      </c>
    </row>
    <row r="549" spans="1:13" x14ac:dyDescent="0.25">
      <c r="A549" t="s">
        <v>571</v>
      </c>
      <c r="B549" t="s">
        <v>12</v>
      </c>
      <c r="C549">
        <v>70</v>
      </c>
      <c r="D549" t="s">
        <v>6</v>
      </c>
      <c r="E549" s="46">
        <v>45092</v>
      </c>
      <c r="F549">
        <v>116</v>
      </c>
      <c r="G549">
        <v>3.2</v>
      </c>
      <c r="H549">
        <v>2023</v>
      </c>
      <c r="I549" t="s">
        <v>1094</v>
      </c>
      <c r="J549" t="s">
        <v>1099</v>
      </c>
      <c r="K549">
        <v>3</v>
      </c>
      <c r="L549">
        <v>3</v>
      </c>
      <c r="M549">
        <v>116</v>
      </c>
    </row>
    <row r="550" spans="1:13" x14ac:dyDescent="0.25">
      <c r="A550" t="s">
        <v>572</v>
      </c>
      <c r="B550" t="s">
        <v>16</v>
      </c>
      <c r="C550">
        <v>78</v>
      </c>
      <c r="D550" t="s">
        <v>13</v>
      </c>
      <c r="E550" s="46">
        <v>45092</v>
      </c>
      <c r="F550">
        <v>28</v>
      </c>
      <c r="G550">
        <v>3.9</v>
      </c>
      <c r="H550">
        <v>2023</v>
      </c>
      <c r="I550" t="s">
        <v>1094</v>
      </c>
      <c r="J550" t="s">
        <v>1099</v>
      </c>
      <c r="K550">
        <v>4</v>
      </c>
      <c r="L550">
        <v>3</v>
      </c>
      <c r="M550">
        <v>28</v>
      </c>
    </row>
    <row r="551" spans="1:13" x14ac:dyDescent="0.25">
      <c r="A551" t="s">
        <v>573</v>
      </c>
      <c r="B551" t="s">
        <v>8</v>
      </c>
      <c r="C551">
        <v>103</v>
      </c>
      <c r="D551" t="s">
        <v>6</v>
      </c>
      <c r="E551" s="46">
        <v>45092</v>
      </c>
      <c r="F551">
        <v>120</v>
      </c>
      <c r="G551">
        <v>5</v>
      </c>
      <c r="H551">
        <v>2023</v>
      </c>
      <c r="I551" t="s">
        <v>1094</v>
      </c>
      <c r="J551" t="s">
        <v>1099</v>
      </c>
      <c r="K551">
        <v>5</v>
      </c>
      <c r="L551">
        <v>3</v>
      </c>
      <c r="M551">
        <v>120</v>
      </c>
    </row>
    <row r="552" spans="1:13" x14ac:dyDescent="0.25">
      <c r="A552" t="s">
        <v>574</v>
      </c>
      <c r="B552" t="s">
        <v>23</v>
      </c>
      <c r="C552">
        <v>108</v>
      </c>
      <c r="D552" t="s">
        <v>11</v>
      </c>
      <c r="E552" s="46">
        <v>45092</v>
      </c>
      <c r="F552">
        <v>56</v>
      </c>
      <c r="G552">
        <v>3.5</v>
      </c>
      <c r="H552">
        <v>2023</v>
      </c>
      <c r="I552" t="s">
        <v>1094</v>
      </c>
      <c r="J552" t="s">
        <v>1099</v>
      </c>
      <c r="K552">
        <v>4</v>
      </c>
      <c r="L552">
        <v>3</v>
      </c>
      <c r="M552">
        <v>56</v>
      </c>
    </row>
    <row r="553" spans="1:13" x14ac:dyDescent="0.25">
      <c r="A553" t="s">
        <v>575</v>
      </c>
      <c r="B553" t="s">
        <v>23</v>
      </c>
      <c r="C553">
        <v>44</v>
      </c>
      <c r="D553" t="s">
        <v>10</v>
      </c>
      <c r="E553" s="46">
        <v>45092</v>
      </c>
      <c r="F553">
        <v>170</v>
      </c>
      <c r="G553">
        <v>3.8</v>
      </c>
      <c r="H553">
        <v>2023</v>
      </c>
      <c r="I553" t="s">
        <v>1094</v>
      </c>
      <c r="J553" t="s">
        <v>1099</v>
      </c>
      <c r="K553">
        <v>4</v>
      </c>
      <c r="L553">
        <v>3</v>
      </c>
      <c r="M553">
        <v>170</v>
      </c>
    </row>
    <row r="554" spans="1:13" x14ac:dyDescent="0.25">
      <c r="A554" t="s">
        <v>576</v>
      </c>
      <c r="B554" t="s">
        <v>16</v>
      </c>
      <c r="C554">
        <v>127</v>
      </c>
      <c r="D554" t="s">
        <v>11</v>
      </c>
      <c r="E554" s="46">
        <v>45093</v>
      </c>
      <c r="F554">
        <v>200</v>
      </c>
      <c r="G554">
        <v>4.8</v>
      </c>
      <c r="H554">
        <v>2023</v>
      </c>
      <c r="I554" t="s">
        <v>1095</v>
      </c>
      <c r="J554" t="s">
        <v>1103</v>
      </c>
      <c r="K554">
        <v>5</v>
      </c>
      <c r="L554">
        <v>4</v>
      </c>
      <c r="M554">
        <v>200</v>
      </c>
    </row>
    <row r="555" spans="1:13" x14ac:dyDescent="0.25">
      <c r="A555" t="s">
        <v>577</v>
      </c>
      <c r="B555" t="s">
        <v>8</v>
      </c>
      <c r="C555">
        <v>132</v>
      </c>
      <c r="D555" t="s">
        <v>6</v>
      </c>
      <c r="E555" s="46">
        <v>45094</v>
      </c>
      <c r="F555">
        <v>50</v>
      </c>
      <c r="G555">
        <v>4.2</v>
      </c>
      <c r="H555">
        <v>2023</v>
      </c>
      <c r="I555" t="s">
        <v>1096</v>
      </c>
      <c r="J555" t="s">
        <v>1103</v>
      </c>
      <c r="K555">
        <v>4</v>
      </c>
      <c r="L555">
        <v>4</v>
      </c>
      <c r="M555">
        <v>50</v>
      </c>
    </row>
    <row r="556" spans="1:13" x14ac:dyDescent="0.25">
      <c r="A556" t="s">
        <v>578</v>
      </c>
      <c r="B556" t="s">
        <v>20</v>
      </c>
      <c r="C556">
        <v>106</v>
      </c>
      <c r="D556" t="s">
        <v>13</v>
      </c>
      <c r="E556" s="46">
        <v>45094</v>
      </c>
      <c r="F556">
        <v>112</v>
      </c>
      <c r="G556">
        <v>3.7</v>
      </c>
      <c r="H556">
        <v>2023</v>
      </c>
      <c r="I556" t="s">
        <v>1096</v>
      </c>
      <c r="J556" t="s">
        <v>1099</v>
      </c>
      <c r="K556">
        <v>4</v>
      </c>
      <c r="L556">
        <v>3</v>
      </c>
      <c r="M556">
        <v>112</v>
      </c>
    </row>
    <row r="557" spans="1:13" x14ac:dyDescent="0.25">
      <c r="A557" t="s">
        <v>579</v>
      </c>
      <c r="B557" t="s">
        <v>5</v>
      </c>
      <c r="C557">
        <v>107</v>
      </c>
      <c r="D557" t="s">
        <v>6</v>
      </c>
      <c r="E557" s="46">
        <v>45095</v>
      </c>
      <c r="F557">
        <v>39</v>
      </c>
      <c r="G557">
        <v>4.8</v>
      </c>
      <c r="H557">
        <v>2023</v>
      </c>
      <c r="I557" t="s">
        <v>1090</v>
      </c>
      <c r="J557" t="s">
        <v>1099</v>
      </c>
      <c r="K557">
        <v>5</v>
      </c>
      <c r="L557">
        <v>3</v>
      </c>
      <c r="M557">
        <v>39</v>
      </c>
    </row>
    <row r="558" spans="1:13" x14ac:dyDescent="0.25">
      <c r="A558" t="s">
        <v>580</v>
      </c>
      <c r="B558" t="s">
        <v>18</v>
      </c>
      <c r="C558">
        <v>85</v>
      </c>
      <c r="D558" t="s">
        <v>13</v>
      </c>
      <c r="E558" s="46">
        <v>45095</v>
      </c>
      <c r="F558">
        <v>38</v>
      </c>
      <c r="G558">
        <v>4.8</v>
      </c>
      <c r="H558">
        <v>2023</v>
      </c>
      <c r="I558" t="s">
        <v>1090</v>
      </c>
      <c r="J558" t="s">
        <v>1099</v>
      </c>
      <c r="K558">
        <v>5</v>
      </c>
      <c r="L558">
        <v>3</v>
      </c>
      <c r="M558">
        <v>38</v>
      </c>
    </row>
    <row r="559" spans="1:13" x14ac:dyDescent="0.25">
      <c r="A559" t="s">
        <v>581</v>
      </c>
      <c r="B559" t="s">
        <v>15</v>
      </c>
      <c r="C559">
        <v>49</v>
      </c>
      <c r="D559" t="s">
        <v>6</v>
      </c>
      <c r="E559" s="46">
        <v>45096</v>
      </c>
      <c r="F559">
        <v>84</v>
      </c>
      <c r="G559">
        <v>2.9</v>
      </c>
      <c r="H559">
        <v>2023</v>
      </c>
      <c r="I559" t="s">
        <v>1091</v>
      </c>
      <c r="J559" t="s">
        <v>1099</v>
      </c>
      <c r="K559">
        <v>3</v>
      </c>
      <c r="L559">
        <v>3</v>
      </c>
      <c r="M559">
        <v>84</v>
      </c>
    </row>
    <row r="560" spans="1:13" x14ac:dyDescent="0.25">
      <c r="A560" t="s">
        <v>582</v>
      </c>
      <c r="B560" t="s">
        <v>24</v>
      </c>
      <c r="C560">
        <v>117</v>
      </c>
      <c r="D560" t="s">
        <v>11</v>
      </c>
      <c r="E560" s="46">
        <v>45097</v>
      </c>
      <c r="F560">
        <v>82</v>
      </c>
      <c r="G560">
        <v>3.5</v>
      </c>
      <c r="H560">
        <v>2023</v>
      </c>
      <c r="I560" t="s">
        <v>1092</v>
      </c>
      <c r="J560" t="s">
        <v>1099</v>
      </c>
      <c r="K560">
        <v>4</v>
      </c>
      <c r="L560">
        <v>3</v>
      </c>
      <c r="M560">
        <v>82</v>
      </c>
    </row>
    <row r="561" spans="1:13" x14ac:dyDescent="0.25">
      <c r="A561" t="s">
        <v>583</v>
      </c>
      <c r="B561" t="s">
        <v>5</v>
      </c>
      <c r="C561">
        <v>136</v>
      </c>
      <c r="D561" t="s">
        <v>13</v>
      </c>
      <c r="E561" s="46">
        <v>45097</v>
      </c>
      <c r="F561">
        <v>37</v>
      </c>
      <c r="G561">
        <v>0.9</v>
      </c>
      <c r="H561">
        <v>2023</v>
      </c>
      <c r="I561" t="s">
        <v>1092</v>
      </c>
      <c r="J561" t="s">
        <v>1103</v>
      </c>
      <c r="K561">
        <v>1</v>
      </c>
      <c r="L561">
        <v>4</v>
      </c>
      <c r="M561">
        <v>37</v>
      </c>
    </row>
    <row r="562" spans="1:13" x14ac:dyDescent="0.25">
      <c r="A562" t="s">
        <v>584</v>
      </c>
      <c r="B562" t="s">
        <v>23</v>
      </c>
      <c r="C562">
        <v>130</v>
      </c>
      <c r="D562" t="s">
        <v>9</v>
      </c>
      <c r="E562" s="46">
        <v>45098</v>
      </c>
      <c r="F562">
        <v>87</v>
      </c>
      <c r="G562">
        <v>3.4</v>
      </c>
      <c r="H562">
        <v>2023</v>
      </c>
      <c r="I562" t="s">
        <v>1093</v>
      </c>
      <c r="J562" t="s">
        <v>1103</v>
      </c>
      <c r="K562">
        <v>3</v>
      </c>
      <c r="L562">
        <v>4</v>
      </c>
      <c r="M562">
        <v>87</v>
      </c>
    </row>
    <row r="563" spans="1:13" x14ac:dyDescent="0.25">
      <c r="A563" t="s">
        <v>585</v>
      </c>
      <c r="B563" t="s">
        <v>23</v>
      </c>
      <c r="C563">
        <v>73</v>
      </c>
      <c r="D563" t="s">
        <v>9</v>
      </c>
      <c r="E563" s="46">
        <v>45098</v>
      </c>
      <c r="F563">
        <v>75</v>
      </c>
      <c r="G563">
        <v>2.7</v>
      </c>
      <c r="H563">
        <v>2023</v>
      </c>
      <c r="I563" t="s">
        <v>1093</v>
      </c>
      <c r="J563" t="s">
        <v>1099</v>
      </c>
      <c r="K563">
        <v>3</v>
      </c>
      <c r="L563">
        <v>3</v>
      </c>
      <c r="M563">
        <v>75</v>
      </c>
    </row>
    <row r="564" spans="1:13" x14ac:dyDescent="0.25">
      <c r="A564" t="s">
        <v>586</v>
      </c>
      <c r="B564" t="s">
        <v>15</v>
      </c>
      <c r="C564">
        <v>80</v>
      </c>
      <c r="D564" t="s">
        <v>6</v>
      </c>
      <c r="E564" s="46">
        <v>45098</v>
      </c>
      <c r="F564">
        <v>32</v>
      </c>
      <c r="G564">
        <v>4.7</v>
      </c>
      <c r="H564">
        <v>2023</v>
      </c>
      <c r="I564" t="s">
        <v>1093</v>
      </c>
      <c r="J564" t="s">
        <v>1099</v>
      </c>
      <c r="K564">
        <v>5</v>
      </c>
      <c r="L564">
        <v>3</v>
      </c>
      <c r="M564">
        <v>32</v>
      </c>
    </row>
    <row r="565" spans="1:13" x14ac:dyDescent="0.25">
      <c r="A565" t="s">
        <v>587</v>
      </c>
      <c r="B565" t="s">
        <v>17</v>
      </c>
      <c r="C565">
        <v>44</v>
      </c>
      <c r="D565" t="s">
        <v>11</v>
      </c>
      <c r="E565" s="46">
        <v>45098</v>
      </c>
      <c r="F565">
        <v>33</v>
      </c>
      <c r="G565">
        <v>3</v>
      </c>
      <c r="H565">
        <v>2023</v>
      </c>
      <c r="I565" t="s">
        <v>1093</v>
      </c>
      <c r="J565" t="s">
        <v>1099</v>
      </c>
      <c r="K565">
        <v>3</v>
      </c>
      <c r="L565">
        <v>3</v>
      </c>
      <c r="M565">
        <v>33</v>
      </c>
    </row>
    <row r="566" spans="1:13" x14ac:dyDescent="0.25">
      <c r="A566" t="s">
        <v>588</v>
      </c>
      <c r="B566" t="s">
        <v>17</v>
      </c>
      <c r="C566">
        <v>102</v>
      </c>
      <c r="D566" t="s">
        <v>10</v>
      </c>
      <c r="E566" s="46">
        <v>45098</v>
      </c>
      <c r="F566">
        <v>76</v>
      </c>
      <c r="G566">
        <v>4.2</v>
      </c>
      <c r="H566">
        <v>2023</v>
      </c>
      <c r="I566" t="s">
        <v>1093</v>
      </c>
      <c r="J566" t="s">
        <v>1099</v>
      </c>
      <c r="K566">
        <v>4</v>
      </c>
      <c r="L566">
        <v>3</v>
      </c>
      <c r="M566">
        <v>76</v>
      </c>
    </row>
    <row r="567" spans="1:13" x14ac:dyDescent="0.25">
      <c r="A567" t="s">
        <v>589</v>
      </c>
      <c r="B567" t="s">
        <v>19</v>
      </c>
      <c r="C567">
        <v>74</v>
      </c>
      <c r="D567" t="s">
        <v>10</v>
      </c>
      <c r="E567" s="46">
        <v>45098</v>
      </c>
      <c r="F567">
        <v>117</v>
      </c>
      <c r="G567">
        <v>4.8</v>
      </c>
      <c r="H567">
        <v>2023</v>
      </c>
      <c r="I567" t="s">
        <v>1093</v>
      </c>
      <c r="J567" t="s">
        <v>1099</v>
      </c>
      <c r="K567">
        <v>5</v>
      </c>
      <c r="L567">
        <v>3</v>
      </c>
      <c r="M567">
        <v>117</v>
      </c>
    </row>
    <row r="568" spans="1:13" x14ac:dyDescent="0.25">
      <c r="A568" t="s">
        <v>590</v>
      </c>
      <c r="B568" t="s">
        <v>15</v>
      </c>
      <c r="C568">
        <v>52</v>
      </c>
      <c r="D568" t="s">
        <v>11</v>
      </c>
      <c r="E568" s="46">
        <v>45100</v>
      </c>
      <c r="F568">
        <v>70</v>
      </c>
      <c r="G568">
        <v>4.0999999999999996</v>
      </c>
      <c r="H568">
        <v>2023</v>
      </c>
      <c r="I568" t="s">
        <v>1095</v>
      </c>
      <c r="J568" t="s">
        <v>1099</v>
      </c>
      <c r="K568">
        <v>4</v>
      </c>
      <c r="L568">
        <v>3</v>
      </c>
      <c r="M568">
        <v>70</v>
      </c>
    </row>
    <row r="569" spans="1:13" x14ac:dyDescent="0.25">
      <c r="A569" t="s">
        <v>591</v>
      </c>
      <c r="B569" t="s">
        <v>15</v>
      </c>
      <c r="C569">
        <v>74</v>
      </c>
      <c r="D569" t="s">
        <v>9</v>
      </c>
      <c r="E569" s="46">
        <v>45100</v>
      </c>
      <c r="F569">
        <v>37</v>
      </c>
      <c r="G569">
        <v>2.7</v>
      </c>
      <c r="H569">
        <v>2023</v>
      </c>
      <c r="I569" t="s">
        <v>1095</v>
      </c>
      <c r="J569" t="s">
        <v>1099</v>
      </c>
      <c r="K569">
        <v>3</v>
      </c>
      <c r="L569">
        <v>3</v>
      </c>
      <c r="M569">
        <v>37</v>
      </c>
    </row>
    <row r="570" spans="1:13" x14ac:dyDescent="0.25">
      <c r="A570" t="s">
        <v>592</v>
      </c>
      <c r="B570" t="s">
        <v>23</v>
      </c>
      <c r="C570">
        <v>96</v>
      </c>
      <c r="D570" t="s">
        <v>10</v>
      </c>
      <c r="E570" s="46">
        <v>45100</v>
      </c>
      <c r="F570">
        <v>46</v>
      </c>
      <c r="G570">
        <v>2.9</v>
      </c>
      <c r="H570">
        <v>2023</v>
      </c>
      <c r="I570" t="s">
        <v>1095</v>
      </c>
      <c r="J570" t="s">
        <v>1099</v>
      </c>
      <c r="K570">
        <v>3</v>
      </c>
      <c r="L570">
        <v>3</v>
      </c>
      <c r="M570">
        <v>46</v>
      </c>
    </row>
    <row r="571" spans="1:13" x14ac:dyDescent="0.25">
      <c r="A571" t="s">
        <v>593</v>
      </c>
      <c r="B571" t="s">
        <v>14</v>
      </c>
      <c r="C571">
        <v>104</v>
      </c>
      <c r="D571" t="s">
        <v>6</v>
      </c>
      <c r="E571" s="46">
        <v>45100</v>
      </c>
      <c r="F571">
        <v>136</v>
      </c>
      <c r="G571">
        <v>5</v>
      </c>
      <c r="H571">
        <v>2023</v>
      </c>
      <c r="I571" t="s">
        <v>1095</v>
      </c>
      <c r="J571" t="s">
        <v>1099</v>
      </c>
      <c r="K571">
        <v>5</v>
      </c>
      <c r="L571">
        <v>3</v>
      </c>
      <c r="M571">
        <v>136</v>
      </c>
    </row>
    <row r="572" spans="1:13" x14ac:dyDescent="0.25">
      <c r="A572" t="s">
        <v>594</v>
      </c>
      <c r="B572" t="s">
        <v>23</v>
      </c>
      <c r="C572">
        <v>123</v>
      </c>
      <c r="D572" t="s">
        <v>10</v>
      </c>
      <c r="E572" s="46">
        <v>45101</v>
      </c>
      <c r="F572">
        <v>44</v>
      </c>
      <c r="G572">
        <v>4.5999999999999996</v>
      </c>
      <c r="H572">
        <v>2023</v>
      </c>
      <c r="I572" t="s">
        <v>1096</v>
      </c>
      <c r="J572" t="s">
        <v>1103</v>
      </c>
      <c r="K572">
        <v>5</v>
      </c>
      <c r="L572">
        <v>4</v>
      </c>
      <c r="M572">
        <v>44</v>
      </c>
    </row>
    <row r="573" spans="1:13" x14ac:dyDescent="0.25">
      <c r="A573" t="s">
        <v>595</v>
      </c>
      <c r="B573" t="s">
        <v>22</v>
      </c>
      <c r="C573">
        <v>100</v>
      </c>
      <c r="D573" t="s">
        <v>13</v>
      </c>
      <c r="E573" s="46">
        <v>45101</v>
      </c>
      <c r="F573">
        <v>69</v>
      </c>
      <c r="G573">
        <v>3</v>
      </c>
      <c r="H573">
        <v>2023</v>
      </c>
      <c r="I573" t="s">
        <v>1096</v>
      </c>
      <c r="J573" t="s">
        <v>1099</v>
      </c>
      <c r="K573">
        <v>3</v>
      </c>
      <c r="L573">
        <v>3</v>
      </c>
      <c r="M573">
        <v>69</v>
      </c>
    </row>
    <row r="574" spans="1:13" x14ac:dyDescent="0.25">
      <c r="A574" t="s">
        <v>596</v>
      </c>
      <c r="B574" t="s">
        <v>14</v>
      </c>
      <c r="C574">
        <v>35</v>
      </c>
      <c r="D574" t="s">
        <v>11</v>
      </c>
      <c r="E574" s="46">
        <v>45102</v>
      </c>
      <c r="F574">
        <v>86</v>
      </c>
      <c r="G574">
        <v>4.5999999999999996</v>
      </c>
      <c r="H574">
        <v>2023</v>
      </c>
      <c r="I574" t="s">
        <v>1090</v>
      </c>
      <c r="J574" t="s">
        <v>1099</v>
      </c>
      <c r="K574">
        <v>5</v>
      </c>
      <c r="L574">
        <v>3</v>
      </c>
      <c r="M574">
        <v>86</v>
      </c>
    </row>
    <row r="575" spans="1:13" x14ac:dyDescent="0.25">
      <c r="A575" t="s">
        <v>597</v>
      </c>
      <c r="B575" t="s">
        <v>15</v>
      </c>
      <c r="C575">
        <v>123</v>
      </c>
      <c r="D575" t="s">
        <v>6</v>
      </c>
      <c r="E575" s="46">
        <v>45102</v>
      </c>
      <c r="F575">
        <v>68</v>
      </c>
      <c r="G575">
        <v>4.5</v>
      </c>
      <c r="H575">
        <v>2023</v>
      </c>
      <c r="I575" t="s">
        <v>1090</v>
      </c>
      <c r="J575" t="s">
        <v>1103</v>
      </c>
      <c r="K575">
        <v>5</v>
      </c>
      <c r="L575">
        <v>4</v>
      </c>
      <c r="M575">
        <v>68</v>
      </c>
    </row>
    <row r="576" spans="1:13" x14ac:dyDescent="0.25">
      <c r="A576" t="s">
        <v>598</v>
      </c>
      <c r="B576" t="s">
        <v>24</v>
      </c>
      <c r="C576">
        <v>133</v>
      </c>
      <c r="D576" t="s">
        <v>11</v>
      </c>
      <c r="E576" s="46">
        <v>45103</v>
      </c>
      <c r="F576">
        <v>21</v>
      </c>
      <c r="G576">
        <v>3.7</v>
      </c>
      <c r="H576">
        <v>2023</v>
      </c>
      <c r="I576" t="s">
        <v>1091</v>
      </c>
      <c r="J576" t="s">
        <v>1103</v>
      </c>
      <c r="K576">
        <v>4</v>
      </c>
      <c r="L576">
        <v>4</v>
      </c>
      <c r="M576">
        <v>21</v>
      </c>
    </row>
    <row r="577" spans="1:13" x14ac:dyDescent="0.25">
      <c r="A577" t="s">
        <v>599</v>
      </c>
      <c r="B577" t="s">
        <v>23</v>
      </c>
      <c r="C577">
        <v>126</v>
      </c>
      <c r="D577" t="s">
        <v>9</v>
      </c>
      <c r="E577" s="46">
        <v>45103</v>
      </c>
      <c r="F577">
        <v>190</v>
      </c>
      <c r="G577">
        <v>2.4</v>
      </c>
      <c r="H577">
        <v>2023</v>
      </c>
      <c r="I577" t="s">
        <v>1091</v>
      </c>
      <c r="J577" t="s">
        <v>1103</v>
      </c>
      <c r="K577">
        <v>2</v>
      </c>
      <c r="L577">
        <v>4</v>
      </c>
      <c r="M577">
        <v>190</v>
      </c>
    </row>
    <row r="578" spans="1:13" x14ac:dyDescent="0.25">
      <c r="A578" t="s">
        <v>600</v>
      </c>
      <c r="B578" t="s">
        <v>15</v>
      </c>
      <c r="C578">
        <v>39</v>
      </c>
      <c r="D578" t="s">
        <v>10</v>
      </c>
      <c r="E578" s="46">
        <v>45103</v>
      </c>
      <c r="F578">
        <v>176</v>
      </c>
      <c r="G578">
        <v>4.3</v>
      </c>
      <c r="H578">
        <v>2023</v>
      </c>
      <c r="I578" t="s">
        <v>1091</v>
      </c>
      <c r="J578" t="s">
        <v>1099</v>
      </c>
      <c r="K578">
        <v>4</v>
      </c>
      <c r="L578">
        <v>3</v>
      </c>
      <c r="M578">
        <v>176</v>
      </c>
    </row>
    <row r="579" spans="1:13" x14ac:dyDescent="0.25">
      <c r="A579" t="s">
        <v>601</v>
      </c>
      <c r="B579" t="s">
        <v>19</v>
      </c>
      <c r="C579">
        <v>31</v>
      </c>
      <c r="D579" t="s">
        <v>6</v>
      </c>
      <c r="E579" s="46">
        <v>45103</v>
      </c>
      <c r="F579">
        <v>172</v>
      </c>
      <c r="G579">
        <v>3.9</v>
      </c>
      <c r="H579">
        <v>2023</v>
      </c>
      <c r="I579" t="s">
        <v>1091</v>
      </c>
      <c r="J579" t="s">
        <v>1099</v>
      </c>
      <c r="K579">
        <v>4</v>
      </c>
      <c r="L579">
        <v>3</v>
      </c>
      <c r="M579">
        <v>172</v>
      </c>
    </row>
    <row r="580" spans="1:13" x14ac:dyDescent="0.25">
      <c r="A580" t="s">
        <v>602</v>
      </c>
      <c r="B580" t="s">
        <v>8</v>
      </c>
      <c r="C580">
        <v>25</v>
      </c>
      <c r="D580" t="s">
        <v>11</v>
      </c>
      <c r="E580" s="46">
        <v>45103</v>
      </c>
      <c r="F580">
        <v>84</v>
      </c>
      <c r="G580">
        <v>4.5</v>
      </c>
      <c r="H580">
        <v>2023</v>
      </c>
      <c r="I580" t="s">
        <v>1091</v>
      </c>
      <c r="J580" t="s">
        <v>1100</v>
      </c>
      <c r="K580">
        <v>5</v>
      </c>
      <c r="L580">
        <v>2</v>
      </c>
      <c r="M580">
        <v>84</v>
      </c>
    </row>
    <row r="581" spans="1:13" x14ac:dyDescent="0.25">
      <c r="A581" t="s">
        <v>603</v>
      </c>
      <c r="B581" t="s">
        <v>12</v>
      </c>
      <c r="C581">
        <v>132</v>
      </c>
      <c r="D581" t="s">
        <v>13</v>
      </c>
      <c r="E581" s="46">
        <v>45104</v>
      </c>
      <c r="F581">
        <v>42</v>
      </c>
      <c r="G581">
        <v>5</v>
      </c>
      <c r="H581">
        <v>2023</v>
      </c>
      <c r="I581" t="s">
        <v>1092</v>
      </c>
      <c r="J581" t="s">
        <v>1103</v>
      </c>
      <c r="K581">
        <v>5</v>
      </c>
      <c r="L581">
        <v>4</v>
      </c>
      <c r="M581">
        <v>42</v>
      </c>
    </row>
    <row r="582" spans="1:13" x14ac:dyDescent="0.25">
      <c r="A582" t="s">
        <v>604</v>
      </c>
      <c r="B582" t="s">
        <v>14</v>
      </c>
      <c r="C582">
        <v>63</v>
      </c>
      <c r="D582" t="s">
        <v>9</v>
      </c>
      <c r="E582" s="46">
        <v>45104</v>
      </c>
      <c r="F582">
        <v>70</v>
      </c>
      <c r="G582">
        <v>1.6</v>
      </c>
      <c r="H582">
        <v>2023</v>
      </c>
      <c r="I582" t="s">
        <v>1092</v>
      </c>
      <c r="J582" t="s">
        <v>1099</v>
      </c>
      <c r="K582">
        <v>2</v>
      </c>
      <c r="L582">
        <v>3</v>
      </c>
      <c r="M582">
        <v>70</v>
      </c>
    </row>
    <row r="583" spans="1:13" x14ac:dyDescent="0.25">
      <c r="A583" t="s">
        <v>605</v>
      </c>
      <c r="B583" t="s">
        <v>22</v>
      </c>
      <c r="C583">
        <v>135</v>
      </c>
      <c r="D583" t="s">
        <v>13</v>
      </c>
      <c r="E583" s="46">
        <v>45104</v>
      </c>
      <c r="F583">
        <v>60</v>
      </c>
      <c r="G583">
        <v>4.3</v>
      </c>
      <c r="H583">
        <v>2023</v>
      </c>
      <c r="I583" t="s">
        <v>1092</v>
      </c>
      <c r="J583" t="s">
        <v>1103</v>
      </c>
      <c r="K583">
        <v>4</v>
      </c>
      <c r="L583">
        <v>4</v>
      </c>
      <c r="M583">
        <v>60</v>
      </c>
    </row>
    <row r="584" spans="1:13" x14ac:dyDescent="0.25">
      <c r="A584" t="s">
        <v>606</v>
      </c>
      <c r="B584" t="s">
        <v>18</v>
      </c>
      <c r="C584">
        <v>101</v>
      </c>
      <c r="D584" t="s">
        <v>9</v>
      </c>
      <c r="E584" s="46">
        <v>45104</v>
      </c>
      <c r="F584">
        <v>84</v>
      </c>
      <c r="G584">
        <v>3.5</v>
      </c>
      <c r="H584">
        <v>2023</v>
      </c>
      <c r="I584" t="s">
        <v>1092</v>
      </c>
      <c r="J584" t="s">
        <v>1099</v>
      </c>
      <c r="K584">
        <v>4</v>
      </c>
      <c r="L584">
        <v>3</v>
      </c>
      <c r="M584">
        <v>84</v>
      </c>
    </row>
    <row r="585" spans="1:13" x14ac:dyDescent="0.25">
      <c r="A585" t="s">
        <v>607</v>
      </c>
      <c r="B585" t="s">
        <v>24</v>
      </c>
      <c r="C585">
        <v>80</v>
      </c>
      <c r="D585" t="s">
        <v>10</v>
      </c>
      <c r="E585" s="46">
        <v>45105</v>
      </c>
      <c r="F585">
        <v>68</v>
      </c>
      <c r="G585">
        <v>3.1</v>
      </c>
      <c r="H585">
        <v>2023</v>
      </c>
      <c r="I585" t="s">
        <v>1093</v>
      </c>
      <c r="J585" t="s">
        <v>1099</v>
      </c>
      <c r="K585">
        <v>3</v>
      </c>
      <c r="L585">
        <v>3</v>
      </c>
      <c r="M585">
        <v>68</v>
      </c>
    </row>
    <row r="586" spans="1:13" x14ac:dyDescent="0.25">
      <c r="A586" t="s">
        <v>608</v>
      </c>
      <c r="B586" t="s">
        <v>17</v>
      </c>
      <c r="C586">
        <v>28</v>
      </c>
      <c r="D586" t="s">
        <v>10</v>
      </c>
      <c r="E586" s="46">
        <v>45105</v>
      </c>
      <c r="F586">
        <v>44</v>
      </c>
      <c r="G586">
        <v>2.9</v>
      </c>
      <c r="H586">
        <v>2023</v>
      </c>
      <c r="I586" t="s">
        <v>1093</v>
      </c>
      <c r="J586" t="s">
        <v>1100</v>
      </c>
      <c r="K586">
        <v>3</v>
      </c>
      <c r="L586">
        <v>2</v>
      </c>
      <c r="M586">
        <v>44</v>
      </c>
    </row>
    <row r="587" spans="1:13" x14ac:dyDescent="0.25">
      <c r="A587" t="s">
        <v>609</v>
      </c>
      <c r="B587" t="s">
        <v>18</v>
      </c>
      <c r="C587">
        <v>102</v>
      </c>
      <c r="D587" t="s">
        <v>13</v>
      </c>
      <c r="E587" s="46">
        <v>45106</v>
      </c>
      <c r="F587">
        <v>99</v>
      </c>
      <c r="G587">
        <v>3.2</v>
      </c>
      <c r="H587">
        <v>2023</v>
      </c>
      <c r="I587" t="s">
        <v>1094</v>
      </c>
      <c r="J587" t="s">
        <v>1099</v>
      </c>
      <c r="K587">
        <v>3</v>
      </c>
      <c r="L587">
        <v>3</v>
      </c>
      <c r="M587">
        <v>99</v>
      </c>
    </row>
    <row r="588" spans="1:13" x14ac:dyDescent="0.25">
      <c r="A588" t="s">
        <v>610</v>
      </c>
      <c r="B588" t="s">
        <v>14</v>
      </c>
      <c r="C588">
        <v>60</v>
      </c>
      <c r="D588" t="s">
        <v>13</v>
      </c>
      <c r="E588" s="46">
        <v>45107</v>
      </c>
      <c r="F588">
        <v>66</v>
      </c>
      <c r="G588">
        <v>3.2</v>
      </c>
      <c r="H588">
        <v>2023</v>
      </c>
      <c r="I588" t="s">
        <v>1095</v>
      </c>
      <c r="J588" t="s">
        <v>1099</v>
      </c>
      <c r="K588">
        <v>3</v>
      </c>
      <c r="L588">
        <v>3</v>
      </c>
      <c r="M588">
        <v>66</v>
      </c>
    </row>
    <row r="589" spans="1:13" x14ac:dyDescent="0.25">
      <c r="A589" t="s">
        <v>611</v>
      </c>
      <c r="B589" t="s">
        <v>21</v>
      </c>
      <c r="C589">
        <v>103</v>
      </c>
      <c r="D589" t="s">
        <v>13</v>
      </c>
      <c r="E589" s="46">
        <v>45107</v>
      </c>
      <c r="F589">
        <v>102</v>
      </c>
      <c r="G589">
        <v>4.5</v>
      </c>
      <c r="H589">
        <v>2023</v>
      </c>
      <c r="I589" t="s">
        <v>1095</v>
      </c>
      <c r="J589" t="s">
        <v>1099</v>
      </c>
      <c r="K589">
        <v>5</v>
      </c>
      <c r="L589">
        <v>3</v>
      </c>
      <c r="M589">
        <v>102</v>
      </c>
    </row>
    <row r="590" spans="1:13" x14ac:dyDescent="0.25">
      <c r="A590" t="s">
        <v>612</v>
      </c>
      <c r="B590" t="s">
        <v>24</v>
      </c>
      <c r="C590">
        <v>90</v>
      </c>
      <c r="D590" t="s">
        <v>10</v>
      </c>
      <c r="E590" s="46">
        <v>45108</v>
      </c>
      <c r="F590">
        <v>129</v>
      </c>
      <c r="G590">
        <v>3.9</v>
      </c>
      <c r="H590">
        <v>2024</v>
      </c>
      <c r="I590" t="s">
        <v>1096</v>
      </c>
      <c r="J590" t="s">
        <v>1099</v>
      </c>
      <c r="K590">
        <v>4</v>
      </c>
      <c r="L590">
        <v>3</v>
      </c>
      <c r="M590">
        <v>129</v>
      </c>
    </row>
    <row r="591" spans="1:13" x14ac:dyDescent="0.25">
      <c r="A591" t="s">
        <v>613</v>
      </c>
      <c r="B591" t="s">
        <v>16</v>
      </c>
      <c r="C591">
        <v>88</v>
      </c>
      <c r="D591" t="s">
        <v>13</v>
      </c>
      <c r="E591" s="46">
        <v>45108</v>
      </c>
      <c r="F591">
        <v>80</v>
      </c>
      <c r="G591">
        <v>4.2</v>
      </c>
      <c r="H591">
        <v>2024</v>
      </c>
      <c r="I591" t="s">
        <v>1096</v>
      </c>
      <c r="J591" t="s">
        <v>1099</v>
      </c>
      <c r="K591">
        <v>4</v>
      </c>
      <c r="L591">
        <v>3</v>
      </c>
      <c r="M591">
        <v>80</v>
      </c>
    </row>
    <row r="592" spans="1:13" x14ac:dyDescent="0.25">
      <c r="A592" t="s">
        <v>614</v>
      </c>
      <c r="B592" t="s">
        <v>21</v>
      </c>
      <c r="C592">
        <v>37</v>
      </c>
      <c r="D592" t="s">
        <v>13</v>
      </c>
      <c r="E592" s="46">
        <v>45108</v>
      </c>
      <c r="F592">
        <v>54</v>
      </c>
      <c r="G592">
        <v>1.8</v>
      </c>
      <c r="H592">
        <v>2024</v>
      </c>
      <c r="I592" t="s">
        <v>1096</v>
      </c>
      <c r="J592" t="s">
        <v>1099</v>
      </c>
      <c r="K592">
        <v>2</v>
      </c>
      <c r="L592">
        <v>3</v>
      </c>
      <c r="M592">
        <v>54</v>
      </c>
    </row>
    <row r="593" spans="1:13" x14ac:dyDescent="0.25">
      <c r="A593" t="s">
        <v>615</v>
      </c>
      <c r="B593" t="s">
        <v>17</v>
      </c>
      <c r="C593">
        <v>142</v>
      </c>
      <c r="D593" t="s">
        <v>10</v>
      </c>
      <c r="E593" s="46">
        <v>45108</v>
      </c>
      <c r="F593">
        <v>116</v>
      </c>
      <c r="G593">
        <v>4.2</v>
      </c>
      <c r="H593">
        <v>2024</v>
      </c>
      <c r="I593" t="s">
        <v>1096</v>
      </c>
      <c r="J593" t="s">
        <v>1103</v>
      </c>
      <c r="K593">
        <v>4</v>
      </c>
      <c r="L593">
        <v>4</v>
      </c>
      <c r="M593">
        <v>116</v>
      </c>
    </row>
    <row r="594" spans="1:13" x14ac:dyDescent="0.25">
      <c r="A594" t="s">
        <v>616</v>
      </c>
      <c r="B594" t="s">
        <v>17</v>
      </c>
      <c r="C594">
        <v>153</v>
      </c>
      <c r="D594" t="s">
        <v>11</v>
      </c>
      <c r="E594" s="46">
        <v>45108</v>
      </c>
      <c r="F594">
        <v>102</v>
      </c>
      <c r="G594">
        <v>3.1</v>
      </c>
      <c r="H594">
        <v>2024</v>
      </c>
      <c r="I594" t="s">
        <v>1096</v>
      </c>
      <c r="J594" t="s">
        <v>1103</v>
      </c>
      <c r="K594">
        <v>3</v>
      </c>
      <c r="L594">
        <v>4</v>
      </c>
      <c r="M594">
        <v>102</v>
      </c>
    </row>
    <row r="595" spans="1:13" x14ac:dyDescent="0.25">
      <c r="A595" t="s">
        <v>617</v>
      </c>
      <c r="B595" t="s">
        <v>7</v>
      </c>
      <c r="C595">
        <v>128</v>
      </c>
      <c r="D595" t="s">
        <v>9</v>
      </c>
      <c r="E595" s="46">
        <v>45108</v>
      </c>
      <c r="F595">
        <v>140</v>
      </c>
      <c r="G595">
        <v>4.3</v>
      </c>
      <c r="H595">
        <v>2024</v>
      </c>
      <c r="I595" t="s">
        <v>1096</v>
      </c>
      <c r="J595" t="s">
        <v>1103</v>
      </c>
      <c r="K595">
        <v>4</v>
      </c>
      <c r="L595">
        <v>4</v>
      </c>
      <c r="M595">
        <v>140</v>
      </c>
    </row>
    <row r="596" spans="1:13" x14ac:dyDescent="0.25">
      <c r="A596" t="s">
        <v>618</v>
      </c>
      <c r="B596" t="s">
        <v>14</v>
      </c>
      <c r="C596">
        <v>110</v>
      </c>
      <c r="D596" t="s">
        <v>9</v>
      </c>
      <c r="E596" s="46">
        <v>45109</v>
      </c>
      <c r="F596">
        <v>104</v>
      </c>
      <c r="G596">
        <v>4.4000000000000004</v>
      </c>
      <c r="H596">
        <v>2024</v>
      </c>
      <c r="I596" t="s">
        <v>1090</v>
      </c>
      <c r="J596" t="s">
        <v>1099</v>
      </c>
      <c r="K596">
        <v>4</v>
      </c>
      <c r="L596">
        <v>3</v>
      </c>
      <c r="M596">
        <v>104</v>
      </c>
    </row>
    <row r="597" spans="1:13" x14ac:dyDescent="0.25">
      <c r="A597" t="s">
        <v>619</v>
      </c>
      <c r="B597" t="s">
        <v>7</v>
      </c>
      <c r="C597">
        <v>139</v>
      </c>
      <c r="D597" t="s">
        <v>13</v>
      </c>
      <c r="E597" s="46">
        <v>45109</v>
      </c>
      <c r="F597">
        <v>81</v>
      </c>
      <c r="G597">
        <v>4.4000000000000004</v>
      </c>
      <c r="H597">
        <v>2024</v>
      </c>
      <c r="I597" t="s">
        <v>1090</v>
      </c>
      <c r="J597" t="s">
        <v>1103</v>
      </c>
      <c r="K597">
        <v>4</v>
      </c>
      <c r="L597">
        <v>4</v>
      </c>
      <c r="M597">
        <v>81</v>
      </c>
    </row>
    <row r="598" spans="1:13" x14ac:dyDescent="0.25">
      <c r="A598" t="s">
        <v>620</v>
      </c>
      <c r="B598" t="s">
        <v>18</v>
      </c>
      <c r="C598">
        <v>109</v>
      </c>
      <c r="D598" t="s">
        <v>6</v>
      </c>
      <c r="E598" s="46">
        <v>45111</v>
      </c>
      <c r="F598">
        <v>140</v>
      </c>
      <c r="G598">
        <v>2.4</v>
      </c>
      <c r="H598">
        <v>2024</v>
      </c>
      <c r="I598" t="s">
        <v>1092</v>
      </c>
      <c r="J598" t="s">
        <v>1099</v>
      </c>
      <c r="K598">
        <v>2</v>
      </c>
      <c r="L598">
        <v>3</v>
      </c>
      <c r="M598">
        <v>140</v>
      </c>
    </row>
    <row r="599" spans="1:13" x14ac:dyDescent="0.25">
      <c r="A599" t="s">
        <v>621</v>
      </c>
      <c r="B599" t="s">
        <v>12</v>
      </c>
      <c r="C599">
        <v>57</v>
      </c>
      <c r="D599" t="s">
        <v>10</v>
      </c>
      <c r="E599" s="46">
        <v>45112</v>
      </c>
      <c r="F599">
        <v>120</v>
      </c>
      <c r="G599">
        <v>3.5</v>
      </c>
      <c r="H599">
        <v>2024</v>
      </c>
      <c r="I599" t="s">
        <v>1093</v>
      </c>
      <c r="J599" t="s">
        <v>1099</v>
      </c>
      <c r="K599">
        <v>4</v>
      </c>
      <c r="L599">
        <v>3</v>
      </c>
      <c r="M599">
        <v>120</v>
      </c>
    </row>
    <row r="600" spans="1:13" x14ac:dyDescent="0.25">
      <c r="A600" t="s">
        <v>622</v>
      </c>
      <c r="B600" t="s">
        <v>18</v>
      </c>
      <c r="C600">
        <v>68</v>
      </c>
      <c r="D600" t="s">
        <v>13</v>
      </c>
      <c r="E600" s="46">
        <v>45112</v>
      </c>
      <c r="F600">
        <v>41</v>
      </c>
      <c r="G600">
        <v>3.1</v>
      </c>
      <c r="H600">
        <v>2024</v>
      </c>
      <c r="I600" t="s">
        <v>1093</v>
      </c>
      <c r="J600" t="s">
        <v>1099</v>
      </c>
      <c r="K600">
        <v>3</v>
      </c>
      <c r="L600">
        <v>3</v>
      </c>
      <c r="M600">
        <v>41</v>
      </c>
    </row>
    <row r="601" spans="1:13" x14ac:dyDescent="0.25">
      <c r="A601" t="s">
        <v>623</v>
      </c>
      <c r="B601" t="s">
        <v>8</v>
      </c>
      <c r="C601">
        <v>128</v>
      </c>
      <c r="D601" t="s">
        <v>13</v>
      </c>
      <c r="E601" s="46">
        <v>45112</v>
      </c>
      <c r="F601">
        <v>116</v>
      </c>
      <c r="G601">
        <v>2.2999999999999998</v>
      </c>
      <c r="H601">
        <v>2024</v>
      </c>
      <c r="I601" t="s">
        <v>1093</v>
      </c>
      <c r="J601" t="s">
        <v>1103</v>
      </c>
      <c r="K601">
        <v>2</v>
      </c>
      <c r="L601">
        <v>4</v>
      </c>
      <c r="M601">
        <v>116</v>
      </c>
    </row>
    <row r="602" spans="1:13" x14ac:dyDescent="0.25">
      <c r="A602" t="s">
        <v>624</v>
      </c>
      <c r="B602" t="s">
        <v>20</v>
      </c>
      <c r="C602">
        <v>102</v>
      </c>
      <c r="D602" t="s">
        <v>10</v>
      </c>
      <c r="E602" s="46">
        <v>45113</v>
      </c>
      <c r="F602">
        <v>70</v>
      </c>
      <c r="G602">
        <v>2.8</v>
      </c>
      <c r="H602">
        <v>2024</v>
      </c>
      <c r="I602" t="s">
        <v>1094</v>
      </c>
      <c r="J602" t="s">
        <v>1099</v>
      </c>
      <c r="K602">
        <v>3</v>
      </c>
      <c r="L602">
        <v>3</v>
      </c>
      <c r="M602">
        <v>70</v>
      </c>
    </row>
    <row r="603" spans="1:13" x14ac:dyDescent="0.25">
      <c r="A603" t="s">
        <v>625</v>
      </c>
      <c r="B603" t="s">
        <v>7</v>
      </c>
      <c r="C603">
        <v>52</v>
      </c>
      <c r="D603" t="s">
        <v>11</v>
      </c>
      <c r="E603" s="46">
        <v>45113</v>
      </c>
      <c r="F603">
        <v>42</v>
      </c>
      <c r="G603">
        <v>4.5</v>
      </c>
      <c r="H603">
        <v>2024</v>
      </c>
      <c r="I603" t="s">
        <v>1094</v>
      </c>
      <c r="J603" t="s">
        <v>1099</v>
      </c>
      <c r="K603">
        <v>5</v>
      </c>
      <c r="L603">
        <v>3</v>
      </c>
      <c r="M603">
        <v>42</v>
      </c>
    </row>
    <row r="604" spans="1:13" x14ac:dyDescent="0.25">
      <c r="A604" t="s">
        <v>626</v>
      </c>
      <c r="B604" t="s">
        <v>8</v>
      </c>
      <c r="C604">
        <v>55</v>
      </c>
      <c r="D604" t="s">
        <v>9</v>
      </c>
      <c r="E604" s="46">
        <v>45114</v>
      </c>
      <c r="F604">
        <v>112</v>
      </c>
      <c r="G604">
        <v>4.5</v>
      </c>
      <c r="H604">
        <v>2024</v>
      </c>
      <c r="I604" t="s">
        <v>1095</v>
      </c>
      <c r="J604" t="s">
        <v>1099</v>
      </c>
      <c r="K604">
        <v>5</v>
      </c>
      <c r="L604">
        <v>3</v>
      </c>
      <c r="M604">
        <v>112</v>
      </c>
    </row>
    <row r="605" spans="1:13" x14ac:dyDescent="0.25">
      <c r="A605" t="s">
        <v>627</v>
      </c>
      <c r="B605" t="s">
        <v>21</v>
      </c>
      <c r="C605">
        <v>107</v>
      </c>
      <c r="D605" t="s">
        <v>13</v>
      </c>
      <c r="E605" s="46">
        <v>45114</v>
      </c>
      <c r="F605">
        <v>20</v>
      </c>
      <c r="G605">
        <v>4.5</v>
      </c>
      <c r="H605">
        <v>2024</v>
      </c>
      <c r="I605" t="s">
        <v>1095</v>
      </c>
      <c r="J605" t="s">
        <v>1099</v>
      </c>
      <c r="K605">
        <v>5</v>
      </c>
      <c r="L605">
        <v>3</v>
      </c>
      <c r="M605">
        <v>20</v>
      </c>
    </row>
    <row r="606" spans="1:13" x14ac:dyDescent="0.25">
      <c r="A606" t="s">
        <v>628</v>
      </c>
      <c r="B606" t="s">
        <v>24</v>
      </c>
      <c r="C606">
        <v>88</v>
      </c>
      <c r="D606" t="s">
        <v>11</v>
      </c>
      <c r="E606" s="46">
        <v>45115</v>
      </c>
      <c r="F606">
        <v>110</v>
      </c>
      <c r="G606">
        <v>4.8</v>
      </c>
      <c r="H606">
        <v>2024</v>
      </c>
      <c r="I606" t="s">
        <v>1096</v>
      </c>
      <c r="J606" t="s">
        <v>1099</v>
      </c>
      <c r="K606">
        <v>5</v>
      </c>
      <c r="L606">
        <v>3</v>
      </c>
      <c r="M606">
        <v>110</v>
      </c>
    </row>
    <row r="607" spans="1:13" x14ac:dyDescent="0.25">
      <c r="A607" t="s">
        <v>629</v>
      </c>
      <c r="B607" t="s">
        <v>15</v>
      </c>
      <c r="C607">
        <v>49</v>
      </c>
      <c r="D607" t="s">
        <v>11</v>
      </c>
      <c r="E607" s="46">
        <v>45115</v>
      </c>
      <c r="F607">
        <v>39</v>
      </c>
      <c r="G607">
        <v>4.5999999999999996</v>
      </c>
      <c r="H607">
        <v>2024</v>
      </c>
      <c r="I607" t="s">
        <v>1096</v>
      </c>
      <c r="J607" t="s">
        <v>1099</v>
      </c>
      <c r="K607">
        <v>5</v>
      </c>
      <c r="L607">
        <v>3</v>
      </c>
      <c r="M607">
        <v>39</v>
      </c>
    </row>
    <row r="608" spans="1:13" x14ac:dyDescent="0.25">
      <c r="A608" t="s">
        <v>630</v>
      </c>
      <c r="B608" t="s">
        <v>24</v>
      </c>
      <c r="C608">
        <v>72</v>
      </c>
      <c r="D608" t="s">
        <v>10</v>
      </c>
      <c r="E608" s="46">
        <v>45115</v>
      </c>
      <c r="F608">
        <v>76</v>
      </c>
      <c r="G608">
        <v>4.5</v>
      </c>
      <c r="H608">
        <v>2024</v>
      </c>
      <c r="I608" t="s">
        <v>1096</v>
      </c>
      <c r="J608" t="s">
        <v>1099</v>
      </c>
      <c r="K608">
        <v>5</v>
      </c>
      <c r="L608">
        <v>3</v>
      </c>
      <c r="M608">
        <v>76</v>
      </c>
    </row>
    <row r="609" spans="1:13" x14ac:dyDescent="0.25">
      <c r="A609" t="s">
        <v>631</v>
      </c>
      <c r="B609" t="s">
        <v>12</v>
      </c>
      <c r="C609">
        <v>50</v>
      </c>
      <c r="D609" t="s">
        <v>10</v>
      </c>
      <c r="E609" s="46">
        <v>45115</v>
      </c>
      <c r="F609">
        <v>40</v>
      </c>
      <c r="G609">
        <v>5</v>
      </c>
      <c r="H609">
        <v>2024</v>
      </c>
      <c r="I609" t="s">
        <v>1096</v>
      </c>
      <c r="J609" t="s">
        <v>1099</v>
      </c>
      <c r="K609">
        <v>5</v>
      </c>
      <c r="L609">
        <v>3</v>
      </c>
      <c r="M609">
        <v>40</v>
      </c>
    </row>
    <row r="610" spans="1:13" x14ac:dyDescent="0.25">
      <c r="A610" t="s">
        <v>632</v>
      </c>
      <c r="B610" t="s">
        <v>24</v>
      </c>
      <c r="C610">
        <v>52</v>
      </c>
      <c r="D610" t="s">
        <v>13</v>
      </c>
      <c r="E610" s="46">
        <v>45115</v>
      </c>
      <c r="F610">
        <v>42</v>
      </c>
      <c r="G610">
        <v>4.8</v>
      </c>
      <c r="H610">
        <v>2024</v>
      </c>
      <c r="I610" t="s">
        <v>1096</v>
      </c>
      <c r="J610" t="s">
        <v>1099</v>
      </c>
      <c r="K610">
        <v>5</v>
      </c>
      <c r="L610">
        <v>3</v>
      </c>
      <c r="M610">
        <v>42</v>
      </c>
    </row>
    <row r="611" spans="1:13" x14ac:dyDescent="0.25">
      <c r="A611" t="s">
        <v>633</v>
      </c>
      <c r="B611" t="s">
        <v>23</v>
      </c>
      <c r="C611">
        <v>85</v>
      </c>
      <c r="D611" t="s">
        <v>6</v>
      </c>
      <c r="E611" s="46">
        <v>45116</v>
      </c>
      <c r="F611">
        <v>215</v>
      </c>
      <c r="G611">
        <v>3.5</v>
      </c>
      <c r="H611">
        <v>2024</v>
      </c>
      <c r="I611" t="s">
        <v>1090</v>
      </c>
      <c r="J611" t="s">
        <v>1099</v>
      </c>
      <c r="K611">
        <v>4</v>
      </c>
      <c r="L611">
        <v>3</v>
      </c>
      <c r="M611">
        <v>215</v>
      </c>
    </row>
    <row r="612" spans="1:13" x14ac:dyDescent="0.25">
      <c r="A612" t="s">
        <v>634</v>
      </c>
      <c r="B612" t="s">
        <v>22</v>
      </c>
      <c r="C612">
        <v>98</v>
      </c>
      <c r="D612" t="s">
        <v>6</v>
      </c>
      <c r="E612" s="46">
        <v>45117</v>
      </c>
      <c r="F612">
        <v>130</v>
      </c>
      <c r="G612">
        <v>3.4</v>
      </c>
      <c r="H612">
        <v>2024</v>
      </c>
      <c r="I612" t="s">
        <v>1091</v>
      </c>
      <c r="J612" t="s">
        <v>1099</v>
      </c>
      <c r="K612">
        <v>3</v>
      </c>
      <c r="L612">
        <v>3</v>
      </c>
      <c r="M612">
        <v>130</v>
      </c>
    </row>
    <row r="613" spans="1:13" x14ac:dyDescent="0.25">
      <c r="A613" t="s">
        <v>635</v>
      </c>
      <c r="B613" t="s">
        <v>19</v>
      </c>
      <c r="C613">
        <v>52</v>
      </c>
      <c r="D613" t="s">
        <v>6</v>
      </c>
      <c r="E613" s="46">
        <v>45117</v>
      </c>
      <c r="F613">
        <v>190</v>
      </c>
      <c r="G613">
        <v>3.3</v>
      </c>
      <c r="H613">
        <v>2024</v>
      </c>
      <c r="I613" t="s">
        <v>1091</v>
      </c>
      <c r="J613" t="s">
        <v>1099</v>
      </c>
      <c r="K613">
        <v>3</v>
      </c>
      <c r="L613">
        <v>3</v>
      </c>
      <c r="M613">
        <v>190</v>
      </c>
    </row>
    <row r="614" spans="1:13" x14ac:dyDescent="0.25">
      <c r="A614" t="s">
        <v>636</v>
      </c>
      <c r="B614" t="s">
        <v>8</v>
      </c>
      <c r="C614">
        <v>154</v>
      </c>
      <c r="D614" t="s">
        <v>11</v>
      </c>
      <c r="E614" s="46">
        <v>45117</v>
      </c>
      <c r="F614">
        <v>164</v>
      </c>
      <c r="G614">
        <v>4.9000000000000004</v>
      </c>
      <c r="H614">
        <v>2024</v>
      </c>
      <c r="I614" t="s">
        <v>1091</v>
      </c>
      <c r="J614" t="s">
        <v>1103</v>
      </c>
      <c r="K614">
        <v>5</v>
      </c>
      <c r="L614">
        <v>4</v>
      </c>
      <c r="M614">
        <v>164</v>
      </c>
    </row>
    <row r="615" spans="1:13" x14ac:dyDescent="0.25">
      <c r="A615" t="s">
        <v>637</v>
      </c>
      <c r="B615" t="s">
        <v>5</v>
      </c>
      <c r="C615">
        <v>131</v>
      </c>
      <c r="D615" t="s">
        <v>9</v>
      </c>
      <c r="E615" s="46">
        <v>45118</v>
      </c>
      <c r="F615">
        <v>76</v>
      </c>
      <c r="G615">
        <v>4.5</v>
      </c>
      <c r="H615">
        <v>2024</v>
      </c>
      <c r="I615" t="s">
        <v>1092</v>
      </c>
      <c r="J615" t="s">
        <v>1103</v>
      </c>
      <c r="K615">
        <v>5</v>
      </c>
      <c r="L615">
        <v>4</v>
      </c>
      <c r="M615">
        <v>76</v>
      </c>
    </row>
    <row r="616" spans="1:13" x14ac:dyDescent="0.25">
      <c r="A616" t="s">
        <v>638</v>
      </c>
      <c r="B616" t="s">
        <v>23</v>
      </c>
      <c r="C616">
        <v>73</v>
      </c>
      <c r="D616" t="s">
        <v>9</v>
      </c>
      <c r="E616" s="46">
        <v>45119</v>
      </c>
      <c r="F616">
        <v>87</v>
      </c>
      <c r="G616">
        <v>4.8</v>
      </c>
      <c r="H616">
        <v>2024</v>
      </c>
      <c r="I616" t="s">
        <v>1093</v>
      </c>
      <c r="J616" t="s">
        <v>1099</v>
      </c>
      <c r="K616">
        <v>5</v>
      </c>
      <c r="L616">
        <v>3</v>
      </c>
      <c r="M616">
        <v>87</v>
      </c>
    </row>
    <row r="617" spans="1:13" x14ac:dyDescent="0.25">
      <c r="A617" t="s">
        <v>639</v>
      </c>
      <c r="B617" t="s">
        <v>14</v>
      </c>
      <c r="C617">
        <v>45</v>
      </c>
      <c r="D617" t="s">
        <v>6</v>
      </c>
      <c r="E617" s="46">
        <v>45119</v>
      </c>
      <c r="F617">
        <v>84</v>
      </c>
      <c r="G617">
        <v>4.8</v>
      </c>
      <c r="H617">
        <v>2024</v>
      </c>
      <c r="I617" t="s">
        <v>1093</v>
      </c>
      <c r="J617" t="s">
        <v>1099</v>
      </c>
      <c r="K617">
        <v>5</v>
      </c>
      <c r="L617">
        <v>3</v>
      </c>
      <c r="M617">
        <v>84</v>
      </c>
    </row>
    <row r="618" spans="1:13" x14ac:dyDescent="0.25">
      <c r="A618" t="s">
        <v>640</v>
      </c>
      <c r="B618" t="s">
        <v>7</v>
      </c>
      <c r="C618">
        <v>114</v>
      </c>
      <c r="D618" t="s">
        <v>13</v>
      </c>
      <c r="E618" s="46">
        <v>45119</v>
      </c>
      <c r="F618">
        <v>114</v>
      </c>
      <c r="G618">
        <v>3.9</v>
      </c>
      <c r="H618">
        <v>2024</v>
      </c>
      <c r="I618" t="s">
        <v>1093</v>
      </c>
      <c r="J618" t="s">
        <v>1099</v>
      </c>
      <c r="K618">
        <v>4</v>
      </c>
      <c r="L618">
        <v>3</v>
      </c>
      <c r="M618">
        <v>114</v>
      </c>
    </row>
    <row r="619" spans="1:13" x14ac:dyDescent="0.25">
      <c r="A619" t="s">
        <v>641</v>
      </c>
      <c r="B619" t="s">
        <v>22</v>
      </c>
      <c r="C619">
        <v>69</v>
      </c>
      <c r="D619" t="s">
        <v>9</v>
      </c>
      <c r="E619" s="46">
        <v>45120</v>
      </c>
      <c r="F619">
        <v>56</v>
      </c>
      <c r="G619">
        <v>3.9</v>
      </c>
      <c r="H619">
        <v>2024</v>
      </c>
      <c r="I619" t="s">
        <v>1094</v>
      </c>
      <c r="J619" t="s">
        <v>1099</v>
      </c>
      <c r="K619">
        <v>4</v>
      </c>
      <c r="L619">
        <v>3</v>
      </c>
      <c r="M619">
        <v>56</v>
      </c>
    </row>
    <row r="620" spans="1:13" x14ac:dyDescent="0.25">
      <c r="A620" t="s">
        <v>642</v>
      </c>
      <c r="B620" t="s">
        <v>5</v>
      </c>
      <c r="C620">
        <v>33</v>
      </c>
      <c r="D620" t="s">
        <v>11</v>
      </c>
      <c r="E620" s="46">
        <v>45120</v>
      </c>
      <c r="F620">
        <v>27</v>
      </c>
      <c r="G620">
        <v>3.7</v>
      </c>
      <c r="H620">
        <v>2024</v>
      </c>
      <c r="I620" t="s">
        <v>1094</v>
      </c>
      <c r="J620" t="s">
        <v>1099</v>
      </c>
      <c r="K620">
        <v>4</v>
      </c>
      <c r="L620">
        <v>3</v>
      </c>
      <c r="M620">
        <v>27</v>
      </c>
    </row>
    <row r="621" spans="1:13" x14ac:dyDescent="0.25">
      <c r="A621" t="s">
        <v>643</v>
      </c>
      <c r="B621" t="s">
        <v>12</v>
      </c>
      <c r="C621">
        <v>31</v>
      </c>
      <c r="D621" t="s">
        <v>10</v>
      </c>
      <c r="E621" s="46">
        <v>45121</v>
      </c>
      <c r="F621">
        <v>84</v>
      </c>
      <c r="G621">
        <v>4.8</v>
      </c>
      <c r="H621">
        <v>2024</v>
      </c>
      <c r="I621" t="s">
        <v>1095</v>
      </c>
      <c r="J621" t="s">
        <v>1099</v>
      </c>
      <c r="K621">
        <v>5</v>
      </c>
      <c r="L621">
        <v>3</v>
      </c>
      <c r="M621">
        <v>84</v>
      </c>
    </row>
    <row r="622" spans="1:13" x14ac:dyDescent="0.25">
      <c r="A622" t="s">
        <v>644</v>
      </c>
      <c r="B622" t="s">
        <v>14</v>
      </c>
      <c r="C622">
        <v>168</v>
      </c>
      <c r="D622" t="s">
        <v>11</v>
      </c>
      <c r="E622" s="46">
        <v>45121</v>
      </c>
      <c r="F622">
        <v>72</v>
      </c>
      <c r="G622">
        <v>3.5</v>
      </c>
      <c r="H622">
        <v>2024</v>
      </c>
      <c r="I622" t="s">
        <v>1095</v>
      </c>
      <c r="J622" t="s">
        <v>1103</v>
      </c>
      <c r="K622">
        <v>4</v>
      </c>
      <c r="L622">
        <v>4</v>
      </c>
      <c r="M622">
        <v>72</v>
      </c>
    </row>
    <row r="623" spans="1:13" x14ac:dyDescent="0.25">
      <c r="A623" t="s">
        <v>645</v>
      </c>
      <c r="B623" t="s">
        <v>23</v>
      </c>
      <c r="C623">
        <v>111</v>
      </c>
      <c r="D623" t="s">
        <v>13</v>
      </c>
      <c r="E623" s="46">
        <v>45122</v>
      </c>
      <c r="F623">
        <v>126</v>
      </c>
      <c r="G623">
        <v>4.2</v>
      </c>
      <c r="H623">
        <v>2024</v>
      </c>
      <c r="I623" t="s">
        <v>1096</v>
      </c>
      <c r="J623" t="s">
        <v>1099</v>
      </c>
      <c r="K623">
        <v>4</v>
      </c>
      <c r="L623">
        <v>3</v>
      </c>
      <c r="M623">
        <v>126</v>
      </c>
    </row>
    <row r="624" spans="1:13" x14ac:dyDescent="0.25">
      <c r="A624" t="s">
        <v>646</v>
      </c>
      <c r="B624" t="s">
        <v>12</v>
      </c>
      <c r="C624">
        <v>80</v>
      </c>
      <c r="D624" t="s">
        <v>11</v>
      </c>
      <c r="E624" s="46">
        <v>45123</v>
      </c>
      <c r="F624">
        <v>88</v>
      </c>
      <c r="G624">
        <v>4.9000000000000004</v>
      </c>
      <c r="H624">
        <v>2024</v>
      </c>
      <c r="I624" t="s">
        <v>1090</v>
      </c>
      <c r="J624" t="s">
        <v>1099</v>
      </c>
      <c r="K624">
        <v>5</v>
      </c>
      <c r="L624">
        <v>3</v>
      </c>
      <c r="M624">
        <v>88</v>
      </c>
    </row>
    <row r="625" spans="1:13" x14ac:dyDescent="0.25">
      <c r="A625" t="s">
        <v>647</v>
      </c>
      <c r="B625" t="s">
        <v>20</v>
      </c>
      <c r="C625">
        <v>37</v>
      </c>
      <c r="D625" t="s">
        <v>11</v>
      </c>
      <c r="E625" s="46">
        <v>45123</v>
      </c>
      <c r="F625">
        <v>124</v>
      </c>
      <c r="G625">
        <v>4.5999999999999996</v>
      </c>
      <c r="H625">
        <v>2024</v>
      </c>
      <c r="I625" t="s">
        <v>1090</v>
      </c>
      <c r="J625" t="s">
        <v>1099</v>
      </c>
      <c r="K625">
        <v>5</v>
      </c>
      <c r="L625">
        <v>3</v>
      </c>
      <c r="M625">
        <v>124</v>
      </c>
    </row>
    <row r="626" spans="1:13" x14ac:dyDescent="0.25">
      <c r="A626" t="s">
        <v>648</v>
      </c>
      <c r="B626" t="s">
        <v>17</v>
      </c>
      <c r="C626">
        <v>137</v>
      </c>
      <c r="D626" t="s">
        <v>11</v>
      </c>
      <c r="E626" s="46">
        <v>45124</v>
      </c>
      <c r="F626">
        <v>84</v>
      </c>
      <c r="G626">
        <v>2.6</v>
      </c>
      <c r="H626">
        <v>2024</v>
      </c>
      <c r="I626" t="s">
        <v>1091</v>
      </c>
      <c r="J626" t="s">
        <v>1103</v>
      </c>
      <c r="K626">
        <v>3</v>
      </c>
      <c r="L626">
        <v>4</v>
      </c>
      <c r="M626">
        <v>84</v>
      </c>
    </row>
    <row r="627" spans="1:13" x14ac:dyDescent="0.25">
      <c r="A627" t="s">
        <v>649</v>
      </c>
      <c r="B627" t="s">
        <v>22</v>
      </c>
      <c r="C627">
        <v>123</v>
      </c>
      <c r="D627" t="s">
        <v>13</v>
      </c>
      <c r="E627" s="46">
        <v>45124</v>
      </c>
      <c r="F627">
        <v>80</v>
      </c>
      <c r="G627">
        <v>2.7</v>
      </c>
      <c r="H627">
        <v>2024</v>
      </c>
      <c r="I627" t="s">
        <v>1091</v>
      </c>
      <c r="J627" t="s">
        <v>1103</v>
      </c>
      <c r="K627">
        <v>3</v>
      </c>
      <c r="L627">
        <v>4</v>
      </c>
      <c r="M627">
        <v>80</v>
      </c>
    </row>
    <row r="628" spans="1:13" x14ac:dyDescent="0.25">
      <c r="A628" t="s">
        <v>650</v>
      </c>
      <c r="B628" t="s">
        <v>16</v>
      </c>
      <c r="C628">
        <v>105</v>
      </c>
      <c r="D628" t="s">
        <v>13</v>
      </c>
      <c r="E628" s="46">
        <v>45125</v>
      </c>
      <c r="F628">
        <v>176</v>
      </c>
      <c r="G628">
        <v>4.7</v>
      </c>
      <c r="H628">
        <v>2024</v>
      </c>
      <c r="I628" t="s">
        <v>1092</v>
      </c>
      <c r="J628" t="s">
        <v>1099</v>
      </c>
      <c r="K628">
        <v>5</v>
      </c>
      <c r="L628">
        <v>3</v>
      </c>
      <c r="M628">
        <v>176</v>
      </c>
    </row>
    <row r="629" spans="1:13" x14ac:dyDescent="0.25">
      <c r="A629" t="s">
        <v>651</v>
      </c>
      <c r="B629" t="s">
        <v>20</v>
      </c>
      <c r="C629">
        <v>76</v>
      </c>
      <c r="D629" t="s">
        <v>6</v>
      </c>
      <c r="E629" s="46">
        <v>45126</v>
      </c>
      <c r="F629">
        <v>84</v>
      </c>
      <c r="G629">
        <v>3.9</v>
      </c>
      <c r="H629">
        <v>2024</v>
      </c>
      <c r="I629" t="s">
        <v>1093</v>
      </c>
      <c r="J629" t="s">
        <v>1099</v>
      </c>
      <c r="K629">
        <v>4</v>
      </c>
      <c r="L629">
        <v>3</v>
      </c>
      <c r="M629">
        <v>84</v>
      </c>
    </row>
    <row r="630" spans="1:13" x14ac:dyDescent="0.25">
      <c r="A630" t="s">
        <v>652</v>
      </c>
      <c r="B630" t="s">
        <v>12</v>
      </c>
      <c r="C630">
        <v>144</v>
      </c>
      <c r="D630" t="s">
        <v>6</v>
      </c>
      <c r="E630" s="46">
        <v>45126</v>
      </c>
      <c r="F630">
        <v>164</v>
      </c>
      <c r="G630">
        <v>2.8</v>
      </c>
      <c r="H630">
        <v>2024</v>
      </c>
      <c r="I630" t="s">
        <v>1093</v>
      </c>
      <c r="J630" t="s">
        <v>1103</v>
      </c>
      <c r="K630">
        <v>3</v>
      </c>
      <c r="L630">
        <v>4</v>
      </c>
      <c r="M630">
        <v>164</v>
      </c>
    </row>
    <row r="631" spans="1:13" x14ac:dyDescent="0.25">
      <c r="A631" t="s">
        <v>653</v>
      </c>
      <c r="B631" t="s">
        <v>5</v>
      </c>
      <c r="C631">
        <v>109</v>
      </c>
      <c r="D631" t="s">
        <v>10</v>
      </c>
      <c r="E631" s="46">
        <v>45126</v>
      </c>
      <c r="F631">
        <v>132</v>
      </c>
      <c r="G631">
        <v>3.1</v>
      </c>
      <c r="H631">
        <v>2024</v>
      </c>
      <c r="I631" t="s">
        <v>1093</v>
      </c>
      <c r="J631" t="s">
        <v>1099</v>
      </c>
      <c r="K631">
        <v>3</v>
      </c>
      <c r="L631">
        <v>3</v>
      </c>
      <c r="M631">
        <v>132</v>
      </c>
    </row>
    <row r="632" spans="1:13" x14ac:dyDescent="0.25">
      <c r="A632" t="s">
        <v>654</v>
      </c>
      <c r="B632" t="s">
        <v>22</v>
      </c>
      <c r="C632">
        <v>172</v>
      </c>
      <c r="D632" t="s">
        <v>11</v>
      </c>
      <c r="E632" s="46">
        <v>45127</v>
      </c>
      <c r="F632">
        <v>27</v>
      </c>
      <c r="G632">
        <v>4.2</v>
      </c>
      <c r="H632">
        <v>2024</v>
      </c>
      <c r="I632" t="s">
        <v>1094</v>
      </c>
      <c r="J632" t="s">
        <v>1103</v>
      </c>
      <c r="K632">
        <v>4</v>
      </c>
      <c r="L632">
        <v>4</v>
      </c>
      <c r="M632">
        <v>27</v>
      </c>
    </row>
    <row r="633" spans="1:13" x14ac:dyDescent="0.25">
      <c r="A633" t="s">
        <v>655</v>
      </c>
      <c r="B633" t="s">
        <v>12</v>
      </c>
      <c r="C633">
        <v>56</v>
      </c>
      <c r="D633" t="s">
        <v>13</v>
      </c>
      <c r="E633" s="46">
        <v>45127</v>
      </c>
      <c r="F633">
        <v>27</v>
      </c>
      <c r="G633">
        <v>4.3</v>
      </c>
      <c r="H633">
        <v>2024</v>
      </c>
      <c r="I633" t="s">
        <v>1094</v>
      </c>
      <c r="J633" t="s">
        <v>1099</v>
      </c>
      <c r="K633">
        <v>4</v>
      </c>
      <c r="L633">
        <v>3</v>
      </c>
      <c r="M633">
        <v>27</v>
      </c>
    </row>
    <row r="634" spans="1:13" x14ac:dyDescent="0.25">
      <c r="A634" t="s">
        <v>656</v>
      </c>
      <c r="B634" t="s">
        <v>12</v>
      </c>
      <c r="C634">
        <v>121</v>
      </c>
      <c r="D634" t="s">
        <v>9</v>
      </c>
      <c r="E634" s="46">
        <v>45127</v>
      </c>
      <c r="F634">
        <v>20</v>
      </c>
      <c r="G634">
        <v>2.7</v>
      </c>
      <c r="H634">
        <v>2024</v>
      </c>
      <c r="I634" t="s">
        <v>1094</v>
      </c>
      <c r="J634" t="s">
        <v>1103</v>
      </c>
      <c r="K634">
        <v>3</v>
      </c>
      <c r="L634">
        <v>4</v>
      </c>
      <c r="M634">
        <v>20</v>
      </c>
    </row>
    <row r="635" spans="1:13" x14ac:dyDescent="0.25">
      <c r="A635" t="s">
        <v>657</v>
      </c>
      <c r="B635" t="s">
        <v>22</v>
      </c>
      <c r="C635">
        <v>41</v>
      </c>
      <c r="D635" t="s">
        <v>13</v>
      </c>
      <c r="E635" s="46">
        <v>45128</v>
      </c>
      <c r="F635">
        <v>112</v>
      </c>
      <c r="G635">
        <v>2.2999999999999998</v>
      </c>
      <c r="H635">
        <v>2024</v>
      </c>
      <c r="I635" t="s">
        <v>1095</v>
      </c>
      <c r="J635" t="s">
        <v>1099</v>
      </c>
      <c r="K635">
        <v>2</v>
      </c>
      <c r="L635">
        <v>3</v>
      </c>
      <c r="M635">
        <v>112</v>
      </c>
    </row>
    <row r="636" spans="1:13" x14ac:dyDescent="0.25">
      <c r="A636" t="s">
        <v>658</v>
      </c>
      <c r="B636" t="s">
        <v>21</v>
      </c>
      <c r="C636">
        <v>60</v>
      </c>
      <c r="D636" t="s">
        <v>11</v>
      </c>
      <c r="E636" s="46">
        <v>45128</v>
      </c>
      <c r="F636">
        <v>60</v>
      </c>
      <c r="G636">
        <v>2.2999999999999998</v>
      </c>
      <c r="H636">
        <v>2024</v>
      </c>
      <c r="I636" t="s">
        <v>1095</v>
      </c>
      <c r="J636" t="s">
        <v>1099</v>
      </c>
      <c r="K636">
        <v>2</v>
      </c>
      <c r="L636">
        <v>3</v>
      </c>
      <c r="M636">
        <v>60</v>
      </c>
    </row>
    <row r="637" spans="1:13" x14ac:dyDescent="0.25">
      <c r="A637" t="s">
        <v>659</v>
      </c>
      <c r="B637" t="s">
        <v>21</v>
      </c>
      <c r="C637">
        <v>144</v>
      </c>
      <c r="D637" t="s">
        <v>11</v>
      </c>
      <c r="E637" s="46">
        <v>45129</v>
      </c>
      <c r="F637">
        <v>102</v>
      </c>
      <c r="G637">
        <v>2.9</v>
      </c>
      <c r="H637">
        <v>2024</v>
      </c>
      <c r="I637" t="s">
        <v>1096</v>
      </c>
      <c r="J637" t="s">
        <v>1103</v>
      </c>
      <c r="K637">
        <v>3</v>
      </c>
      <c r="L637">
        <v>4</v>
      </c>
      <c r="M637">
        <v>102</v>
      </c>
    </row>
    <row r="638" spans="1:13" x14ac:dyDescent="0.25">
      <c r="A638" t="s">
        <v>660</v>
      </c>
      <c r="B638" t="s">
        <v>8</v>
      </c>
      <c r="C638">
        <v>67</v>
      </c>
      <c r="D638" t="s">
        <v>11</v>
      </c>
      <c r="E638" s="46">
        <v>45129</v>
      </c>
      <c r="F638">
        <v>38</v>
      </c>
      <c r="G638">
        <v>4.2</v>
      </c>
      <c r="H638">
        <v>2024</v>
      </c>
      <c r="I638" t="s">
        <v>1096</v>
      </c>
      <c r="J638" t="s">
        <v>1099</v>
      </c>
      <c r="K638">
        <v>4</v>
      </c>
      <c r="L638">
        <v>3</v>
      </c>
      <c r="M638">
        <v>38</v>
      </c>
    </row>
    <row r="639" spans="1:13" x14ac:dyDescent="0.25">
      <c r="A639" t="s">
        <v>661</v>
      </c>
      <c r="B639" t="s">
        <v>22</v>
      </c>
      <c r="C639">
        <v>162</v>
      </c>
      <c r="D639" t="s">
        <v>10</v>
      </c>
      <c r="E639" s="46">
        <v>45129</v>
      </c>
      <c r="F639">
        <v>82</v>
      </c>
      <c r="G639">
        <v>4.5999999999999996</v>
      </c>
      <c r="H639">
        <v>2024</v>
      </c>
      <c r="I639" t="s">
        <v>1096</v>
      </c>
      <c r="J639" t="s">
        <v>1103</v>
      </c>
      <c r="K639">
        <v>5</v>
      </c>
      <c r="L639">
        <v>4</v>
      </c>
      <c r="M639">
        <v>82</v>
      </c>
    </row>
    <row r="640" spans="1:13" x14ac:dyDescent="0.25">
      <c r="A640" t="s">
        <v>662</v>
      </c>
      <c r="B640" t="s">
        <v>21</v>
      </c>
      <c r="C640">
        <v>87</v>
      </c>
      <c r="D640" t="s">
        <v>9</v>
      </c>
      <c r="E640" s="46">
        <v>45132</v>
      </c>
      <c r="F640">
        <v>125</v>
      </c>
      <c r="G640">
        <v>4.5</v>
      </c>
      <c r="H640">
        <v>2024</v>
      </c>
      <c r="I640" t="s">
        <v>1092</v>
      </c>
      <c r="J640" t="s">
        <v>1099</v>
      </c>
      <c r="K640">
        <v>5</v>
      </c>
      <c r="L640">
        <v>3</v>
      </c>
      <c r="M640">
        <v>125</v>
      </c>
    </row>
    <row r="641" spans="1:13" x14ac:dyDescent="0.25">
      <c r="A641" t="s">
        <v>663</v>
      </c>
      <c r="B641" t="s">
        <v>19</v>
      </c>
      <c r="C641">
        <v>10</v>
      </c>
      <c r="D641" t="s">
        <v>6</v>
      </c>
      <c r="E641" s="46">
        <v>45133</v>
      </c>
      <c r="F641">
        <v>72</v>
      </c>
      <c r="G641">
        <v>3.7</v>
      </c>
      <c r="H641">
        <v>2024</v>
      </c>
      <c r="I641" t="s">
        <v>1093</v>
      </c>
      <c r="J641" t="s">
        <v>1101</v>
      </c>
      <c r="K641">
        <v>4</v>
      </c>
      <c r="L641">
        <v>1</v>
      </c>
      <c r="M641">
        <v>72</v>
      </c>
    </row>
    <row r="642" spans="1:13" x14ac:dyDescent="0.25">
      <c r="A642" t="s">
        <v>664</v>
      </c>
      <c r="B642" t="s">
        <v>12</v>
      </c>
      <c r="C642">
        <v>138</v>
      </c>
      <c r="D642" t="s">
        <v>6</v>
      </c>
      <c r="E642" s="46">
        <v>45133</v>
      </c>
      <c r="F642">
        <v>195</v>
      </c>
      <c r="G642">
        <v>4.0999999999999996</v>
      </c>
      <c r="H642">
        <v>2024</v>
      </c>
      <c r="I642" t="s">
        <v>1093</v>
      </c>
      <c r="J642" t="s">
        <v>1103</v>
      </c>
      <c r="K642">
        <v>4</v>
      </c>
      <c r="L642">
        <v>4</v>
      </c>
      <c r="M642">
        <v>195</v>
      </c>
    </row>
    <row r="643" spans="1:13" x14ac:dyDescent="0.25">
      <c r="A643" t="s">
        <v>665</v>
      </c>
      <c r="B643" t="s">
        <v>22</v>
      </c>
      <c r="C643">
        <v>31</v>
      </c>
      <c r="D643" t="s">
        <v>6</v>
      </c>
      <c r="E643" s="46">
        <v>45134</v>
      </c>
      <c r="F643">
        <v>160</v>
      </c>
      <c r="G643">
        <v>3.4</v>
      </c>
      <c r="H643">
        <v>2024</v>
      </c>
      <c r="I643" t="s">
        <v>1094</v>
      </c>
      <c r="J643" t="s">
        <v>1099</v>
      </c>
      <c r="K643">
        <v>3</v>
      </c>
      <c r="L643">
        <v>3</v>
      </c>
      <c r="M643">
        <v>160</v>
      </c>
    </row>
    <row r="644" spans="1:13" x14ac:dyDescent="0.25">
      <c r="A644" t="s">
        <v>666</v>
      </c>
      <c r="B644" t="s">
        <v>16</v>
      </c>
      <c r="C644">
        <v>75</v>
      </c>
      <c r="D644" t="s">
        <v>10</v>
      </c>
      <c r="E644" s="46">
        <v>45134</v>
      </c>
      <c r="F644">
        <v>78</v>
      </c>
      <c r="G644">
        <v>3.3</v>
      </c>
      <c r="H644">
        <v>2024</v>
      </c>
      <c r="I644" t="s">
        <v>1094</v>
      </c>
      <c r="J644" t="s">
        <v>1099</v>
      </c>
      <c r="K644">
        <v>3</v>
      </c>
      <c r="L644">
        <v>3</v>
      </c>
      <c r="M644">
        <v>78</v>
      </c>
    </row>
    <row r="645" spans="1:13" x14ac:dyDescent="0.25">
      <c r="A645" t="s">
        <v>667</v>
      </c>
      <c r="B645" t="s">
        <v>20</v>
      </c>
      <c r="C645">
        <v>65</v>
      </c>
      <c r="D645" t="s">
        <v>10</v>
      </c>
      <c r="E645" s="46">
        <v>45135</v>
      </c>
      <c r="F645">
        <v>70</v>
      </c>
      <c r="G645">
        <v>4.4000000000000004</v>
      </c>
      <c r="H645">
        <v>2024</v>
      </c>
      <c r="I645" t="s">
        <v>1095</v>
      </c>
      <c r="J645" t="s">
        <v>1099</v>
      </c>
      <c r="K645">
        <v>4</v>
      </c>
      <c r="L645">
        <v>3</v>
      </c>
      <c r="M645">
        <v>70</v>
      </c>
    </row>
    <row r="646" spans="1:13" x14ac:dyDescent="0.25">
      <c r="A646" t="s">
        <v>668</v>
      </c>
      <c r="B646" t="s">
        <v>23</v>
      </c>
      <c r="C646">
        <v>106</v>
      </c>
      <c r="D646" t="s">
        <v>13</v>
      </c>
      <c r="E646" s="46">
        <v>45135</v>
      </c>
      <c r="F646">
        <v>105</v>
      </c>
      <c r="G646">
        <v>4.2</v>
      </c>
      <c r="H646">
        <v>2024</v>
      </c>
      <c r="I646" t="s">
        <v>1095</v>
      </c>
      <c r="J646" t="s">
        <v>1099</v>
      </c>
      <c r="K646">
        <v>4</v>
      </c>
      <c r="L646">
        <v>3</v>
      </c>
      <c r="M646">
        <v>105</v>
      </c>
    </row>
    <row r="647" spans="1:13" x14ac:dyDescent="0.25">
      <c r="A647" t="s">
        <v>669</v>
      </c>
      <c r="B647" t="s">
        <v>20</v>
      </c>
      <c r="C647">
        <v>107</v>
      </c>
      <c r="D647" t="s">
        <v>13</v>
      </c>
      <c r="E647" s="46">
        <v>45136</v>
      </c>
      <c r="F647">
        <v>78</v>
      </c>
      <c r="G647">
        <v>3.4</v>
      </c>
      <c r="H647">
        <v>2024</v>
      </c>
      <c r="I647" t="s">
        <v>1096</v>
      </c>
      <c r="J647" t="s">
        <v>1099</v>
      </c>
      <c r="K647">
        <v>3</v>
      </c>
      <c r="L647">
        <v>3</v>
      </c>
      <c r="M647">
        <v>78</v>
      </c>
    </row>
    <row r="648" spans="1:13" x14ac:dyDescent="0.25">
      <c r="A648" t="s">
        <v>670</v>
      </c>
      <c r="B648" t="s">
        <v>17</v>
      </c>
      <c r="C648">
        <v>78</v>
      </c>
      <c r="D648" t="s">
        <v>13</v>
      </c>
      <c r="E648" s="46">
        <v>45138</v>
      </c>
      <c r="F648">
        <v>205</v>
      </c>
      <c r="G648">
        <v>4.4000000000000004</v>
      </c>
      <c r="H648">
        <v>2024</v>
      </c>
      <c r="I648" t="s">
        <v>1091</v>
      </c>
      <c r="J648" t="s">
        <v>1099</v>
      </c>
      <c r="K648">
        <v>4</v>
      </c>
      <c r="L648">
        <v>3</v>
      </c>
      <c r="M648">
        <v>205</v>
      </c>
    </row>
    <row r="649" spans="1:13" x14ac:dyDescent="0.25">
      <c r="A649" t="s">
        <v>671</v>
      </c>
      <c r="B649" t="s">
        <v>24</v>
      </c>
      <c r="C649">
        <v>122</v>
      </c>
      <c r="D649" t="s">
        <v>13</v>
      </c>
      <c r="E649" s="46">
        <v>45138</v>
      </c>
      <c r="F649">
        <v>78</v>
      </c>
      <c r="G649">
        <v>2.7</v>
      </c>
      <c r="H649">
        <v>2024</v>
      </c>
      <c r="I649" t="s">
        <v>1091</v>
      </c>
      <c r="J649" t="s">
        <v>1103</v>
      </c>
      <c r="K649">
        <v>3</v>
      </c>
      <c r="L649">
        <v>4</v>
      </c>
      <c r="M649">
        <v>78</v>
      </c>
    </row>
    <row r="650" spans="1:13" x14ac:dyDescent="0.25">
      <c r="A650" t="s">
        <v>672</v>
      </c>
      <c r="B650" t="s">
        <v>12</v>
      </c>
      <c r="C650">
        <v>58</v>
      </c>
      <c r="D650" t="s">
        <v>6</v>
      </c>
      <c r="E650" s="46">
        <v>45138</v>
      </c>
      <c r="F650">
        <v>38</v>
      </c>
      <c r="G650">
        <v>4.5</v>
      </c>
      <c r="H650">
        <v>2024</v>
      </c>
      <c r="I650" t="s">
        <v>1091</v>
      </c>
      <c r="J650" t="s">
        <v>1099</v>
      </c>
      <c r="K650">
        <v>5</v>
      </c>
      <c r="L650">
        <v>3</v>
      </c>
      <c r="M650">
        <v>38</v>
      </c>
    </row>
    <row r="651" spans="1:13" x14ac:dyDescent="0.25">
      <c r="A651" t="s">
        <v>673</v>
      </c>
      <c r="B651" t="s">
        <v>17</v>
      </c>
      <c r="C651">
        <v>33</v>
      </c>
      <c r="D651" t="s">
        <v>11</v>
      </c>
      <c r="E651" s="46">
        <v>45138</v>
      </c>
      <c r="F651">
        <v>92</v>
      </c>
      <c r="G651">
        <v>1.7</v>
      </c>
      <c r="H651">
        <v>2024</v>
      </c>
      <c r="I651" t="s">
        <v>1091</v>
      </c>
      <c r="J651" t="s">
        <v>1099</v>
      </c>
      <c r="K651">
        <v>2</v>
      </c>
      <c r="L651">
        <v>3</v>
      </c>
      <c r="M651">
        <v>92</v>
      </c>
    </row>
    <row r="652" spans="1:13" x14ac:dyDescent="0.25">
      <c r="A652" t="s">
        <v>674</v>
      </c>
      <c r="B652" t="s">
        <v>5</v>
      </c>
      <c r="C652">
        <v>164</v>
      </c>
      <c r="D652" t="s">
        <v>10</v>
      </c>
      <c r="E652" s="46">
        <v>45138</v>
      </c>
      <c r="F652">
        <v>36</v>
      </c>
      <c r="G652">
        <v>4.7</v>
      </c>
      <c r="H652">
        <v>2024</v>
      </c>
      <c r="I652" t="s">
        <v>1091</v>
      </c>
      <c r="J652" t="s">
        <v>1103</v>
      </c>
      <c r="K652">
        <v>5</v>
      </c>
      <c r="L652">
        <v>4</v>
      </c>
      <c r="M652">
        <v>36</v>
      </c>
    </row>
    <row r="653" spans="1:13" x14ac:dyDescent="0.25">
      <c r="A653" t="s">
        <v>675</v>
      </c>
      <c r="B653" t="s">
        <v>16</v>
      </c>
      <c r="C653">
        <v>163</v>
      </c>
      <c r="D653" t="s">
        <v>9</v>
      </c>
      <c r="E653" s="46">
        <v>45138</v>
      </c>
      <c r="F653">
        <v>76</v>
      </c>
      <c r="G653">
        <v>4.4000000000000004</v>
      </c>
      <c r="H653">
        <v>2024</v>
      </c>
      <c r="I653" t="s">
        <v>1091</v>
      </c>
      <c r="J653" t="s">
        <v>1103</v>
      </c>
      <c r="K653">
        <v>4</v>
      </c>
      <c r="L653">
        <v>4</v>
      </c>
      <c r="M653">
        <v>76</v>
      </c>
    </row>
    <row r="654" spans="1:13" x14ac:dyDescent="0.25">
      <c r="A654" t="s">
        <v>676</v>
      </c>
      <c r="B654" t="s">
        <v>15</v>
      </c>
      <c r="C654">
        <v>71</v>
      </c>
      <c r="D654" t="s">
        <v>10</v>
      </c>
      <c r="E654" s="46">
        <v>45140</v>
      </c>
      <c r="F654">
        <v>170</v>
      </c>
      <c r="G654">
        <v>3.5</v>
      </c>
      <c r="H654">
        <v>2024</v>
      </c>
      <c r="I654" t="s">
        <v>1093</v>
      </c>
      <c r="J654" t="s">
        <v>1099</v>
      </c>
      <c r="K654">
        <v>4</v>
      </c>
      <c r="L654">
        <v>3</v>
      </c>
      <c r="M654">
        <v>170</v>
      </c>
    </row>
    <row r="655" spans="1:13" x14ac:dyDescent="0.25">
      <c r="A655" t="s">
        <v>677</v>
      </c>
      <c r="B655" t="s">
        <v>17</v>
      </c>
      <c r="C655">
        <v>103</v>
      </c>
      <c r="D655" t="s">
        <v>6</v>
      </c>
      <c r="E655" s="46">
        <v>45141</v>
      </c>
      <c r="F655">
        <v>117</v>
      </c>
      <c r="G655">
        <v>4.7</v>
      </c>
      <c r="H655">
        <v>2024</v>
      </c>
      <c r="I655" t="s">
        <v>1094</v>
      </c>
      <c r="J655" t="s">
        <v>1099</v>
      </c>
      <c r="K655">
        <v>5</v>
      </c>
      <c r="L655">
        <v>3</v>
      </c>
      <c r="M655">
        <v>117</v>
      </c>
    </row>
    <row r="656" spans="1:13" x14ac:dyDescent="0.25">
      <c r="A656" t="s">
        <v>678</v>
      </c>
      <c r="B656" t="s">
        <v>7</v>
      </c>
      <c r="C656">
        <v>69</v>
      </c>
      <c r="D656" t="s">
        <v>9</v>
      </c>
      <c r="E656" s="46">
        <v>45141</v>
      </c>
      <c r="F656">
        <v>20</v>
      </c>
      <c r="G656">
        <v>4.3</v>
      </c>
      <c r="H656">
        <v>2024</v>
      </c>
      <c r="I656" t="s">
        <v>1094</v>
      </c>
      <c r="J656" t="s">
        <v>1099</v>
      </c>
      <c r="K656">
        <v>4</v>
      </c>
      <c r="L656">
        <v>3</v>
      </c>
      <c r="M656">
        <v>20</v>
      </c>
    </row>
    <row r="657" spans="1:13" x14ac:dyDescent="0.25">
      <c r="A657" t="s">
        <v>679</v>
      </c>
      <c r="B657" t="s">
        <v>16</v>
      </c>
      <c r="C657">
        <v>111</v>
      </c>
      <c r="D657" t="s">
        <v>6</v>
      </c>
      <c r="E657" s="46">
        <v>45141</v>
      </c>
      <c r="F657">
        <v>99</v>
      </c>
      <c r="G657">
        <v>4.0999999999999996</v>
      </c>
      <c r="H657">
        <v>2024</v>
      </c>
      <c r="I657" t="s">
        <v>1094</v>
      </c>
      <c r="J657" t="s">
        <v>1099</v>
      </c>
      <c r="K657">
        <v>4</v>
      </c>
      <c r="L657">
        <v>3</v>
      </c>
      <c r="M657">
        <v>99</v>
      </c>
    </row>
    <row r="658" spans="1:13" x14ac:dyDescent="0.25">
      <c r="A658" t="s">
        <v>680</v>
      </c>
      <c r="B658" t="s">
        <v>18</v>
      </c>
      <c r="C658">
        <v>97</v>
      </c>
      <c r="D658" t="s">
        <v>9</v>
      </c>
      <c r="E658" s="46">
        <v>45142</v>
      </c>
      <c r="F658">
        <v>105</v>
      </c>
      <c r="G658">
        <v>2.9</v>
      </c>
      <c r="H658">
        <v>2024</v>
      </c>
      <c r="I658" t="s">
        <v>1095</v>
      </c>
      <c r="J658" t="s">
        <v>1099</v>
      </c>
      <c r="K658">
        <v>3</v>
      </c>
      <c r="L658">
        <v>3</v>
      </c>
      <c r="M658">
        <v>105</v>
      </c>
    </row>
    <row r="659" spans="1:13" x14ac:dyDescent="0.25">
      <c r="A659" t="s">
        <v>681</v>
      </c>
      <c r="B659" t="s">
        <v>14</v>
      </c>
      <c r="C659">
        <v>144</v>
      </c>
      <c r="D659" t="s">
        <v>13</v>
      </c>
      <c r="E659" s="46">
        <v>45142</v>
      </c>
      <c r="F659">
        <v>195</v>
      </c>
      <c r="G659">
        <v>3.4</v>
      </c>
      <c r="H659">
        <v>2024</v>
      </c>
      <c r="I659" t="s">
        <v>1095</v>
      </c>
      <c r="J659" t="s">
        <v>1103</v>
      </c>
      <c r="K659">
        <v>3</v>
      </c>
      <c r="L659">
        <v>4</v>
      </c>
      <c r="M659">
        <v>195</v>
      </c>
    </row>
    <row r="660" spans="1:13" x14ac:dyDescent="0.25">
      <c r="A660" t="s">
        <v>682</v>
      </c>
      <c r="B660" t="s">
        <v>23</v>
      </c>
      <c r="C660">
        <v>56</v>
      </c>
      <c r="D660" t="s">
        <v>9</v>
      </c>
      <c r="E660" s="46">
        <v>45143</v>
      </c>
      <c r="F660">
        <v>152</v>
      </c>
      <c r="G660">
        <v>4.5999999999999996</v>
      </c>
      <c r="H660">
        <v>2024</v>
      </c>
      <c r="I660" t="s">
        <v>1096</v>
      </c>
      <c r="J660" t="s">
        <v>1099</v>
      </c>
      <c r="K660">
        <v>5</v>
      </c>
      <c r="L660">
        <v>3</v>
      </c>
      <c r="M660">
        <v>152</v>
      </c>
    </row>
    <row r="661" spans="1:13" x14ac:dyDescent="0.25">
      <c r="A661" t="s">
        <v>683</v>
      </c>
      <c r="B661" t="s">
        <v>14</v>
      </c>
      <c r="C661">
        <v>132</v>
      </c>
      <c r="D661" t="s">
        <v>13</v>
      </c>
      <c r="E661" s="46">
        <v>45144</v>
      </c>
      <c r="F661">
        <v>195</v>
      </c>
      <c r="G661">
        <v>4.9000000000000004</v>
      </c>
      <c r="H661">
        <v>2024</v>
      </c>
      <c r="I661" t="s">
        <v>1090</v>
      </c>
      <c r="J661" t="s">
        <v>1103</v>
      </c>
      <c r="K661">
        <v>5</v>
      </c>
      <c r="L661">
        <v>4</v>
      </c>
      <c r="M661">
        <v>195</v>
      </c>
    </row>
    <row r="662" spans="1:13" x14ac:dyDescent="0.25">
      <c r="A662" t="s">
        <v>684</v>
      </c>
      <c r="B662" t="s">
        <v>15</v>
      </c>
      <c r="C662">
        <v>72</v>
      </c>
      <c r="D662" t="s">
        <v>11</v>
      </c>
      <c r="E662" s="46">
        <v>45144</v>
      </c>
      <c r="F662">
        <v>70</v>
      </c>
      <c r="G662">
        <v>3.6</v>
      </c>
      <c r="H662">
        <v>2024</v>
      </c>
      <c r="I662" t="s">
        <v>1090</v>
      </c>
      <c r="J662" t="s">
        <v>1099</v>
      </c>
      <c r="K662">
        <v>4</v>
      </c>
      <c r="L662">
        <v>3</v>
      </c>
      <c r="M662">
        <v>70</v>
      </c>
    </row>
    <row r="663" spans="1:13" x14ac:dyDescent="0.25">
      <c r="A663" t="s">
        <v>685</v>
      </c>
      <c r="B663" t="s">
        <v>16</v>
      </c>
      <c r="C663">
        <v>18</v>
      </c>
      <c r="D663" t="s">
        <v>11</v>
      </c>
      <c r="E663" s="46">
        <v>45144</v>
      </c>
      <c r="F663">
        <v>22</v>
      </c>
      <c r="G663">
        <v>3.5</v>
      </c>
      <c r="H663">
        <v>2024</v>
      </c>
      <c r="I663" t="s">
        <v>1090</v>
      </c>
      <c r="J663" t="s">
        <v>1100</v>
      </c>
      <c r="K663">
        <v>4</v>
      </c>
      <c r="L663">
        <v>2</v>
      </c>
      <c r="M663">
        <v>22</v>
      </c>
    </row>
    <row r="664" spans="1:13" x14ac:dyDescent="0.25">
      <c r="A664" t="s">
        <v>686</v>
      </c>
      <c r="B664" t="s">
        <v>8</v>
      </c>
      <c r="C664">
        <v>115</v>
      </c>
      <c r="D664" t="s">
        <v>6</v>
      </c>
      <c r="E664" s="46">
        <v>45145</v>
      </c>
      <c r="F664">
        <v>40</v>
      </c>
      <c r="G664">
        <v>3.3</v>
      </c>
      <c r="H664">
        <v>2024</v>
      </c>
      <c r="I664" t="s">
        <v>1091</v>
      </c>
      <c r="J664" t="s">
        <v>1099</v>
      </c>
      <c r="K664">
        <v>3</v>
      </c>
      <c r="L664">
        <v>3</v>
      </c>
      <c r="M664">
        <v>40</v>
      </c>
    </row>
    <row r="665" spans="1:13" x14ac:dyDescent="0.25">
      <c r="A665" t="s">
        <v>687</v>
      </c>
      <c r="B665" t="s">
        <v>8</v>
      </c>
      <c r="C665">
        <v>124</v>
      </c>
      <c r="D665" t="s">
        <v>9</v>
      </c>
      <c r="E665" s="46">
        <v>45146</v>
      </c>
      <c r="F665">
        <v>54</v>
      </c>
      <c r="G665">
        <v>3.8</v>
      </c>
      <c r="H665">
        <v>2024</v>
      </c>
      <c r="I665" t="s">
        <v>1092</v>
      </c>
      <c r="J665" t="s">
        <v>1103</v>
      </c>
      <c r="K665">
        <v>4</v>
      </c>
      <c r="L665">
        <v>4</v>
      </c>
      <c r="M665">
        <v>54</v>
      </c>
    </row>
    <row r="666" spans="1:13" x14ac:dyDescent="0.25">
      <c r="A666" t="s">
        <v>688</v>
      </c>
      <c r="B666" t="s">
        <v>12</v>
      </c>
      <c r="C666">
        <v>130</v>
      </c>
      <c r="D666" t="s">
        <v>9</v>
      </c>
      <c r="E666" s="46">
        <v>45146</v>
      </c>
      <c r="F666">
        <v>60</v>
      </c>
      <c r="G666">
        <v>2.5</v>
      </c>
      <c r="H666">
        <v>2024</v>
      </c>
      <c r="I666" t="s">
        <v>1092</v>
      </c>
      <c r="J666" t="s">
        <v>1103</v>
      </c>
      <c r="K666">
        <v>3</v>
      </c>
      <c r="L666">
        <v>4</v>
      </c>
      <c r="M666">
        <v>60</v>
      </c>
    </row>
    <row r="667" spans="1:13" x14ac:dyDescent="0.25">
      <c r="A667" t="s">
        <v>689</v>
      </c>
      <c r="B667" t="s">
        <v>19</v>
      </c>
      <c r="C667">
        <v>120</v>
      </c>
      <c r="D667" t="s">
        <v>10</v>
      </c>
      <c r="E667" s="46">
        <v>45148</v>
      </c>
      <c r="F667">
        <v>58</v>
      </c>
      <c r="G667">
        <v>4.5999999999999996</v>
      </c>
      <c r="H667">
        <v>2024</v>
      </c>
      <c r="I667" t="s">
        <v>1094</v>
      </c>
      <c r="J667" t="s">
        <v>1099</v>
      </c>
      <c r="K667">
        <v>5</v>
      </c>
      <c r="L667">
        <v>3</v>
      </c>
      <c r="M667">
        <v>58</v>
      </c>
    </row>
    <row r="668" spans="1:13" x14ac:dyDescent="0.25">
      <c r="A668" t="s">
        <v>690</v>
      </c>
      <c r="B668" t="s">
        <v>18</v>
      </c>
      <c r="C668">
        <v>75</v>
      </c>
      <c r="D668" t="s">
        <v>6</v>
      </c>
      <c r="E668" s="46">
        <v>45148</v>
      </c>
      <c r="F668">
        <v>220</v>
      </c>
      <c r="G668">
        <v>4.7</v>
      </c>
      <c r="H668">
        <v>2024</v>
      </c>
      <c r="I668" t="s">
        <v>1094</v>
      </c>
      <c r="J668" t="s">
        <v>1099</v>
      </c>
      <c r="K668">
        <v>5</v>
      </c>
      <c r="L668">
        <v>3</v>
      </c>
      <c r="M668">
        <v>220</v>
      </c>
    </row>
    <row r="669" spans="1:13" x14ac:dyDescent="0.25">
      <c r="A669" t="s">
        <v>691</v>
      </c>
      <c r="B669" t="s">
        <v>20</v>
      </c>
      <c r="C669">
        <v>63</v>
      </c>
      <c r="D669" t="s">
        <v>6</v>
      </c>
      <c r="E669" s="46">
        <v>45148</v>
      </c>
      <c r="F669">
        <v>27</v>
      </c>
      <c r="G669">
        <v>3.6</v>
      </c>
      <c r="H669">
        <v>2024</v>
      </c>
      <c r="I669" t="s">
        <v>1094</v>
      </c>
      <c r="J669" t="s">
        <v>1099</v>
      </c>
      <c r="K669">
        <v>4</v>
      </c>
      <c r="L669">
        <v>3</v>
      </c>
      <c r="M669">
        <v>27</v>
      </c>
    </row>
    <row r="670" spans="1:13" x14ac:dyDescent="0.25">
      <c r="A670" t="s">
        <v>692</v>
      </c>
      <c r="B670" t="s">
        <v>14</v>
      </c>
      <c r="C670">
        <v>74</v>
      </c>
      <c r="D670" t="s">
        <v>6</v>
      </c>
      <c r="E670" s="46">
        <v>45150</v>
      </c>
      <c r="F670">
        <v>26</v>
      </c>
      <c r="G670">
        <v>4.3</v>
      </c>
      <c r="H670">
        <v>2024</v>
      </c>
      <c r="I670" t="s">
        <v>1096</v>
      </c>
      <c r="J670" t="s">
        <v>1099</v>
      </c>
      <c r="K670">
        <v>4</v>
      </c>
      <c r="L670">
        <v>3</v>
      </c>
      <c r="M670">
        <v>26</v>
      </c>
    </row>
    <row r="671" spans="1:13" x14ac:dyDescent="0.25">
      <c r="A671" t="s">
        <v>693</v>
      </c>
      <c r="B671" t="s">
        <v>7</v>
      </c>
      <c r="C671">
        <v>134</v>
      </c>
      <c r="D671" t="s">
        <v>13</v>
      </c>
      <c r="E671" s="46">
        <v>45151</v>
      </c>
      <c r="F671">
        <v>160</v>
      </c>
      <c r="G671">
        <v>4.7</v>
      </c>
      <c r="H671">
        <v>2024</v>
      </c>
      <c r="I671" t="s">
        <v>1090</v>
      </c>
      <c r="J671" t="s">
        <v>1103</v>
      </c>
      <c r="K671">
        <v>5</v>
      </c>
      <c r="L671">
        <v>4</v>
      </c>
      <c r="M671">
        <v>160</v>
      </c>
    </row>
    <row r="672" spans="1:13" x14ac:dyDescent="0.25">
      <c r="A672" t="s">
        <v>694</v>
      </c>
      <c r="B672" t="s">
        <v>16</v>
      </c>
      <c r="C672">
        <v>103</v>
      </c>
      <c r="D672" t="s">
        <v>9</v>
      </c>
      <c r="E672" s="46">
        <v>45151</v>
      </c>
      <c r="F672">
        <v>200</v>
      </c>
      <c r="G672">
        <v>4.9000000000000004</v>
      </c>
      <c r="H672">
        <v>2024</v>
      </c>
      <c r="I672" t="s">
        <v>1090</v>
      </c>
      <c r="J672" t="s">
        <v>1099</v>
      </c>
      <c r="K672">
        <v>5</v>
      </c>
      <c r="L672">
        <v>3</v>
      </c>
      <c r="M672">
        <v>200</v>
      </c>
    </row>
    <row r="673" spans="1:13" x14ac:dyDescent="0.25">
      <c r="A673" t="s">
        <v>695</v>
      </c>
      <c r="B673" t="s">
        <v>16</v>
      </c>
      <c r="C673">
        <v>155</v>
      </c>
      <c r="D673" t="s">
        <v>10</v>
      </c>
      <c r="E673" s="46">
        <v>45154</v>
      </c>
      <c r="F673">
        <v>135</v>
      </c>
      <c r="G673">
        <v>4.9000000000000004</v>
      </c>
      <c r="H673">
        <v>2024</v>
      </c>
      <c r="I673" t="s">
        <v>1093</v>
      </c>
      <c r="J673" t="s">
        <v>1103</v>
      </c>
      <c r="K673">
        <v>5</v>
      </c>
      <c r="L673">
        <v>4</v>
      </c>
      <c r="M673">
        <v>135</v>
      </c>
    </row>
    <row r="674" spans="1:13" x14ac:dyDescent="0.25">
      <c r="A674" t="s">
        <v>696</v>
      </c>
      <c r="B674" t="s">
        <v>20</v>
      </c>
      <c r="C674">
        <v>128</v>
      </c>
      <c r="D674" t="s">
        <v>9</v>
      </c>
      <c r="E674" s="46">
        <v>45155</v>
      </c>
      <c r="F674">
        <v>22</v>
      </c>
      <c r="G674">
        <v>1.9</v>
      </c>
      <c r="H674">
        <v>2024</v>
      </c>
      <c r="I674" t="s">
        <v>1094</v>
      </c>
      <c r="J674" t="s">
        <v>1103</v>
      </c>
      <c r="K674">
        <v>2</v>
      </c>
      <c r="L674">
        <v>4</v>
      </c>
      <c r="M674">
        <v>22</v>
      </c>
    </row>
    <row r="675" spans="1:13" x14ac:dyDescent="0.25">
      <c r="A675" t="s">
        <v>697</v>
      </c>
      <c r="B675" t="s">
        <v>18</v>
      </c>
      <c r="C675">
        <v>89</v>
      </c>
      <c r="D675" t="s">
        <v>13</v>
      </c>
      <c r="E675" s="46">
        <v>45156</v>
      </c>
      <c r="F675">
        <v>164</v>
      </c>
      <c r="G675">
        <v>4.5</v>
      </c>
      <c r="H675">
        <v>2024</v>
      </c>
      <c r="I675" t="s">
        <v>1095</v>
      </c>
      <c r="J675" t="s">
        <v>1099</v>
      </c>
      <c r="K675">
        <v>5</v>
      </c>
      <c r="L675">
        <v>3</v>
      </c>
      <c r="M675">
        <v>164</v>
      </c>
    </row>
    <row r="676" spans="1:13" x14ac:dyDescent="0.25">
      <c r="A676" t="s">
        <v>698</v>
      </c>
      <c r="B676" t="s">
        <v>8</v>
      </c>
      <c r="C676">
        <v>81</v>
      </c>
      <c r="D676" t="s">
        <v>10</v>
      </c>
      <c r="E676" s="46">
        <v>45156</v>
      </c>
      <c r="F676">
        <v>21</v>
      </c>
      <c r="G676">
        <v>4.9000000000000004</v>
      </c>
      <c r="H676">
        <v>2024</v>
      </c>
      <c r="I676" t="s">
        <v>1095</v>
      </c>
      <c r="J676" t="s">
        <v>1099</v>
      </c>
      <c r="K676">
        <v>5</v>
      </c>
      <c r="L676">
        <v>3</v>
      </c>
      <c r="M676">
        <v>21</v>
      </c>
    </row>
    <row r="677" spans="1:13" x14ac:dyDescent="0.25">
      <c r="A677" t="s">
        <v>699</v>
      </c>
      <c r="B677" t="s">
        <v>18</v>
      </c>
      <c r="C677">
        <v>66</v>
      </c>
      <c r="D677" t="s">
        <v>13</v>
      </c>
      <c r="E677" s="46">
        <v>45157</v>
      </c>
      <c r="F677">
        <v>120</v>
      </c>
      <c r="G677">
        <v>4.5</v>
      </c>
      <c r="H677">
        <v>2024</v>
      </c>
      <c r="I677" t="s">
        <v>1096</v>
      </c>
      <c r="J677" t="s">
        <v>1099</v>
      </c>
      <c r="K677">
        <v>5</v>
      </c>
      <c r="L677">
        <v>3</v>
      </c>
      <c r="M677">
        <v>120</v>
      </c>
    </row>
    <row r="678" spans="1:13" x14ac:dyDescent="0.25">
      <c r="A678" t="s">
        <v>700</v>
      </c>
      <c r="B678" t="s">
        <v>15</v>
      </c>
      <c r="C678">
        <v>61</v>
      </c>
      <c r="D678" t="s">
        <v>11</v>
      </c>
      <c r="E678" s="46">
        <v>45157</v>
      </c>
      <c r="F678">
        <v>93</v>
      </c>
      <c r="G678">
        <v>2.7</v>
      </c>
      <c r="H678">
        <v>2024</v>
      </c>
      <c r="I678" t="s">
        <v>1096</v>
      </c>
      <c r="J678" t="s">
        <v>1099</v>
      </c>
      <c r="K678">
        <v>3</v>
      </c>
      <c r="L678">
        <v>3</v>
      </c>
      <c r="M678">
        <v>93</v>
      </c>
    </row>
    <row r="679" spans="1:13" x14ac:dyDescent="0.25">
      <c r="A679" t="s">
        <v>701</v>
      </c>
      <c r="B679" t="s">
        <v>8</v>
      </c>
      <c r="C679">
        <v>128</v>
      </c>
      <c r="D679" t="s">
        <v>11</v>
      </c>
      <c r="E679" s="46">
        <v>45157</v>
      </c>
      <c r="F679">
        <v>135</v>
      </c>
      <c r="G679">
        <v>2.1</v>
      </c>
      <c r="H679">
        <v>2024</v>
      </c>
      <c r="I679" t="s">
        <v>1096</v>
      </c>
      <c r="J679" t="s">
        <v>1103</v>
      </c>
      <c r="K679">
        <v>2</v>
      </c>
      <c r="L679">
        <v>4</v>
      </c>
      <c r="M679">
        <v>135</v>
      </c>
    </row>
    <row r="680" spans="1:13" x14ac:dyDescent="0.25">
      <c r="A680" t="s">
        <v>702</v>
      </c>
      <c r="B680" t="s">
        <v>16</v>
      </c>
      <c r="C680">
        <v>30</v>
      </c>
      <c r="D680" t="s">
        <v>10</v>
      </c>
      <c r="E680" s="46">
        <v>45157</v>
      </c>
      <c r="F680">
        <v>210</v>
      </c>
      <c r="G680">
        <v>4.2</v>
      </c>
      <c r="H680">
        <v>2024</v>
      </c>
      <c r="I680" t="s">
        <v>1096</v>
      </c>
      <c r="J680" t="s">
        <v>1100</v>
      </c>
      <c r="K680">
        <v>4</v>
      </c>
      <c r="L680">
        <v>2</v>
      </c>
      <c r="M680">
        <v>210</v>
      </c>
    </row>
    <row r="681" spans="1:13" x14ac:dyDescent="0.25">
      <c r="A681" t="s">
        <v>703</v>
      </c>
      <c r="B681" t="s">
        <v>5</v>
      </c>
      <c r="C681">
        <v>63</v>
      </c>
      <c r="D681" t="s">
        <v>11</v>
      </c>
      <c r="E681" s="46">
        <v>45158</v>
      </c>
      <c r="F681">
        <v>29</v>
      </c>
      <c r="G681">
        <v>4.7</v>
      </c>
      <c r="H681">
        <v>2024</v>
      </c>
      <c r="I681" t="s">
        <v>1090</v>
      </c>
      <c r="J681" t="s">
        <v>1099</v>
      </c>
      <c r="K681">
        <v>5</v>
      </c>
      <c r="L681">
        <v>3</v>
      </c>
      <c r="M681">
        <v>29</v>
      </c>
    </row>
    <row r="682" spans="1:13" x14ac:dyDescent="0.25">
      <c r="A682" t="s">
        <v>704</v>
      </c>
      <c r="B682" t="s">
        <v>24</v>
      </c>
      <c r="C682">
        <v>64</v>
      </c>
      <c r="D682" t="s">
        <v>6</v>
      </c>
      <c r="E682" s="46">
        <v>45158</v>
      </c>
      <c r="F682">
        <v>111</v>
      </c>
      <c r="G682">
        <v>3.9</v>
      </c>
      <c r="H682">
        <v>2024</v>
      </c>
      <c r="I682" t="s">
        <v>1090</v>
      </c>
      <c r="J682" t="s">
        <v>1099</v>
      </c>
      <c r="K682">
        <v>4</v>
      </c>
      <c r="L682">
        <v>3</v>
      </c>
      <c r="M682">
        <v>111</v>
      </c>
    </row>
    <row r="683" spans="1:13" x14ac:dyDescent="0.25">
      <c r="A683" t="s">
        <v>705</v>
      </c>
      <c r="B683" t="s">
        <v>21</v>
      </c>
      <c r="C683">
        <v>151</v>
      </c>
      <c r="D683" t="s">
        <v>9</v>
      </c>
      <c r="E683" s="46">
        <v>45159</v>
      </c>
      <c r="F683">
        <v>63</v>
      </c>
      <c r="G683">
        <v>4.0999999999999996</v>
      </c>
      <c r="H683">
        <v>2024</v>
      </c>
      <c r="I683" t="s">
        <v>1091</v>
      </c>
      <c r="J683" t="s">
        <v>1103</v>
      </c>
      <c r="K683">
        <v>4</v>
      </c>
      <c r="L683">
        <v>4</v>
      </c>
      <c r="M683">
        <v>63</v>
      </c>
    </row>
    <row r="684" spans="1:13" x14ac:dyDescent="0.25">
      <c r="A684" t="s">
        <v>706</v>
      </c>
      <c r="B684" t="s">
        <v>17</v>
      </c>
      <c r="C684">
        <v>116</v>
      </c>
      <c r="D684" t="s">
        <v>13</v>
      </c>
      <c r="E684" s="46">
        <v>45159</v>
      </c>
      <c r="F684">
        <v>44</v>
      </c>
      <c r="G684">
        <v>3.8</v>
      </c>
      <c r="H684">
        <v>2024</v>
      </c>
      <c r="I684" t="s">
        <v>1091</v>
      </c>
      <c r="J684" t="s">
        <v>1099</v>
      </c>
      <c r="K684">
        <v>4</v>
      </c>
      <c r="L684">
        <v>3</v>
      </c>
      <c r="M684">
        <v>44</v>
      </c>
    </row>
    <row r="685" spans="1:13" x14ac:dyDescent="0.25">
      <c r="A685" t="s">
        <v>707</v>
      </c>
      <c r="B685" t="s">
        <v>21</v>
      </c>
      <c r="C685">
        <v>111</v>
      </c>
      <c r="D685" t="s">
        <v>13</v>
      </c>
      <c r="E685" s="46">
        <v>45161</v>
      </c>
      <c r="F685">
        <v>120</v>
      </c>
      <c r="G685">
        <v>1.8</v>
      </c>
      <c r="H685">
        <v>2024</v>
      </c>
      <c r="I685" t="s">
        <v>1093</v>
      </c>
      <c r="J685" t="s">
        <v>1099</v>
      </c>
      <c r="K685">
        <v>2</v>
      </c>
      <c r="L685">
        <v>3</v>
      </c>
      <c r="M685">
        <v>120</v>
      </c>
    </row>
    <row r="686" spans="1:13" x14ac:dyDescent="0.25">
      <c r="A686" t="s">
        <v>708</v>
      </c>
      <c r="B686" t="s">
        <v>8</v>
      </c>
      <c r="C686">
        <v>15</v>
      </c>
      <c r="D686" t="s">
        <v>13</v>
      </c>
      <c r="E686" s="46">
        <v>45161</v>
      </c>
      <c r="F686">
        <v>120</v>
      </c>
      <c r="G686">
        <v>4.0999999999999996</v>
      </c>
      <c r="H686">
        <v>2024</v>
      </c>
      <c r="I686" t="s">
        <v>1093</v>
      </c>
      <c r="J686" t="s">
        <v>1100</v>
      </c>
      <c r="K686">
        <v>4</v>
      </c>
      <c r="L686">
        <v>2</v>
      </c>
      <c r="M686">
        <v>120</v>
      </c>
    </row>
    <row r="687" spans="1:13" x14ac:dyDescent="0.25">
      <c r="A687" t="s">
        <v>709</v>
      </c>
      <c r="B687" t="s">
        <v>24</v>
      </c>
      <c r="C687">
        <v>18</v>
      </c>
      <c r="D687" t="s">
        <v>9</v>
      </c>
      <c r="E687" s="46">
        <v>45162</v>
      </c>
      <c r="F687">
        <v>40</v>
      </c>
      <c r="G687">
        <v>4.4000000000000004</v>
      </c>
      <c r="H687">
        <v>2024</v>
      </c>
      <c r="I687" t="s">
        <v>1094</v>
      </c>
      <c r="J687" t="s">
        <v>1100</v>
      </c>
      <c r="K687">
        <v>4</v>
      </c>
      <c r="L687">
        <v>2</v>
      </c>
      <c r="M687">
        <v>40</v>
      </c>
    </row>
    <row r="688" spans="1:13" x14ac:dyDescent="0.25">
      <c r="A688" t="s">
        <v>710</v>
      </c>
      <c r="B688" t="s">
        <v>15</v>
      </c>
      <c r="C688">
        <v>146</v>
      </c>
      <c r="D688" t="s">
        <v>11</v>
      </c>
      <c r="E688" s="46">
        <v>45162</v>
      </c>
      <c r="F688">
        <v>160</v>
      </c>
      <c r="G688">
        <v>4.0999999999999996</v>
      </c>
      <c r="H688">
        <v>2024</v>
      </c>
      <c r="I688" t="s">
        <v>1094</v>
      </c>
      <c r="J688" t="s">
        <v>1103</v>
      </c>
      <c r="K688">
        <v>4</v>
      </c>
      <c r="L688">
        <v>4</v>
      </c>
      <c r="M688">
        <v>160</v>
      </c>
    </row>
    <row r="689" spans="1:13" x14ac:dyDescent="0.25">
      <c r="A689" t="s">
        <v>711</v>
      </c>
      <c r="B689" t="s">
        <v>16</v>
      </c>
      <c r="C689">
        <v>73</v>
      </c>
      <c r="D689" t="s">
        <v>13</v>
      </c>
      <c r="E689" s="46">
        <v>45163</v>
      </c>
      <c r="F689">
        <v>44</v>
      </c>
      <c r="G689">
        <v>3.8</v>
      </c>
      <c r="H689">
        <v>2024</v>
      </c>
      <c r="I689" t="s">
        <v>1095</v>
      </c>
      <c r="J689" t="s">
        <v>1099</v>
      </c>
      <c r="K689">
        <v>4</v>
      </c>
      <c r="L689">
        <v>3</v>
      </c>
      <c r="M689">
        <v>44</v>
      </c>
    </row>
    <row r="690" spans="1:13" x14ac:dyDescent="0.25">
      <c r="A690" t="s">
        <v>712</v>
      </c>
      <c r="B690" t="s">
        <v>21</v>
      </c>
      <c r="C690">
        <v>108</v>
      </c>
      <c r="D690" t="s">
        <v>9</v>
      </c>
      <c r="E690" s="46">
        <v>45163</v>
      </c>
      <c r="F690">
        <v>80</v>
      </c>
      <c r="G690">
        <v>4.3</v>
      </c>
      <c r="H690">
        <v>2024</v>
      </c>
      <c r="I690" t="s">
        <v>1095</v>
      </c>
      <c r="J690" t="s">
        <v>1099</v>
      </c>
      <c r="K690">
        <v>4</v>
      </c>
      <c r="L690">
        <v>3</v>
      </c>
      <c r="M690">
        <v>80</v>
      </c>
    </row>
    <row r="691" spans="1:13" x14ac:dyDescent="0.25">
      <c r="A691" t="s">
        <v>713</v>
      </c>
      <c r="B691" t="s">
        <v>7</v>
      </c>
      <c r="C691">
        <v>52</v>
      </c>
      <c r="D691" t="s">
        <v>9</v>
      </c>
      <c r="E691" s="46">
        <v>45164</v>
      </c>
      <c r="F691">
        <v>66</v>
      </c>
      <c r="G691">
        <v>4.5</v>
      </c>
      <c r="H691">
        <v>2024</v>
      </c>
      <c r="I691" t="s">
        <v>1096</v>
      </c>
      <c r="J691" t="s">
        <v>1099</v>
      </c>
      <c r="K691">
        <v>5</v>
      </c>
      <c r="L691">
        <v>3</v>
      </c>
      <c r="M691">
        <v>66</v>
      </c>
    </row>
    <row r="692" spans="1:13" x14ac:dyDescent="0.25">
      <c r="A692" t="s">
        <v>714</v>
      </c>
      <c r="B692" t="s">
        <v>17</v>
      </c>
      <c r="C692">
        <v>165</v>
      </c>
      <c r="D692" t="s">
        <v>6</v>
      </c>
      <c r="E692" s="46">
        <v>45164</v>
      </c>
      <c r="F692">
        <v>82</v>
      </c>
      <c r="G692">
        <v>3.4</v>
      </c>
      <c r="H692">
        <v>2024</v>
      </c>
      <c r="I692" t="s">
        <v>1096</v>
      </c>
      <c r="J692" t="s">
        <v>1103</v>
      </c>
      <c r="K692">
        <v>3</v>
      </c>
      <c r="L692">
        <v>4</v>
      </c>
      <c r="M692">
        <v>82</v>
      </c>
    </row>
    <row r="693" spans="1:13" x14ac:dyDescent="0.25">
      <c r="A693" t="s">
        <v>715</v>
      </c>
      <c r="B693" t="s">
        <v>15</v>
      </c>
      <c r="C693">
        <v>104</v>
      </c>
      <c r="D693" t="s">
        <v>13</v>
      </c>
      <c r="E693" s="46">
        <v>45164</v>
      </c>
      <c r="F693">
        <v>66</v>
      </c>
      <c r="G693">
        <v>4.8</v>
      </c>
      <c r="H693">
        <v>2024</v>
      </c>
      <c r="I693" t="s">
        <v>1096</v>
      </c>
      <c r="J693" t="s">
        <v>1099</v>
      </c>
      <c r="K693">
        <v>5</v>
      </c>
      <c r="L693">
        <v>3</v>
      </c>
      <c r="M693">
        <v>66</v>
      </c>
    </row>
    <row r="694" spans="1:13" x14ac:dyDescent="0.25">
      <c r="A694" t="s">
        <v>716</v>
      </c>
      <c r="B694" t="s">
        <v>16</v>
      </c>
      <c r="C694">
        <v>131</v>
      </c>
      <c r="D694" t="s">
        <v>11</v>
      </c>
      <c r="E694" s="46">
        <v>45164</v>
      </c>
      <c r="F694">
        <v>92</v>
      </c>
      <c r="G694">
        <v>4.9000000000000004</v>
      </c>
      <c r="H694">
        <v>2024</v>
      </c>
      <c r="I694" t="s">
        <v>1096</v>
      </c>
      <c r="J694" t="s">
        <v>1103</v>
      </c>
      <c r="K694">
        <v>5</v>
      </c>
      <c r="L694">
        <v>4</v>
      </c>
      <c r="M694">
        <v>92</v>
      </c>
    </row>
    <row r="695" spans="1:13" x14ac:dyDescent="0.25">
      <c r="A695" t="s">
        <v>717</v>
      </c>
      <c r="B695" t="s">
        <v>19</v>
      </c>
      <c r="C695">
        <v>80</v>
      </c>
      <c r="D695" t="s">
        <v>6</v>
      </c>
      <c r="E695" s="46">
        <v>45165</v>
      </c>
      <c r="F695">
        <v>104</v>
      </c>
      <c r="G695">
        <v>4.7</v>
      </c>
      <c r="H695">
        <v>2024</v>
      </c>
      <c r="I695" t="s">
        <v>1090</v>
      </c>
      <c r="J695" t="s">
        <v>1099</v>
      </c>
      <c r="K695">
        <v>5</v>
      </c>
      <c r="L695">
        <v>3</v>
      </c>
      <c r="M695">
        <v>104</v>
      </c>
    </row>
    <row r="696" spans="1:13" x14ac:dyDescent="0.25">
      <c r="A696" t="s">
        <v>718</v>
      </c>
      <c r="B696" t="s">
        <v>8</v>
      </c>
      <c r="C696">
        <v>49</v>
      </c>
      <c r="D696" t="s">
        <v>13</v>
      </c>
      <c r="E696" s="46">
        <v>45165</v>
      </c>
      <c r="F696">
        <v>105</v>
      </c>
      <c r="G696">
        <v>3.3</v>
      </c>
      <c r="H696">
        <v>2024</v>
      </c>
      <c r="I696" t="s">
        <v>1090</v>
      </c>
      <c r="J696" t="s">
        <v>1099</v>
      </c>
      <c r="K696">
        <v>3</v>
      </c>
      <c r="L696">
        <v>3</v>
      </c>
      <c r="M696">
        <v>105</v>
      </c>
    </row>
    <row r="697" spans="1:13" x14ac:dyDescent="0.25">
      <c r="A697" t="s">
        <v>719</v>
      </c>
      <c r="B697" t="s">
        <v>17</v>
      </c>
      <c r="C697">
        <v>73</v>
      </c>
      <c r="D697" t="s">
        <v>13</v>
      </c>
      <c r="E697" s="46">
        <v>45165</v>
      </c>
      <c r="F697">
        <v>100</v>
      </c>
      <c r="G697">
        <v>2.8</v>
      </c>
      <c r="H697">
        <v>2024</v>
      </c>
      <c r="I697" t="s">
        <v>1090</v>
      </c>
      <c r="J697" t="s">
        <v>1099</v>
      </c>
      <c r="K697">
        <v>3</v>
      </c>
      <c r="L697">
        <v>3</v>
      </c>
      <c r="M697">
        <v>100</v>
      </c>
    </row>
    <row r="698" spans="1:13" x14ac:dyDescent="0.25">
      <c r="A698" t="s">
        <v>720</v>
      </c>
      <c r="B698" t="s">
        <v>15</v>
      </c>
      <c r="C698">
        <v>117</v>
      </c>
      <c r="D698" t="s">
        <v>6</v>
      </c>
      <c r="E698" s="46">
        <v>45165</v>
      </c>
      <c r="F698">
        <v>90</v>
      </c>
      <c r="G698">
        <v>4.0999999999999996</v>
      </c>
      <c r="H698">
        <v>2024</v>
      </c>
      <c r="I698" t="s">
        <v>1090</v>
      </c>
      <c r="J698" t="s">
        <v>1099</v>
      </c>
      <c r="K698">
        <v>4</v>
      </c>
      <c r="L698">
        <v>3</v>
      </c>
      <c r="M698">
        <v>90</v>
      </c>
    </row>
    <row r="699" spans="1:13" x14ac:dyDescent="0.25">
      <c r="A699" t="s">
        <v>721</v>
      </c>
      <c r="B699" t="s">
        <v>23</v>
      </c>
      <c r="C699">
        <v>38</v>
      </c>
      <c r="D699" t="s">
        <v>10</v>
      </c>
      <c r="E699" s="46">
        <v>45165</v>
      </c>
      <c r="F699">
        <v>110</v>
      </c>
      <c r="G699">
        <v>3.5</v>
      </c>
      <c r="H699">
        <v>2024</v>
      </c>
      <c r="I699" t="s">
        <v>1090</v>
      </c>
      <c r="J699" t="s">
        <v>1099</v>
      </c>
      <c r="K699">
        <v>4</v>
      </c>
      <c r="L699">
        <v>3</v>
      </c>
      <c r="M699">
        <v>110</v>
      </c>
    </row>
    <row r="700" spans="1:13" x14ac:dyDescent="0.25">
      <c r="A700" t="s">
        <v>722</v>
      </c>
      <c r="B700" t="s">
        <v>7</v>
      </c>
      <c r="C700">
        <v>109</v>
      </c>
      <c r="D700" t="s">
        <v>6</v>
      </c>
      <c r="E700" s="46">
        <v>45167</v>
      </c>
      <c r="F700">
        <v>68</v>
      </c>
      <c r="G700">
        <v>2.2999999999999998</v>
      </c>
      <c r="H700">
        <v>2024</v>
      </c>
      <c r="I700" t="s">
        <v>1092</v>
      </c>
      <c r="J700" t="s">
        <v>1099</v>
      </c>
      <c r="K700">
        <v>2</v>
      </c>
      <c r="L700">
        <v>3</v>
      </c>
      <c r="M700">
        <v>68</v>
      </c>
    </row>
    <row r="701" spans="1:13" x14ac:dyDescent="0.25">
      <c r="A701" t="s">
        <v>723</v>
      </c>
      <c r="B701" t="s">
        <v>8</v>
      </c>
      <c r="C701">
        <v>70</v>
      </c>
      <c r="D701" t="s">
        <v>9</v>
      </c>
      <c r="E701" s="46">
        <v>45168</v>
      </c>
      <c r="F701">
        <v>210</v>
      </c>
      <c r="G701">
        <v>4.0999999999999996</v>
      </c>
      <c r="H701">
        <v>2024</v>
      </c>
      <c r="I701" t="s">
        <v>1093</v>
      </c>
      <c r="J701" t="s">
        <v>1099</v>
      </c>
      <c r="K701">
        <v>4</v>
      </c>
      <c r="L701">
        <v>3</v>
      </c>
      <c r="M701">
        <v>210</v>
      </c>
    </row>
    <row r="702" spans="1:13" x14ac:dyDescent="0.25">
      <c r="A702" t="s">
        <v>724</v>
      </c>
      <c r="B702" t="s">
        <v>12</v>
      </c>
      <c r="C702">
        <v>51</v>
      </c>
      <c r="D702" t="s">
        <v>10</v>
      </c>
      <c r="E702" s="46">
        <v>45168</v>
      </c>
      <c r="F702">
        <v>111</v>
      </c>
      <c r="G702">
        <v>4.3</v>
      </c>
      <c r="H702">
        <v>2024</v>
      </c>
      <c r="I702" t="s">
        <v>1093</v>
      </c>
      <c r="J702" t="s">
        <v>1099</v>
      </c>
      <c r="K702">
        <v>4</v>
      </c>
      <c r="L702">
        <v>3</v>
      </c>
      <c r="M702">
        <v>111</v>
      </c>
    </row>
    <row r="703" spans="1:13" x14ac:dyDescent="0.25">
      <c r="A703" t="s">
        <v>725</v>
      </c>
      <c r="B703" t="s">
        <v>12</v>
      </c>
      <c r="C703">
        <v>100</v>
      </c>
      <c r="D703" t="s">
        <v>9</v>
      </c>
      <c r="E703" s="46">
        <v>45169</v>
      </c>
      <c r="F703">
        <v>45</v>
      </c>
      <c r="G703">
        <v>4.9000000000000004</v>
      </c>
      <c r="H703">
        <v>2024</v>
      </c>
      <c r="I703" t="s">
        <v>1094</v>
      </c>
      <c r="J703" t="s">
        <v>1099</v>
      </c>
      <c r="K703">
        <v>5</v>
      </c>
      <c r="L703">
        <v>3</v>
      </c>
      <c r="M703">
        <v>45</v>
      </c>
    </row>
    <row r="704" spans="1:13" x14ac:dyDescent="0.25">
      <c r="A704" t="s">
        <v>726</v>
      </c>
      <c r="B704" t="s">
        <v>14</v>
      </c>
      <c r="C704">
        <v>124</v>
      </c>
      <c r="D704" t="s">
        <v>10</v>
      </c>
      <c r="E704" s="46">
        <v>45170</v>
      </c>
      <c r="F704">
        <v>132</v>
      </c>
      <c r="G704">
        <v>4</v>
      </c>
      <c r="H704">
        <v>2024</v>
      </c>
      <c r="I704" t="s">
        <v>1095</v>
      </c>
      <c r="J704" t="s">
        <v>1103</v>
      </c>
      <c r="K704">
        <v>4</v>
      </c>
      <c r="L704">
        <v>4</v>
      </c>
      <c r="M704">
        <v>132</v>
      </c>
    </row>
    <row r="705" spans="1:13" x14ac:dyDescent="0.25">
      <c r="A705" t="s">
        <v>727</v>
      </c>
      <c r="B705" t="s">
        <v>20</v>
      </c>
      <c r="C705">
        <v>143</v>
      </c>
      <c r="D705" t="s">
        <v>6</v>
      </c>
      <c r="E705" s="46">
        <v>45170</v>
      </c>
      <c r="F705">
        <v>20</v>
      </c>
      <c r="G705">
        <v>4.7</v>
      </c>
      <c r="H705">
        <v>2024</v>
      </c>
      <c r="I705" t="s">
        <v>1095</v>
      </c>
      <c r="J705" t="s">
        <v>1103</v>
      </c>
      <c r="K705">
        <v>5</v>
      </c>
      <c r="L705">
        <v>4</v>
      </c>
      <c r="M705">
        <v>20</v>
      </c>
    </row>
    <row r="706" spans="1:13" x14ac:dyDescent="0.25">
      <c r="A706" t="s">
        <v>728</v>
      </c>
      <c r="B706" t="s">
        <v>18</v>
      </c>
      <c r="C706">
        <v>96</v>
      </c>
      <c r="D706" t="s">
        <v>13</v>
      </c>
      <c r="E706" s="46">
        <v>45170</v>
      </c>
      <c r="F706">
        <v>36</v>
      </c>
      <c r="G706">
        <v>3.4</v>
      </c>
      <c r="H706">
        <v>2024</v>
      </c>
      <c r="I706" t="s">
        <v>1095</v>
      </c>
      <c r="J706" t="s">
        <v>1099</v>
      </c>
      <c r="K706">
        <v>3</v>
      </c>
      <c r="L706">
        <v>3</v>
      </c>
      <c r="M706">
        <v>36</v>
      </c>
    </row>
    <row r="707" spans="1:13" x14ac:dyDescent="0.25">
      <c r="A707" t="s">
        <v>729</v>
      </c>
      <c r="B707" t="s">
        <v>17</v>
      </c>
      <c r="C707">
        <v>84</v>
      </c>
      <c r="D707" t="s">
        <v>9</v>
      </c>
      <c r="E707" s="46">
        <v>45172</v>
      </c>
      <c r="F707">
        <v>72</v>
      </c>
      <c r="G707">
        <v>4</v>
      </c>
      <c r="H707">
        <v>2024</v>
      </c>
      <c r="I707" t="s">
        <v>1090</v>
      </c>
      <c r="J707" t="s">
        <v>1099</v>
      </c>
      <c r="K707">
        <v>4</v>
      </c>
      <c r="L707">
        <v>3</v>
      </c>
      <c r="M707">
        <v>72</v>
      </c>
    </row>
    <row r="708" spans="1:13" x14ac:dyDescent="0.25">
      <c r="A708" t="s">
        <v>730</v>
      </c>
      <c r="B708" t="s">
        <v>22</v>
      </c>
      <c r="C708">
        <v>111</v>
      </c>
      <c r="D708" t="s">
        <v>9</v>
      </c>
      <c r="E708" s="46">
        <v>45172</v>
      </c>
      <c r="F708">
        <v>63</v>
      </c>
      <c r="G708">
        <v>4.5</v>
      </c>
      <c r="H708">
        <v>2024</v>
      </c>
      <c r="I708" t="s">
        <v>1090</v>
      </c>
      <c r="J708" t="s">
        <v>1099</v>
      </c>
      <c r="K708">
        <v>5</v>
      </c>
      <c r="L708">
        <v>3</v>
      </c>
      <c r="M708">
        <v>63</v>
      </c>
    </row>
    <row r="709" spans="1:13" x14ac:dyDescent="0.25">
      <c r="A709" t="s">
        <v>731</v>
      </c>
      <c r="B709" t="s">
        <v>22</v>
      </c>
      <c r="C709">
        <v>103</v>
      </c>
      <c r="D709" t="s">
        <v>10</v>
      </c>
      <c r="E709" s="46">
        <v>45173</v>
      </c>
      <c r="F709">
        <v>44</v>
      </c>
      <c r="G709">
        <v>4.5</v>
      </c>
      <c r="H709">
        <v>2024</v>
      </c>
      <c r="I709" t="s">
        <v>1091</v>
      </c>
      <c r="J709" t="s">
        <v>1099</v>
      </c>
      <c r="K709">
        <v>5</v>
      </c>
      <c r="L709">
        <v>3</v>
      </c>
      <c r="M709">
        <v>44</v>
      </c>
    </row>
    <row r="710" spans="1:13" x14ac:dyDescent="0.25">
      <c r="A710" t="s">
        <v>732</v>
      </c>
      <c r="B710" t="s">
        <v>20</v>
      </c>
      <c r="C710">
        <v>61</v>
      </c>
      <c r="D710" t="s">
        <v>11</v>
      </c>
      <c r="E710" s="46">
        <v>45173</v>
      </c>
      <c r="F710">
        <v>132</v>
      </c>
      <c r="G710">
        <v>4.9000000000000004</v>
      </c>
      <c r="H710">
        <v>2024</v>
      </c>
      <c r="I710" t="s">
        <v>1091</v>
      </c>
      <c r="J710" t="s">
        <v>1099</v>
      </c>
      <c r="K710">
        <v>5</v>
      </c>
      <c r="L710">
        <v>3</v>
      </c>
      <c r="M710">
        <v>132</v>
      </c>
    </row>
    <row r="711" spans="1:13" x14ac:dyDescent="0.25">
      <c r="A711" t="s">
        <v>733</v>
      </c>
      <c r="B711" t="s">
        <v>16</v>
      </c>
      <c r="C711">
        <v>113</v>
      </c>
      <c r="D711" t="s">
        <v>13</v>
      </c>
      <c r="E711" s="46">
        <v>45173</v>
      </c>
      <c r="F711">
        <v>46</v>
      </c>
      <c r="G711">
        <v>4.4000000000000004</v>
      </c>
      <c r="H711">
        <v>2024</v>
      </c>
      <c r="I711" t="s">
        <v>1091</v>
      </c>
      <c r="J711" t="s">
        <v>1099</v>
      </c>
      <c r="K711">
        <v>4</v>
      </c>
      <c r="L711">
        <v>3</v>
      </c>
      <c r="M711">
        <v>46</v>
      </c>
    </row>
    <row r="712" spans="1:13" x14ac:dyDescent="0.25">
      <c r="A712" t="s">
        <v>734</v>
      </c>
      <c r="B712" t="s">
        <v>16</v>
      </c>
      <c r="C712">
        <v>96</v>
      </c>
      <c r="D712" t="s">
        <v>13</v>
      </c>
      <c r="E712" s="46">
        <v>45173</v>
      </c>
      <c r="F712">
        <v>96</v>
      </c>
      <c r="G712">
        <v>2.9</v>
      </c>
      <c r="H712">
        <v>2024</v>
      </c>
      <c r="I712" t="s">
        <v>1091</v>
      </c>
      <c r="J712" t="s">
        <v>1099</v>
      </c>
      <c r="K712">
        <v>3</v>
      </c>
      <c r="L712">
        <v>3</v>
      </c>
      <c r="M712">
        <v>96</v>
      </c>
    </row>
    <row r="713" spans="1:13" x14ac:dyDescent="0.25">
      <c r="A713" t="s">
        <v>735</v>
      </c>
      <c r="B713" t="s">
        <v>24</v>
      </c>
      <c r="C713">
        <v>131</v>
      </c>
      <c r="D713" t="s">
        <v>10</v>
      </c>
      <c r="E713" s="46">
        <v>45174</v>
      </c>
      <c r="F713">
        <v>75</v>
      </c>
      <c r="G713">
        <v>4.4000000000000004</v>
      </c>
      <c r="H713">
        <v>2024</v>
      </c>
      <c r="I713" t="s">
        <v>1092</v>
      </c>
      <c r="J713" t="s">
        <v>1103</v>
      </c>
      <c r="K713">
        <v>4</v>
      </c>
      <c r="L713">
        <v>4</v>
      </c>
      <c r="M713">
        <v>75</v>
      </c>
    </row>
    <row r="714" spans="1:13" x14ac:dyDescent="0.25">
      <c r="A714" t="s">
        <v>736</v>
      </c>
      <c r="B714" t="s">
        <v>15</v>
      </c>
      <c r="C714">
        <v>52</v>
      </c>
      <c r="D714" t="s">
        <v>13</v>
      </c>
      <c r="E714" s="46">
        <v>45175</v>
      </c>
      <c r="F714">
        <v>88</v>
      </c>
      <c r="G714">
        <v>4.3</v>
      </c>
      <c r="H714">
        <v>2024</v>
      </c>
      <c r="I714" t="s">
        <v>1093</v>
      </c>
      <c r="J714" t="s">
        <v>1099</v>
      </c>
      <c r="K714">
        <v>4</v>
      </c>
      <c r="L714">
        <v>3</v>
      </c>
      <c r="M714">
        <v>88</v>
      </c>
    </row>
    <row r="715" spans="1:13" x14ac:dyDescent="0.25">
      <c r="A715" t="s">
        <v>737</v>
      </c>
      <c r="B715" t="s">
        <v>12</v>
      </c>
      <c r="C715">
        <v>100</v>
      </c>
      <c r="D715" t="s">
        <v>10</v>
      </c>
      <c r="E715" s="46">
        <v>45175</v>
      </c>
      <c r="F715">
        <v>24</v>
      </c>
      <c r="G715">
        <v>4.7</v>
      </c>
      <c r="H715">
        <v>2024</v>
      </c>
      <c r="I715" t="s">
        <v>1093</v>
      </c>
      <c r="J715" t="s">
        <v>1099</v>
      </c>
      <c r="K715">
        <v>5</v>
      </c>
      <c r="L715">
        <v>3</v>
      </c>
      <c r="M715">
        <v>24</v>
      </c>
    </row>
    <row r="716" spans="1:13" x14ac:dyDescent="0.25">
      <c r="A716" t="s">
        <v>738</v>
      </c>
      <c r="B716" t="s">
        <v>21</v>
      </c>
      <c r="C716">
        <v>58</v>
      </c>
      <c r="D716" t="s">
        <v>6</v>
      </c>
      <c r="E716" s="46">
        <v>45175</v>
      </c>
      <c r="F716">
        <v>96</v>
      </c>
      <c r="G716">
        <v>3.2</v>
      </c>
      <c r="H716">
        <v>2024</v>
      </c>
      <c r="I716" t="s">
        <v>1093</v>
      </c>
      <c r="J716" t="s">
        <v>1099</v>
      </c>
      <c r="K716">
        <v>3</v>
      </c>
      <c r="L716">
        <v>3</v>
      </c>
      <c r="M716">
        <v>96</v>
      </c>
    </row>
    <row r="717" spans="1:13" x14ac:dyDescent="0.25">
      <c r="A717" t="s">
        <v>739</v>
      </c>
      <c r="B717" t="s">
        <v>8</v>
      </c>
      <c r="C717">
        <v>144</v>
      </c>
      <c r="D717" t="s">
        <v>6</v>
      </c>
      <c r="E717" s="46">
        <v>45176</v>
      </c>
      <c r="F717">
        <v>124</v>
      </c>
      <c r="G717">
        <v>2.2999999999999998</v>
      </c>
      <c r="H717">
        <v>2024</v>
      </c>
      <c r="I717" t="s">
        <v>1094</v>
      </c>
      <c r="J717" t="s">
        <v>1103</v>
      </c>
      <c r="K717">
        <v>2</v>
      </c>
      <c r="L717">
        <v>4</v>
      </c>
      <c r="M717">
        <v>124</v>
      </c>
    </row>
    <row r="718" spans="1:13" x14ac:dyDescent="0.25">
      <c r="A718" t="s">
        <v>740</v>
      </c>
      <c r="B718" t="s">
        <v>21</v>
      </c>
      <c r="C718">
        <v>53</v>
      </c>
      <c r="D718" t="s">
        <v>11</v>
      </c>
      <c r="E718" s="46">
        <v>45177</v>
      </c>
      <c r="F718">
        <v>130</v>
      </c>
      <c r="G718">
        <v>3.6</v>
      </c>
      <c r="H718">
        <v>2024</v>
      </c>
      <c r="I718" t="s">
        <v>1095</v>
      </c>
      <c r="J718" t="s">
        <v>1099</v>
      </c>
      <c r="K718">
        <v>4</v>
      </c>
      <c r="L718">
        <v>3</v>
      </c>
      <c r="M718">
        <v>130</v>
      </c>
    </row>
    <row r="719" spans="1:13" x14ac:dyDescent="0.25">
      <c r="A719" t="s">
        <v>741</v>
      </c>
      <c r="B719" t="s">
        <v>16</v>
      </c>
      <c r="C719">
        <v>97</v>
      </c>
      <c r="D719" t="s">
        <v>9</v>
      </c>
      <c r="E719" s="46">
        <v>45177</v>
      </c>
      <c r="F719">
        <v>45</v>
      </c>
      <c r="G719">
        <v>4.5999999999999996</v>
      </c>
      <c r="H719">
        <v>2024</v>
      </c>
      <c r="I719" t="s">
        <v>1095</v>
      </c>
      <c r="J719" t="s">
        <v>1099</v>
      </c>
      <c r="K719">
        <v>5</v>
      </c>
      <c r="L719">
        <v>3</v>
      </c>
      <c r="M719">
        <v>45</v>
      </c>
    </row>
    <row r="720" spans="1:13" x14ac:dyDescent="0.25">
      <c r="A720" t="s">
        <v>742</v>
      </c>
      <c r="B720" t="s">
        <v>23</v>
      </c>
      <c r="C720">
        <v>64</v>
      </c>
      <c r="D720" t="s">
        <v>6</v>
      </c>
      <c r="E720" s="46">
        <v>45177</v>
      </c>
      <c r="F720">
        <v>66</v>
      </c>
      <c r="G720">
        <v>4</v>
      </c>
      <c r="H720">
        <v>2024</v>
      </c>
      <c r="I720" t="s">
        <v>1095</v>
      </c>
      <c r="J720" t="s">
        <v>1099</v>
      </c>
      <c r="K720">
        <v>4</v>
      </c>
      <c r="L720">
        <v>3</v>
      </c>
      <c r="M720">
        <v>66</v>
      </c>
    </row>
    <row r="721" spans="1:13" x14ac:dyDescent="0.25">
      <c r="A721" t="s">
        <v>743</v>
      </c>
      <c r="B721" t="s">
        <v>20</v>
      </c>
      <c r="C721">
        <v>106</v>
      </c>
      <c r="D721" t="s">
        <v>10</v>
      </c>
      <c r="E721" s="46">
        <v>45177</v>
      </c>
      <c r="F721">
        <v>58</v>
      </c>
      <c r="G721">
        <v>4.7</v>
      </c>
      <c r="H721">
        <v>2024</v>
      </c>
      <c r="I721" t="s">
        <v>1095</v>
      </c>
      <c r="J721" t="s">
        <v>1099</v>
      </c>
      <c r="K721">
        <v>5</v>
      </c>
      <c r="L721">
        <v>3</v>
      </c>
      <c r="M721">
        <v>58</v>
      </c>
    </row>
    <row r="722" spans="1:13" x14ac:dyDescent="0.25">
      <c r="A722" t="s">
        <v>744</v>
      </c>
      <c r="B722" t="s">
        <v>17</v>
      </c>
      <c r="C722">
        <v>36</v>
      </c>
      <c r="D722" t="s">
        <v>6</v>
      </c>
      <c r="E722" s="46">
        <v>45178</v>
      </c>
      <c r="F722">
        <v>152</v>
      </c>
      <c r="G722">
        <v>4.3</v>
      </c>
      <c r="H722">
        <v>2024</v>
      </c>
      <c r="I722" t="s">
        <v>1096</v>
      </c>
      <c r="J722" t="s">
        <v>1099</v>
      </c>
      <c r="K722">
        <v>4</v>
      </c>
      <c r="L722">
        <v>3</v>
      </c>
      <c r="M722">
        <v>152</v>
      </c>
    </row>
    <row r="723" spans="1:13" x14ac:dyDescent="0.25">
      <c r="A723" t="s">
        <v>745</v>
      </c>
      <c r="B723" t="s">
        <v>8</v>
      </c>
      <c r="C723">
        <v>74</v>
      </c>
      <c r="D723" t="s">
        <v>13</v>
      </c>
      <c r="E723" s="46">
        <v>45178</v>
      </c>
      <c r="F723">
        <v>75</v>
      </c>
      <c r="G723">
        <v>2.8</v>
      </c>
      <c r="H723">
        <v>2024</v>
      </c>
      <c r="I723" t="s">
        <v>1096</v>
      </c>
      <c r="J723" t="s">
        <v>1099</v>
      </c>
      <c r="K723">
        <v>3</v>
      </c>
      <c r="L723">
        <v>3</v>
      </c>
      <c r="M723">
        <v>75</v>
      </c>
    </row>
    <row r="724" spans="1:13" x14ac:dyDescent="0.25">
      <c r="A724" t="s">
        <v>746</v>
      </c>
      <c r="B724" t="s">
        <v>7</v>
      </c>
      <c r="C724">
        <v>143</v>
      </c>
      <c r="D724" t="s">
        <v>9</v>
      </c>
      <c r="E724" s="46">
        <v>45178</v>
      </c>
      <c r="F724">
        <v>78</v>
      </c>
      <c r="G724">
        <v>4</v>
      </c>
      <c r="H724">
        <v>2024</v>
      </c>
      <c r="I724" t="s">
        <v>1096</v>
      </c>
      <c r="J724" t="s">
        <v>1103</v>
      </c>
      <c r="K724">
        <v>4</v>
      </c>
      <c r="L724">
        <v>4</v>
      </c>
      <c r="M724">
        <v>78</v>
      </c>
    </row>
    <row r="725" spans="1:13" x14ac:dyDescent="0.25">
      <c r="A725" t="s">
        <v>747</v>
      </c>
      <c r="B725" t="s">
        <v>20</v>
      </c>
      <c r="C725">
        <v>94</v>
      </c>
      <c r="D725" t="s">
        <v>11</v>
      </c>
      <c r="E725" s="46">
        <v>45178</v>
      </c>
      <c r="F725">
        <v>69</v>
      </c>
      <c r="G725">
        <v>3.9</v>
      </c>
      <c r="H725">
        <v>2024</v>
      </c>
      <c r="I725" t="s">
        <v>1096</v>
      </c>
      <c r="J725" t="s">
        <v>1099</v>
      </c>
      <c r="K725">
        <v>4</v>
      </c>
      <c r="L725">
        <v>3</v>
      </c>
      <c r="M725">
        <v>69</v>
      </c>
    </row>
    <row r="726" spans="1:13" x14ac:dyDescent="0.25">
      <c r="A726" t="s">
        <v>748</v>
      </c>
      <c r="B726" t="s">
        <v>19</v>
      </c>
      <c r="C726">
        <v>124</v>
      </c>
      <c r="D726" t="s">
        <v>10</v>
      </c>
      <c r="E726" s="46">
        <v>45179</v>
      </c>
      <c r="F726">
        <v>46</v>
      </c>
      <c r="G726">
        <v>3.1</v>
      </c>
      <c r="H726">
        <v>2024</v>
      </c>
      <c r="I726" t="s">
        <v>1090</v>
      </c>
      <c r="J726" t="s">
        <v>1103</v>
      </c>
      <c r="K726">
        <v>3</v>
      </c>
      <c r="L726">
        <v>4</v>
      </c>
      <c r="M726">
        <v>46</v>
      </c>
    </row>
    <row r="727" spans="1:13" x14ac:dyDescent="0.25">
      <c r="A727" t="s">
        <v>749</v>
      </c>
      <c r="B727" t="s">
        <v>17</v>
      </c>
      <c r="C727">
        <v>156</v>
      </c>
      <c r="D727" t="s">
        <v>6</v>
      </c>
      <c r="E727" s="46">
        <v>45179</v>
      </c>
      <c r="F727">
        <v>64</v>
      </c>
      <c r="G727">
        <v>2.7</v>
      </c>
      <c r="H727">
        <v>2024</v>
      </c>
      <c r="I727" t="s">
        <v>1090</v>
      </c>
      <c r="J727" t="s">
        <v>1103</v>
      </c>
      <c r="K727">
        <v>3</v>
      </c>
      <c r="L727">
        <v>4</v>
      </c>
      <c r="M727">
        <v>64</v>
      </c>
    </row>
    <row r="728" spans="1:13" x14ac:dyDescent="0.25">
      <c r="A728" t="s">
        <v>750</v>
      </c>
      <c r="B728" t="s">
        <v>18</v>
      </c>
      <c r="C728">
        <v>107</v>
      </c>
      <c r="D728" t="s">
        <v>9</v>
      </c>
      <c r="E728" s="46">
        <v>45179</v>
      </c>
      <c r="F728">
        <v>38</v>
      </c>
      <c r="G728">
        <v>4.7</v>
      </c>
      <c r="H728">
        <v>2024</v>
      </c>
      <c r="I728" t="s">
        <v>1090</v>
      </c>
      <c r="J728" t="s">
        <v>1099</v>
      </c>
      <c r="K728">
        <v>5</v>
      </c>
      <c r="L728">
        <v>3</v>
      </c>
      <c r="M728">
        <v>38</v>
      </c>
    </row>
    <row r="729" spans="1:13" x14ac:dyDescent="0.25">
      <c r="A729" t="s">
        <v>751</v>
      </c>
      <c r="B729" t="s">
        <v>20</v>
      </c>
      <c r="C729">
        <v>58</v>
      </c>
      <c r="D729" t="s">
        <v>9</v>
      </c>
      <c r="E729" s="46">
        <v>45181</v>
      </c>
      <c r="F729">
        <v>90</v>
      </c>
      <c r="G729">
        <v>4.3</v>
      </c>
      <c r="H729">
        <v>2024</v>
      </c>
      <c r="I729" t="s">
        <v>1092</v>
      </c>
      <c r="J729" t="s">
        <v>1099</v>
      </c>
      <c r="K729">
        <v>4</v>
      </c>
      <c r="L729">
        <v>3</v>
      </c>
      <c r="M729">
        <v>90</v>
      </c>
    </row>
    <row r="730" spans="1:13" x14ac:dyDescent="0.25">
      <c r="A730" t="s">
        <v>752</v>
      </c>
      <c r="B730" t="s">
        <v>14</v>
      </c>
      <c r="C730">
        <v>66</v>
      </c>
      <c r="D730" t="s">
        <v>9</v>
      </c>
      <c r="E730" s="46">
        <v>45181</v>
      </c>
      <c r="F730">
        <v>32</v>
      </c>
      <c r="G730">
        <v>3.8</v>
      </c>
      <c r="H730">
        <v>2024</v>
      </c>
      <c r="I730" t="s">
        <v>1092</v>
      </c>
      <c r="J730" t="s">
        <v>1099</v>
      </c>
      <c r="K730">
        <v>4</v>
      </c>
      <c r="L730">
        <v>3</v>
      </c>
      <c r="M730">
        <v>32</v>
      </c>
    </row>
    <row r="731" spans="1:13" x14ac:dyDescent="0.25">
      <c r="A731" t="s">
        <v>753</v>
      </c>
      <c r="B731" t="s">
        <v>24</v>
      </c>
      <c r="C731">
        <v>75</v>
      </c>
      <c r="D731" t="s">
        <v>6</v>
      </c>
      <c r="E731" s="46">
        <v>45181</v>
      </c>
      <c r="F731">
        <v>120</v>
      </c>
      <c r="G731">
        <v>4.4000000000000004</v>
      </c>
      <c r="H731">
        <v>2024</v>
      </c>
      <c r="I731" t="s">
        <v>1092</v>
      </c>
      <c r="J731" t="s">
        <v>1099</v>
      </c>
      <c r="K731">
        <v>4</v>
      </c>
      <c r="L731">
        <v>3</v>
      </c>
      <c r="M731">
        <v>120</v>
      </c>
    </row>
    <row r="732" spans="1:13" x14ac:dyDescent="0.25">
      <c r="A732" t="s">
        <v>754</v>
      </c>
      <c r="B732" t="s">
        <v>18</v>
      </c>
      <c r="C732">
        <v>8</v>
      </c>
      <c r="D732" t="s">
        <v>9</v>
      </c>
      <c r="E732" s="46">
        <v>45181</v>
      </c>
      <c r="F732">
        <v>31</v>
      </c>
      <c r="G732">
        <v>3.9</v>
      </c>
      <c r="H732">
        <v>2024</v>
      </c>
      <c r="I732" t="s">
        <v>1092</v>
      </c>
      <c r="J732" t="s">
        <v>1101</v>
      </c>
      <c r="K732">
        <v>4</v>
      </c>
      <c r="L732">
        <v>1</v>
      </c>
      <c r="M732">
        <v>31</v>
      </c>
    </row>
    <row r="733" spans="1:13" x14ac:dyDescent="0.25">
      <c r="A733" t="s">
        <v>755</v>
      </c>
      <c r="B733" t="s">
        <v>23</v>
      </c>
      <c r="C733">
        <v>76</v>
      </c>
      <c r="D733" t="s">
        <v>6</v>
      </c>
      <c r="E733" s="46">
        <v>45182</v>
      </c>
      <c r="F733">
        <v>108</v>
      </c>
      <c r="G733">
        <v>4.9000000000000004</v>
      </c>
      <c r="H733">
        <v>2024</v>
      </c>
      <c r="I733" t="s">
        <v>1093</v>
      </c>
      <c r="J733" t="s">
        <v>1099</v>
      </c>
      <c r="K733">
        <v>5</v>
      </c>
      <c r="L733">
        <v>3</v>
      </c>
      <c r="M733">
        <v>108</v>
      </c>
    </row>
    <row r="734" spans="1:13" x14ac:dyDescent="0.25">
      <c r="A734" t="s">
        <v>756</v>
      </c>
      <c r="B734" t="s">
        <v>20</v>
      </c>
      <c r="C734">
        <v>110</v>
      </c>
      <c r="D734" t="s">
        <v>6</v>
      </c>
      <c r="E734" s="46">
        <v>45182</v>
      </c>
      <c r="F734">
        <v>180</v>
      </c>
      <c r="G734">
        <v>4.2</v>
      </c>
      <c r="H734">
        <v>2024</v>
      </c>
      <c r="I734" t="s">
        <v>1093</v>
      </c>
      <c r="J734" t="s">
        <v>1099</v>
      </c>
      <c r="K734">
        <v>4</v>
      </c>
      <c r="L734">
        <v>3</v>
      </c>
      <c r="M734">
        <v>180</v>
      </c>
    </row>
    <row r="735" spans="1:13" x14ac:dyDescent="0.25">
      <c r="A735" t="s">
        <v>757</v>
      </c>
      <c r="B735" t="s">
        <v>14</v>
      </c>
      <c r="C735">
        <v>50</v>
      </c>
      <c r="D735" t="s">
        <v>11</v>
      </c>
      <c r="E735" s="46">
        <v>45183</v>
      </c>
      <c r="F735">
        <v>124</v>
      </c>
      <c r="G735">
        <v>4</v>
      </c>
      <c r="H735">
        <v>2024</v>
      </c>
      <c r="I735" t="s">
        <v>1094</v>
      </c>
      <c r="J735" t="s">
        <v>1099</v>
      </c>
      <c r="K735">
        <v>4</v>
      </c>
      <c r="L735">
        <v>3</v>
      </c>
      <c r="M735">
        <v>124</v>
      </c>
    </row>
    <row r="736" spans="1:13" x14ac:dyDescent="0.25">
      <c r="A736" t="s">
        <v>758</v>
      </c>
      <c r="B736" t="s">
        <v>15</v>
      </c>
      <c r="C736">
        <v>78</v>
      </c>
      <c r="D736" t="s">
        <v>11</v>
      </c>
      <c r="E736" s="46">
        <v>45183</v>
      </c>
      <c r="F736">
        <v>23</v>
      </c>
      <c r="G736">
        <v>4.2</v>
      </c>
      <c r="H736">
        <v>2024</v>
      </c>
      <c r="I736" t="s">
        <v>1094</v>
      </c>
      <c r="J736" t="s">
        <v>1099</v>
      </c>
      <c r="K736">
        <v>4</v>
      </c>
      <c r="L736">
        <v>3</v>
      </c>
      <c r="M736">
        <v>23</v>
      </c>
    </row>
    <row r="737" spans="1:13" x14ac:dyDescent="0.25">
      <c r="A737" t="s">
        <v>759</v>
      </c>
      <c r="B737" t="s">
        <v>16</v>
      </c>
      <c r="C737">
        <v>59</v>
      </c>
      <c r="D737" t="s">
        <v>10</v>
      </c>
      <c r="E737" s="46">
        <v>45184</v>
      </c>
      <c r="F737">
        <v>24</v>
      </c>
      <c r="G737">
        <v>4.8</v>
      </c>
      <c r="H737">
        <v>2024</v>
      </c>
      <c r="I737" t="s">
        <v>1095</v>
      </c>
      <c r="J737" t="s">
        <v>1099</v>
      </c>
      <c r="K737">
        <v>5</v>
      </c>
      <c r="L737">
        <v>3</v>
      </c>
      <c r="M737">
        <v>24</v>
      </c>
    </row>
    <row r="738" spans="1:13" x14ac:dyDescent="0.25">
      <c r="A738" t="s">
        <v>760</v>
      </c>
      <c r="B738" t="s">
        <v>15</v>
      </c>
      <c r="C738">
        <v>126</v>
      </c>
      <c r="D738" t="s">
        <v>9</v>
      </c>
      <c r="E738" s="46">
        <v>45185</v>
      </c>
      <c r="F738">
        <v>52</v>
      </c>
      <c r="G738">
        <v>1.1000000000000001</v>
      </c>
      <c r="H738">
        <v>2024</v>
      </c>
      <c r="I738" t="s">
        <v>1096</v>
      </c>
      <c r="J738" t="s">
        <v>1103</v>
      </c>
      <c r="K738">
        <v>1</v>
      </c>
      <c r="L738">
        <v>4</v>
      </c>
      <c r="M738">
        <v>52</v>
      </c>
    </row>
    <row r="739" spans="1:13" x14ac:dyDescent="0.25">
      <c r="A739" t="s">
        <v>761</v>
      </c>
      <c r="B739" t="s">
        <v>23</v>
      </c>
      <c r="C739">
        <v>43</v>
      </c>
      <c r="D739" t="s">
        <v>10</v>
      </c>
      <c r="E739" s="46">
        <v>45186</v>
      </c>
      <c r="F739">
        <v>168</v>
      </c>
      <c r="G739">
        <v>4</v>
      </c>
      <c r="H739">
        <v>2024</v>
      </c>
      <c r="I739" t="s">
        <v>1090</v>
      </c>
      <c r="J739" t="s">
        <v>1099</v>
      </c>
      <c r="K739">
        <v>4</v>
      </c>
      <c r="L739">
        <v>3</v>
      </c>
      <c r="M739">
        <v>168</v>
      </c>
    </row>
    <row r="740" spans="1:13" x14ac:dyDescent="0.25">
      <c r="A740" t="s">
        <v>762</v>
      </c>
      <c r="B740" t="s">
        <v>17</v>
      </c>
      <c r="C740">
        <v>79</v>
      </c>
      <c r="D740" t="s">
        <v>6</v>
      </c>
      <c r="E740" s="46">
        <v>45188</v>
      </c>
      <c r="F740">
        <v>125</v>
      </c>
      <c r="G740">
        <v>4.8</v>
      </c>
      <c r="H740">
        <v>2024</v>
      </c>
      <c r="I740" t="s">
        <v>1092</v>
      </c>
      <c r="J740" t="s">
        <v>1099</v>
      </c>
      <c r="K740">
        <v>5</v>
      </c>
      <c r="L740">
        <v>3</v>
      </c>
      <c r="M740">
        <v>125</v>
      </c>
    </row>
    <row r="741" spans="1:13" x14ac:dyDescent="0.25">
      <c r="A741" t="s">
        <v>763</v>
      </c>
      <c r="B741" t="s">
        <v>20</v>
      </c>
      <c r="C741">
        <v>71</v>
      </c>
      <c r="D741" t="s">
        <v>10</v>
      </c>
      <c r="E741" s="46">
        <v>45189</v>
      </c>
      <c r="F741">
        <v>50</v>
      </c>
      <c r="G741">
        <v>4.2</v>
      </c>
      <c r="H741">
        <v>2024</v>
      </c>
      <c r="I741" t="s">
        <v>1093</v>
      </c>
      <c r="J741" t="s">
        <v>1099</v>
      </c>
      <c r="K741">
        <v>4</v>
      </c>
      <c r="L741">
        <v>3</v>
      </c>
      <c r="M741">
        <v>50</v>
      </c>
    </row>
    <row r="742" spans="1:13" x14ac:dyDescent="0.25">
      <c r="A742" t="s">
        <v>764</v>
      </c>
      <c r="B742" t="s">
        <v>22</v>
      </c>
      <c r="C742">
        <v>94</v>
      </c>
      <c r="D742" t="s">
        <v>9</v>
      </c>
      <c r="E742" s="46">
        <v>45190</v>
      </c>
      <c r="F742">
        <v>220</v>
      </c>
      <c r="G742">
        <v>4.5999999999999996</v>
      </c>
      <c r="H742">
        <v>2024</v>
      </c>
      <c r="I742" t="s">
        <v>1094</v>
      </c>
      <c r="J742" t="s">
        <v>1099</v>
      </c>
      <c r="K742">
        <v>5</v>
      </c>
      <c r="L742">
        <v>3</v>
      </c>
      <c r="M742">
        <v>220</v>
      </c>
    </row>
    <row r="743" spans="1:13" x14ac:dyDescent="0.25">
      <c r="A743" t="s">
        <v>765</v>
      </c>
      <c r="B743" t="s">
        <v>18</v>
      </c>
      <c r="C743">
        <v>108</v>
      </c>
      <c r="D743" t="s">
        <v>10</v>
      </c>
      <c r="E743" s="46">
        <v>45190</v>
      </c>
      <c r="F743">
        <v>180</v>
      </c>
      <c r="G743">
        <v>4</v>
      </c>
      <c r="H743">
        <v>2024</v>
      </c>
      <c r="I743" t="s">
        <v>1094</v>
      </c>
      <c r="J743" t="s">
        <v>1099</v>
      </c>
      <c r="K743">
        <v>4</v>
      </c>
      <c r="L743">
        <v>3</v>
      </c>
      <c r="M743">
        <v>180</v>
      </c>
    </row>
    <row r="744" spans="1:13" x14ac:dyDescent="0.25">
      <c r="A744" t="s">
        <v>766</v>
      </c>
      <c r="B744" t="s">
        <v>23</v>
      </c>
      <c r="C744">
        <v>76</v>
      </c>
      <c r="D744" t="s">
        <v>9</v>
      </c>
      <c r="E744" s="46">
        <v>45190</v>
      </c>
      <c r="F744">
        <v>110</v>
      </c>
      <c r="G744">
        <v>3.9</v>
      </c>
      <c r="H744">
        <v>2024</v>
      </c>
      <c r="I744" t="s">
        <v>1094</v>
      </c>
      <c r="J744" t="s">
        <v>1099</v>
      </c>
      <c r="K744">
        <v>4</v>
      </c>
      <c r="L744">
        <v>3</v>
      </c>
      <c r="M744">
        <v>110</v>
      </c>
    </row>
    <row r="745" spans="1:13" x14ac:dyDescent="0.25">
      <c r="A745" t="s">
        <v>767</v>
      </c>
      <c r="B745" t="s">
        <v>16</v>
      </c>
      <c r="C745">
        <v>136</v>
      </c>
      <c r="D745" t="s">
        <v>10</v>
      </c>
      <c r="E745" s="46">
        <v>45190</v>
      </c>
      <c r="F745">
        <v>36</v>
      </c>
      <c r="G745">
        <v>2.8</v>
      </c>
      <c r="H745">
        <v>2024</v>
      </c>
      <c r="I745" t="s">
        <v>1094</v>
      </c>
      <c r="J745" t="s">
        <v>1103</v>
      </c>
      <c r="K745">
        <v>3</v>
      </c>
      <c r="L745">
        <v>4</v>
      </c>
      <c r="M745">
        <v>36</v>
      </c>
    </row>
    <row r="746" spans="1:13" x14ac:dyDescent="0.25">
      <c r="A746" t="s">
        <v>768</v>
      </c>
      <c r="B746" t="s">
        <v>12</v>
      </c>
      <c r="C746">
        <v>129</v>
      </c>
      <c r="D746" t="s">
        <v>11</v>
      </c>
      <c r="E746" s="46">
        <v>45191</v>
      </c>
      <c r="F746">
        <v>93</v>
      </c>
      <c r="G746">
        <v>4.7</v>
      </c>
      <c r="H746">
        <v>2024</v>
      </c>
      <c r="I746" t="s">
        <v>1095</v>
      </c>
      <c r="J746" t="s">
        <v>1103</v>
      </c>
      <c r="K746">
        <v>5</v>
      </c>
      <c r="L746">
        <v>4</v>
      </c>
      <c r="M746">
        <v>93</v>
      </c>
    </row>
    <row r="747" spans="1:13" x14ac:dyDescent="0.25">
      <c r="A747" t="s">
        <v>769</v>
      </c>
      <c r="B747" t="s">
        <v>18</v>
      </c>
      <c r="C747">
        <v>120</v>
      </c>
      <c r="D747" t="s">
        <v>10</v>
      </c>
      <c r="E747" s="46">
        <v>45191</v>
      </c>
      <c r="F747">
        <v>38</v>
      </c>
      <c r="G747">
        <v>4.2</v>
      </c>
      <c r="H747">
        <v>2024</v>
      </c>
      <c r="I747" t="s">
        <v>1095</v>
      </c>
      <c r="J747" t="s">
        <v>1099</v>
      </c>
      <c r="K747">
        <v>4</v>
      </c>
      <c r="L747">
        <v>3</v>
      </c>
      <c r="M747">
        <v>38</v>
      </c>
    </row>
    <row r="748" spans="1:13" x14ac:dyDescent="0.25">
      <c r="A748" t="s">
        <v>770</v>
      </c>
      <c r="B748" t="s">
        <v>23</v>
      </c>
      <c r="C748">
        <v>108</v>
      </c>
      <c r="D748" t="s">
        <v>11</v>
      </c>
      <c r="E748" s="46">
        <v>45192</v>
      </c>
      <c r="F748">
        <v>66</v>
      </c>
      <c r="G748">
        <v>3.9</v>
      </c>
      <c r="H748">
        <v>2024</v>
      </c>
      <c r="I748" t="s">
        <v>1096</v>
      </c>
      <c r="J748" t="s">
        <v>1099</v>
      </c>
      <c r="K748">
        <v>4</v>
      </c>
      <c r="L748">
        <v>3</v>
      </c>
      <c r="M748">
        <v>66</v>
      </c>
    </row>
    <row r="749" spans="1:13" x14ac:dyDescent="0.25">
      <c r="A749" t="s">
        <v>771</v>
      </c>
      <c r="B749" t="s">
        <v>15</v>
      </c>
      <c r="C749">
        <v>79</v>
      </c>
      <c r="D749" t="s">
        <v>10</v>
      </c>
      <c r="E749" s="46">
        <v>45192</v>
      </c>
      <c r="F749">
        <v>215</v>
      </c>
      <c r="G749">
        <v>4.5999999999999996</v>
      </c>
      <c r="H749">
        <v>2024</v>
      </c>
      <c r="I749" t="s">
        <v>1096</v>
      </c>
      <c r="J749" t="s">
        <v>1099</v>
      </c>
      <c r="K749">
        <v>5</v>
      </c>
      <c r="L749">
        <v>3</v>
      </c>
      <c r="M749">
        <v>215</v>
      </c>
    </row>
    <row r="750" spans="1:13" x14ac:dyDescent="0.25">
      <c r="A750" t="s">
        <v>772</v>
      </c>
      <c r="B750" t="s">
        <v>15</v>
      </c>
      <c r="C750">
        <v>45</v>
      </c>
      <c r="D750" t="s">
        <v>11</v>
      </c>
      <c r="E750" s="46">
        <v>45192</v>
      </c>
      <c r="F750">
        <v>92</v>
      </c>
      <c r="G750">
        <v>4.3</v>
      </c>
      <c r="H750">
        <v>2024</v>
      </c>
      <c r="I750" t="s">
        <v>1096</v>
      </c>
      <c r="J750" t="s">
        <v>1099</v>
      </c>
      <c r="K750">
        <v>4</v>
      </c>
      <c r="L750">
        <v>3</v>
      </c>
      <c r="M750">
        <v>92</v>
      </c>
    </row>
    <row r="751" spans="1:13" x14ac:dyDescent="0.25">
      <c r="A751" t="s">
        <v>773</v>
      </c>
      <c r="B751" t="s">
        <v>8</v>
      </c>
      <c r="C751">
        <v>96</v>
      </c>
      <c r="D751" t="s">
        <v>10</v>
      </c>
      <c r="E751" s="46">
        <v>45192</v>
      </c>
      <c r="F751">
        <v>80</v>
      </c>
      <c r="G751">
        <v>3.6</v>
      </c>
      <c r="H751">
        <v>2024</v>
      </c>
      <c r="I751" t="s">
        <v>1096</v>
      </c>
      <c r="J751" t="s">
        <v>1099</v>
      </c>
      <c r="K751">
        <v>4</v>
      </c>
      <c r="L751">
        <v>3</v>
      </c>
      <c r="M751">
        <v>80</v>
      </c>
    </row>
    <row r="752" spans="1:13" x14ac:dyDescent="0.25">
      <c r="A752" t="s">
        <v>774</v>
      </c>
      <c r="B752" t="s">
        <v>8</v>
      </c>
      <c r="C752">
        <v>81</v>
      </c>
      <c r="D752" t="s">
        <v>10</v>
      </c>
      <c r="E752" s="46">
        <v>45193</v>
      </c>
      <c r="F752">
        <v>123</v>
      </c>
      <c r="G752">
        <v>4.9000000000000004</v>
      </c>
      <c r="H752">
        <v>2024</v>
      </c>
      <c r="I752" t="s">
        <v>1090</v>
      </c>
      <c r="J752" t="s">
        <v>1099</v>
      </c>
      <c r="K752">
        <v>5</v>
      </c>
      <c r="L752">
        <v>3</v>
      </c>
      <c r="M752">
        <v>123</v>
      </c>
    </row>
    <row r="753" spans="1:13" x14ac:dyDescent="0.25">
      <c r="A753" t="s">
        <v>775</v>
      </c>
      <c r="B753" t="s">
        <v>16</v>
      </c>
      <c r="C753">
        <v>95</v>
      </c>
      <c r="D753" t="s">
        <v>13</v>
      </c>
      <c r="E753" s="46">
        <v>45193</v>
      </c>
      <c r="F753">
        <v>23</v>
      </c>
      <c r="G753">
        <v>2.4</v>
      </c>
      <c r="H753">
        <v>2024</v>
      </c>
      <c r="I753" t="s">
        <v>1090</v>
      </c>
      <c r="J753" t="s">
        <v>1099</v>
      </c>
      <c r="K753">
        <v>2</v>
      </c>
      <c r="L753">
        <v>3</v>
      </c>
      <c r="M753">
        <v>23</v>
      </c>
    </row>
    <row r="754" spans="1:13" x14ac:dyDescent="0.25">
      <c r="A754" t="s">
        <v>776</v>
      </c>
      <c r="B754" t="s">
        <v>19</v>
      </c>
      <c r="C754">
        <v>159</v>
      </c>
      <c r="D754" t="s">
        <v>9</v>
      </c>
      <c r="E754" s="46">
        <v>45193</v>
      </c>
      <c r="F754">
        <v>63</v>
      </c>
      <c r="G754">
        <v>4.2</v>
      </c>
      <c r="H754">
        <v>2024</v>
      </c>
      <c r="I754" t="s">
        <v>1090</v>
      </c>
      <c r="J754" t="s">
        <v>1103</v>
      </c>
      <c r="K754">
        <v>4</v>
      </c>
      <c r="L754">
        <v>4</v>
      </c>
      <c r="M754">
        <v>63</v>
      </c>
    </row>
    <row r="755" spans="1:13" x14ac:dyDescent="0.25">
      <c r="A755" t="s">
        <v>777</v>
      </c>
      <c r="B755" t="s">
        <v>5</v>
      </c>
      <c r="C755">
        <v>109</v>
      </c>
      <c r="D755" t="s">
        <v>6</v>
      </c>
      <c r="E755" s="46">
        <v>45193</v>
      </c>
      <c r="F755">
        <v>52</v>
      </c>
      <c r="G755">
        <v>3.9</v>
      </c>
      <c r="H755">
        <v>2024</v>
      </c>
      <c r="I755" t="s">
        <v>1090</v>
      </c>
      <c r="J755" t="s">
        <v>1099</v>
      </c>
      <c r="K755">
        <v>4</v>
      </c>
      <c r="L755">
        <v>3</v>
      </c>
      <c r="M755">
        <v>52</v>
      </c>
    </row>
    <row r="756" spans="1:13" x14ac:dyDescent="0.25">
      <c r="A756" t="s">
        <v>778</v>
      </c>
      <c r="B756" t="s">
        <v>15</v>
      </c>
      <c r="C756">
        <v>107</v>
      </c>
      <c r="D756" t="s">
        <v>6</v>
      </c>
      <c r="E756" s="46">
        <v>45193</v>
      </c>
      <c r="F756">
        <v>60</v>
      </c>
      <c r="G756">
        <v>4.2</v>
      </c>
      <c r="H756">
        <v>2024</v>
      </c>
      <c r="I756" t="s">
        <v>1090</v>
      </c>
      <c r="J756" t="s">
        <v>1099</v>
      </c>
      <c r="K756">
        <v>4</v>
      </c>
      <c r="L756">
        <v>3</v>
      </c>
      <c r="M756">
        <v>60</v>
      </c>
    </row>
    <row r="757" spans="1:13" x14ac:dyDescent="0.25">
      <c r="A757" t="s">
        <v>779</v>
      </c>
      <c r="B757" t="s">
        <v>8</v>
      </c>
      <c r="C757">
        <v>67</v>
      </c>
      <c r="D757" t="s">
        <v>11</v>
      </c>
      <c r="E757" s="46">
        <v>45194</v>
      </c>
      <c r="F757">
        <v>87</v>
      </c>
      <c r="G757">
        <v>3.9</v>
      </c>
      <c r="H757">
        <v>2024</v>
      </c>
      <c r="I757" t="s">
        <v>1091</v>
      </c>
      <c r="J757" t="s">
        <v>1099</v>
      </c>
      <c r="K757">
        <v>4</v>
      </c>
      <c r="L757">
        <v>3</v>
      </c>
      <c r="M757">
        <v>87</v>
      </c>
    </row>
    <row r="758" spans="1:13" x14ac:dyDescent="0.25">
      <c r="A758" t="s">
        <v>780</v>
      </c>
      <c r="B758" t="s">
        <v>24</v>
      </c>
      <c r="C758">
        <v>96</v>
      </c>
      <c r="D758" t="s">
        <v>10</v>
      </c>
      <c r="E758" s="46">
        <v>45195</v>
      </c>
      <c r="F758">
        <v>42</v>
      </c>
      <c r="G758">
        <v>4.5</v>
      </c>
      <c r="H758">
        <v>2024</v>
      </c>
      <c r="I758" t="s">
        <v>1092</v>
      </c>
      <c r="J758" t="s">
        <v>1099</v>
      </c>
      <c r="K758">
        <v>5</v>
      </c>
      <c r="L758">
        <v>3</v>
      </c>
      <c r="M758">
        <v>42</v>
      </c>
    </row>
    <row r="759" spans="1:13" x14ac:dyDescent="0.25">
      <c r="A759" t="s">
        <v>781</v>
      </c>
      <c r="B759" t="s">
        <v>7</v>
      </c>
      <c r="C759">
        <v>142</v>
      </c>
      <c r="D759" t="s">
        <v>9</v>
      </c>
      <c r="E759" s="46">
        <v>45196</v>
      </c>
      <c r="F759">
        <v>37</v>
      </c>
      <c r="G759">
        <v>3.8</v>
      </c>
      <c r="H759">
        <v>2024</v>
      </c>
      <c r="I759" t="s">
        <v>1093</v>
      </c>
      <c r="J759" t="s">
        <v>1103</v>
      </c>
      <c r="K759">
        <v>4</v>
      </c>
      <c r="L759">
        <v>4</v>
      </c>
      <c r="M759">
        <v>37</v>
      </c>
    </row>
    <row r="760" spans="1:13" x14ac:dyDescent="0.25">
      <c r="A760" t="s">
        <v>782</v>
      </c>
      <c r="B760" t="s">
        <v>7</v>
      </c>
      <c r="C760">
        <v>71</v>
      </c>
      <c r="D760" t="s">
        <v>13</v>
      </c>
      <c r="E760" s="46">
        <v>45196</v>
      </c>
      <c r="F760">
        <v>135</v>
      </c>
      <c r="G760">
        <v>3.9</v>
      </c>
      <c r="H760">
        <v>2024</v>
      </c>
      <c r="I760" t="s">
        <v>1093</v>
      </c>
      <c r="J760" t="s">
        <v>1099</v>
      </c>
      <c r="K760">
        <v>4</v>
      </c>
      <c r="L760">
        <v>3</v>
      </c>
      <c r="M760">
        <v>135</v>
      </c>
    </row>
    <row r="761" spans="1:13" x14ac:dyDescent="0.25">
      <c r="A761" t="s">
        <v>783</v>
      </c>
      <c r="B761" t="s">
        <v>24</v>
      </c>
      <c r="C761">
        <v>152</v>
      </c>
      <c r="D761" t="s">
        <v>13</v>
      </c>
      <c r="E761" s="46">
        <v>45196</v>
      </c>
      <c r="F761">
        <v>88</v>
      </c>
      <c r="G761">
        <v>4.7</v>
      </c>
      <c r="H761">
        <v>2024</v>
      </c>
      <c r="I761" t="s">
        <v>1093</v>
      </c>
      <c r="J761" t="s">
        <v>1103</v>
      </c>
      <c r="K761">
        <v>5</v>
      </c>
      <c r="L761">
        <v>4</v>
      </c>
      <c r="M761">
        <v>88</v>
      </c>
    </row>
    <row r="762" spans="1:13" x14ac:dyDescent="0.25">
      <c r="A762" t="s">
        <v>784</v>
      </c>
      <c r="B762" t="s">
        <v>17</v>
      </c>
      <c r="C762">
        <v>108</v>
      </c>
      <c r="D762" t="s">
        <v>9</v>
      </c>
      <c r="E762" s="46">
        <v>45196</v>
      </c>
      <c r="F762">
        <v>190</v>
      </c>
      <c r="G762">
        <v>3.2</v>
      </c>
      <c r="H762">
        <v>2024</v>
      </c>
      <c r="I762" t="s">
        <v>1093</v>
      </c>
      <c r="J762" t="s">
        <v>1099</v>
      </c>
      <c r="K762">
        <v>3</v>
      </c>
      <c r="L762">
        <v>3</v>
      </c>
      <c r="M762">
        <v>190</v>
      </c>
    </row>
    <row r="763" spans="1:13" x14ac:dyDescent="0.25">
      <c r="A763" t="s">
        <v>785</v>
      </c>
      <c r="B763" t="s">
        <v>17</v>
      </c>
      <c r="C763">
        <v>156</v>
      </c>
      <c r="D763" t="s">
        <v>13</v>
      </c>
      <c r="E763" s="46">
        <v>45196</v>
      </c>
      <c r="F763">
        <v>81</v>
      </c>
      <c r="G763">
        <v>5</v>
      </c>
      <c r="H763">
        <v>2024</v>
      </c>
      <c r="I763" t="s">
        <v>1093</v>
      </c>
      <c r="J763" t="s">
        <v>1103</v>
      </c>
      <c r="K763">
        <v>5</v>
      </c>
      <c r="L763">
        <v>4</v>
      </c>
      <c r="M763">
        <v>81</v>
      </c>
    </row>
    <row r="764" spans="1:13" x14ac:dyDescent="0.25">
      <c r="A764" t="s">
        <v>786</v>
      </c>
      <c r="B764" t="s">
        <v>7</v>
      </c>
      <c r="C764">
        <v>126</v>
      </c>
      <c r="D764" t="s">
        <v>9</v>
      </c>
      <c r="E764" s="46">
        <v>45196</v>
      </c>
      <c r="F764">
        <v>44</v>
      </c>
      <c r="G764">
        <v>3.7</v>
      </c>
      <c r="H764">
        <v>2024</v>
      </c>
      <c r="I764" t="s">
        <v>1093</v>
      </c>
      <c r="J764" t="s">
        <v>1103</v>
      </c>
      <c r="K764">
        <v>4</v>
      </c>
      <c r="L764">
        <v>4</v>
      </c>
      <c r="M764">
        <v>44</v>
      </c>
    </row>
    <row r="765" spans="1:13" x14ac:dyDescent="0.25">
      <c r="A765" t="s">
        <v>787</v>
      </c>
      <c r="B765" t="s">
        <v>23</v>
      </c>
      <c r="C765">
        <v>135</v>
      </c>
      <c r="D765" t="s">
        <v>13</v>
      </c>
      <c r="E765" s="46">
        <v>45197</v>
      </c>
      <c r="F765">
        <v>92</v>
      </c>
      <c r="G765">
        <v>3.9</v>
      </c>
      <c r="H765">
        <v>2024</v>
      </c>
      <c r="I765" t="s">
        <v>1094</v>
      </c>
      <c r="J765" t="s">
        <v>1103</v>
      </c>
      <c r="K765">
        <v>4</v>
      </c>
      <c r="L765">
        <v>4</v>
      </c>
      <c r="M765">
        <v>92</v>
      </c>
    </row>
    <row r="766" spans="1:13" x14ac:dyDescent="0.25">
      <c r="A766" t="s">
        <v>788</v>
      </c>
      <c r="B766" t="s">
        <v>7</v>
      </c>
      <c r="C766">
        <v>110</v>
      </c>
      <c r="D766" t="s">
        <v>10</v>
      </c>
      <c r="E766" s="46">
        <v>45198</v>
      </c>
      <c r="F766">
        <v>90</v>
      </c>
      <c r="G766">
        <v>3.1</v>
      </c>
      <c r="H766">
        <v>2024</v>
      </c>
      <c r="I766" t="s">
        <v>1095</v>
      </c>
      <c r="J766" t="s">
        <v>1099</v>
      </c>
      <c r="K766">
        <v>3</v>
      </c>
      <c r="L766">
        <v>3</v>
      </c>
      <c r="M766">
        <v>90</v>
      </c>
    </row>
    <row r="767" spans="1:13" x14ac:dyDescent="0.25">
      <c r="A767" t="s">
        <v>789</v>
      </c>
      <c r="B767" t="s">
        <v>19</v>
      </c>
      <c r="C767">
        <v>64</v>
      </c>
      <c r="D767" t="s">
        <v>13</v>
      </c>
      <c r="E767" s="46">
        <v>45198</v>
      </c>
      <c r="F767">
        <v>112</v>
      </c>
      <c r="G767">
        <v>2</v>
      </c>
      <c r="H767">
        <v>2024</v>
      </c>
      <c r="I767" t="s">
        <v>1095</v>
      </c>
      <c r="J767" t="s">
        <v>1099</v>
      </c>
      <c r="K767">
        <v>2</v>
      </c>
      <c r="L767">
        <v>3</v>
      </c>
      <c r="M767">
        <v>112</v>
      </c>
    </row>
    <row r="768" spans="1:13" x14ac:dyDescent="0.25">
      <c r="A768" t="s">
        <v>790</v>
      </c>
      <c r="B768" t="s">
        <v>22</v>
      </c>
      <c r="C768">
        <v>127</v>
      </c>
      <c r="D768" t="s">
        <v>9</v>
      </c>
      <c r="E768" s="46">
        <v>45198</v>
      </c>
      <c r="F768">
        <v>112</v>
      </c>
      <c r="G768">
        <v>4.5999999999999996</v>
      </c>
      <c r="H768">
        <v>2024</v>
      </c>
      <c r="I768" t="s">
        <v>1095</v>
      </c>
      <c r="J768" t="s">
        <v>1103</v>
      </c>
      <c r="K768">
        <v>5</v>
      </c>
      <c r="L768">
        <v>4</v>
      </c>
      <c r="M768">
        <v>112</v>
      </c>
    </row>
    <row r="769" spans="1:13" x14ac:dyDescent="0.25">
      <c r="A769" t="s">
        <v>791</v>
      </c>
      <c r="B769" t="s">
        <v>5</v>
      </c>
      <c r="C769">
        <v>124</v>
      </c>
      <c r="D769" t="s">
        <v>11</v>
      </c>
      <c r="E769" s="46">
        <v>45198</v>
      </c>
      <c r="F769">
        <v>48</v>
      </c>
      <c r="G769">
        <v>3.7</v>
      </c>
      <c r="H769">
        <v>2024</v>
      </c>
      <c r="I769" t="s">
        <v>1095</v>
      </c>
      <c r="J769" t="s">
        <v>1103</v>
      </c>
      <c r="K769">
        <v>4</v>
      </c>
      <c r="L769">
        <v>4</v>
      </c>
      <c r="M769">
        <v>48</v>
      </c>
    </row>
    <row r="770" spans="1:13" x14ac:dyDescent="0.25">
      <c r="A770" t="s">
        <v>792</v>
      </c>
      <c r="B770" t="s">
        <v>19</v>
      </c>
      <c r="C770">
        <v>125</v>
      </c>
      <c r="D770" t="s">
        <v>9</v>
      </c>
      <c r="E770" s="46">
        <v>45198</v>
      </c>
      <c r="F770">
        <v>116</v>
      </c>
      <c r="G770">
        <v>4.4000000000000004</v>
      </c>
      <c r="H770">
        <v>2024</v>
      </c>
      <c r="I770" t="s">
        <v>1095</v>
      </c>
      <c r="J770" t="s">
        <v>1103</v>
      </c>
      <c r="K770">
        <v>4</v>
      </c>
      <c r="L770">
        <v>4</v>
      </c>
      <c r="M770">
        <v>116</v>
      </c>
    </row>
    <row r="771" spans="1:13" x14ac:dyDescent="0.25">
      <c r="A771" t="s">
        <v>793</v>
      </c>
      <c r="B771" t="s">
        <v>12</v>
      </c>
      <c r="C771">
        <v>70</v>
      </c>
      <c r="D771" t="s">
        <v>9</v>
      </c>
      <c r="E771" s="46">
        <v>45198</v>
      </c>
      <c r="F771">
        <v>29</v>
      </c>
      <c r="G771">
        <v>2.1</v>
      </c>
      <c r="H771">
        <v>2024</v>
      </c>
      <c r="I771" t="s">
        <v>1095</v>
      </c>
      <c r="J771" t="s">
        <v>1099</v>
      </c>
      <c r="K771">
        <v>2</v>
      </c>
      <c r="L771">
        <v>3</v>
      </c>
      <c r="M771">
        <v>29</v>
      </c>
    </row>
    <row r="772" spans="1:13" x14ac:dyDescent="0.25">
      <c r="A772" t="s">
        <v>794</v>
      </c>
      <c r="B772" t="s">
        <v>22</v>
      </c>
      <c r="C772">
        <v>93</v>
      </c>
      <c r="D772" t="s">
        <v>13</v>
      </c>
      <c r="E772" s="46">
        <v>45199</v>
      </c>
      <c r="F772">
        <v>170</v>
      </c>
      <c r="G772">
        <v>2.2000000000000002</v>
      </c>
      <c r="H772">
        <v>2024</v>
      </c>
      <c r="I772" t="s">
        <v>1096</v>
      </c>
      <c r="J772" t="s">
        <v>1099</v>
      </c>
      <c r="K772">
        <v>2</v>
      </c>
      <c r="L772">
        <v>3</v>
      </c>
      <c r="M772">
        <v>170</v>
      </c>
    </row>
    <row r="773" spans="1:13" x14ac:dyDescent="0.25">
      <c r="A773" t="s">
        <v>795</v>
      </c>
      <c r="B773" t="s">
        <v>12</v>
      </c>
      <c r="C773">
        <v>120</v>
      </c>
      <c r="D773" t="s">
        <v>6</v>
      </c>
      <c r="E773" s="46">
        <v>45199</v>
      </c>
      <c r="F773">
        <v>68</v>
      </c>
      <c r="G773">
        <v>3.4</v>
      </c>
      <c r="H773">
        <v>2024</v>
      </c>
      <c r="I773" t="s">
        <v>1096</v>
      </c>
      <c r="J773" t="s">
        <v>1099</v>
      </c>
      <c r="K773">
        <v>3</v>
      </c>
      <c r="L773">
        <v>3</v>
      </c>
      <c r="M773">
        <v>68</v>
      </c>
    </row>
    <row r="774" spans="1:13" x14ac:dyDescent="0.25">
      <c r="A774" t="s">
        <v>796</v>
      </c>
      <c r="B774" t="s">
        <v>8</v>
      </c>
      <c r="C774">
        <v>96</v>
      </c>
      <c r="D774" t="s">
        <v>10</v>
      </c>
      <c r="E774" s="46">
        <v>45199</v>
      </c>
      <c r="F774">
        <v>195</v>
      </c>
      <c r="G774">
        <v>2.7</v>
      </c>
      <c r="H774">
        <v>2024</v>
      </c>
      <c r="I774" t="s">
        <v>1096</v>
      </c>
      <c r="J774" t="s">
        <v>1099</v>
      </c>
      <c r="K774">
        <v>3</v>
      </c>
      <c r="L774">
        <v>3</v>
      </c>
      <c r="M774">
        <v>195</v>
      </c>
    </row>
    <row r="775" spans="1:13" x14ac:dyDescent="0.25">
      <c r="A775" t="s">
        <v>797</v>
      </c>
      <c r="B775" t="s">
        <v>21</v>
      </c>
      <c r="C775">
        <v>67</v>
      </c>
      <c r="D775" t="s">
        <v>10</v>
      </c>
      <c r="E775" s="46">
        <v>45199</v>
      </c>
      <c r="F775">
        <v>96</v>
      </c>
      <c r="G775">
        <v>3.7</v>
      </c>
      <c r="H775">
        <v>2024</v>
      </c>
      <c r="I775" t="s">
        <v>1096</v>
      </c>
      <c r="J775" t="s">
        <v>1099</v>
      </c>
      <c r="K775">
        <v>4</v>
      </c>
      <c r="L775">
        <v>3</v>
      </c>
      <c r="M775">
        <v>96</v>
      </c>
    </row>
    <row r="776" spans="1:13" x14ac:dyDescent="0.25">
      <c r="A776" t="s">
        <v>798</v>
      </c>
      <c r="B776" t="s">
        <v>19</v>
      </c>
      <c r="C776">
        <v>119</v>
      </c>
      <c r="D776" t="s">
        <v>10</v>
      </c>
      <c r="E776" s="46">
        <v>45199</v>
      </c>
      <c r="F776">
        <v>96</v>
      </c>
      <c r="G776">
        <v>3.1</v>
      </c>
      <c r="H776">
        <v>2024</v>
      </c>
      <c r="I776" t="s">
        <v>1096</v>
      </c>
      <c r="J776" t="s">
        <v>1099</v>
      </c>
      <c r="K776">
        <v>3</v>
      </c>
      <c r="L776">
        <v>3</v>
      </c>
      <c r="M776">
        <v>96</v>
      </c>
    </row>
    <row r="777" spans="1:13" x14ac:dyDescent="0.25">
      <c r="A777" t="s">
        <v>799</v>
      </c>
      <c r="B777" t="s">
        <v>5</v>
      </c>
      <c r="C777">
        <v>61</v>
      </c>
      <c r="D777" t="s">
        <v>11</v>
      </c>
      <c r="E777" s="46">
        <v>45199</v>
      </c>
      <c r="F777">
        <v>117</v>
      </c>
      <c r="G777">
        <v>4.0999999999999996</v>
      </c>
      <c r="H777">
        <v>2024</v>
      </c>
      <c r="I777" t="s">
        <v>1096</v>
      </c>
      <c r="J777" t="s">
        <v>1099</v>
      </c>
      <c r="K777">
        <v>4</v>
      </c>
      <c r="L777">
        <v>3</v>
      </c>
      <c r="M777">
        <v>117</v>
      </c>
    </row>
    <row r="778" spans="1:13" x14ac:dyDescent="0.25">
      <c r="A778" t="s">
        <v>800</v>
      </c>
      <c r="B778" t="s">
        <v>8</v>
      </c>
      <c r="C778">
        <v>29</v>
      </c>
      <c r="D778" t="s">
        <v>13</v>
      </c>
      <c r="E778" s="46">
        <v>45199</v>
      </c>
      <c r="F778">
        <v>80</v>
      </c>
      <c r="G778">
        <v>4.8</v>
      </c>
      <c r="H778">
        <v>2024</v>
      </c>
      <c r="I778" t="s">
        <v>1096</v>
      </c>
      <c r="J778" t="s">
        <v>1100</v>
      </c>
      <c r="K778">
        <v>5</v>
      </c>
      <c r="L778">
        <v>2</v>
      </c>
      <c r="M778">
        <v>80</v>
      </c>
    </row>
    <row r="779" spans="1:13" x14ac:dyDescent="0.25">
      <c r="A779" t="s">
        <v>801</v>
      </c>
      <c r="B779" t="s">
        <v>24</v>
      </c>
      <c r="C779">
        <v>134</v>
      </c>
      <c r="D779" t="s">
        <v>6</v>
      </c>
      <c r="E779" s="46">
        <v>45199</v>
      </c>
      <c r="F779">
        <v>117</v>
      </c>
      <c r="G779">
        <v>4</v>
      </c>
      <c r="H779">
        <v>2024</v>
      </c>
      <c r="I779" t="s">
        <v>1096</v>
      </c>
      <c r="J779" t="s">
        <v>1103</v>
      </c>
      <c r="K779">
        <v>4</v>
      </c>
      <c r="L779">
        <v>4</v>
      </c>
      <c r="M779">
        <v>117</v>
      </c>
    </row>
    <row r="780" spans="1:13" x14ac:dyDescent="0.25">
      <c r="A780" t="s">
        <v>802</v>
      </c>
      <c r="B780" t="s">
        <v>7</v>
      </c>
      <c r="C780">
        <v>113</v>
      </c>
      <c r="D780" t="s">
        <v>10</v>
      </c>
      <c r="E780" s="46">
        <v>45200</v>
      </c>
      <c r="F780">
        <v>40</v>
      </c>
      <c r="G780">
        <v>3</v>
      </c>
      <c r="H780">
        <v>2024</v>
      </c>
      <c r="I780" t="s">
        <v>1090</v>
      </c>
      <c r="J780" t="s">
        <v>1099</v>
      </c>
      <c r="K780">
        <v>3</v>
      </c>
      <c r="L780">
        <v>3</v>
      </c>
      <c r="M780">
        <v>40</v>
      </c>
    </row>
    <row r="781" spans="1:13" x14ac:dyDescent="0.25">
      <c r="A781" t="s">
        <v>803</v>
      </c>
      <c r="B781" t="s">
        <v>17</v>
      </c>
      <c r="C781">
        <v>12</v>
      </c>
      <c r="D781" t="s">
        <v>6</v>
      </c>
      <c r="E781" s="46">
        <v>45200</v>
      </c>
      <c r="F781">
        <v>117</v>
      </c>
      <c r="G781">
        <v>4.8</v>
      </c>
      <c r="H781">
        <v>2024</v>
      </c>
      <c r="I781" t="s">
        <v>1090</v>
      </c>
      <c r="J781" t="s">
        <v>1100</v>
      </c>
      <c r="K781">
        <v>5</v>
      </c>
      <c r="L781">
        <v>2</v>
      </c>
      <c r="M781">
        <v>117</v>
      </c>
    </row>
    <row r="782" spans="1:13" x14ac:dyDescent="0.25">
      <c r="A782" t="s">
        <v>804</v>
      </c>
      <c r="B782" t="s">
        <v>14</v>
      </c>
      <c r="C782">
        <v>78</v>
      </c>
      <c r="D782" t="s">
        <v>13</v>
      </c>
      <c r="E782" s="46">
        <v>45200</v>
      </c>
      <c r="F782">
        <v>135</v>
      </c>
      <c r="G782">
        <v>4.0999999999999996</v>
      </c>
      <c r="H782">
        <v>2024</v>
      </c>
      <c r="I782" t="s">
        <v>1090</v>
      </c>
      <c r="J782" t="s">
        <v>1099</v>
      </c>
      <c r="K782">
        <v>4</v>
      </c>
      <c r="L782">
        <v>3</v>
      </c>
      <c r="M782">
        <v>135</v>
      </c>
    </row>
    <row r="783" spans="1:13" x14ac:dyDescent="0.25">
      <c r="A783" t="s">
        <v>805</v>
      </c>
      <c r="B783" t="s">
        <v>19</v>
      </c>
      <c r="C783">
        <v>82</v>
      </c>
      <c r="D783" t="s">
        <v>9</v>
      </c>
      <c r="E783" s="46">
        <v>45200</v>
      </c>
      <c r="F783">
        <v>99</v>
      </c>
      <c r="G783">
        <v>4.2</v>
      </c>
      <c r="H783">
        <v>2024</v>
      </c>
      <c r="I783" t="s">
        <v>1090</v>
      </c>
      <c r="J783" t="s">
        <v>1099</v>
      </c>
      <c r="K783">
        <v>4</v>
      </c>
      <c r="L783">
        <v>3</v>
      </c>
      <c r="M783">
        <v>99</v>
      </c>
    </row>
    <row r="784" spans="1:13" x14ac:dyDescent="0.25">
      <c r="A784" t="s">
        <v>806</v>
      </c>
      <c r="B784" t="s">
        <v>18</v>
      </c>
      <c r="C784">
        <v>149</v>
      </c>
      <c r="D784" t="s">
        <v>11</v>
      </c>
      <c r="E784" s="46">
        <v>45200</v>
      </c>
      <c r="F784">
        <v>130</v>
      </c>
      <c r="G784">
        <v>3.3</v>
      </c>
      <c r="H784">
        <v>2024</v>
      </c>
      <c r="I784" t="s">
        <v>1090</v>
      </c>
      <c r="J784" t="s">
        <v>1103</v>
      </c>
      <c r="K784">
        <v>3</v>
      </c>
      <c r="L784">
        <v>4</v>
      </c>
      <c r="M784">
        <v>130</v>
      </c>
    </row>
    <row r="785" spans="1:13" x14ac:dyDescent="0.25">
      <c r="A785" t="s">
        <v>807</v>
      </c>
      <c r="B785" t="s">
        <v>15</v>
      </c>
      <c r="C785">
        <v>56</v>
      </c>
      <c r="D785" t="s">
        <v>6</v>
      </c>
      <c r="E785" s="46">
        <v>45200</v>
      </c>
      <c r="F785">
        <v>96</v>
      </c>
      <c r="G785">
        <v>4.7</v>
      </c>
      <c r="H785">
        <v>2024</v>
      </c>
      <c r="I785" t="s">
        <v>1090</v>
      </c>
      <c r="J785" t="s">
        <v>1099</v>
      </c>
      <c r="K785">
        <v>5</v>
      </c>
      <c r="L785">
        <v>3</v>
      </c>
      <c r="M785">
        <v>96</v>
      </c>
    </row>
    <row r="786" spans="1:13" x14ac:dyDescent="0.25">
      <c r="A786" t="s">
        <v>808</v>
      </c>
      <c r="B786" t="s">
        <v>8</v>
      </c>
      <c r="C786">
        <v>80</v>
      </c>
      <c r="D786" t="s">
        <v>11</v>
      </c>
      <c r="E786" s="46">
        <v>45200</v>
      </c>
      <c r="F786">
        <v>128</v>
      </c>
      <c r="G786">
        <v>3.7</v>
      </c>
      <c r="H786">
        <v>2024</v>
      </c>
      <c r="I786" t="s">
        <v>1090</v>
      </c>
      <c r="J786" t="s">
        <v>1099</v>
      </c>
      <c r="K786">
        <v>4</v>
      </c>
      <c r="L786">
        <v>3</v>
      </c>
      <c r="M786">
        <v>128</v>
      </c>
    </row>
    <row r="787" spans="1:13" x14ac:dyDescent="0.25">
      <c r="A787" t="s">
        <v>809</v>
      </c>
      <c r="B787" t="s">
        <v>5</v>
      </c>
      <c r="C787">
        <v>131</v>
      </c>
      <c r="D787" t="s">
        <v>10</v>
      </c>
      <c r="E787" s="46">
        <v>45200</v>
      </c>
      <c r="F787">
        <v>69</v>
      </c>
      <c r="G787">
        <v>4.7</v>
      </c>
      <c r="H787">
        <v>2024</v>
      </c>
      <c r="I787" t="s">
        <v>1090</v>
      </c>
      <c r="J787" t="s">
        <v>1103</v>
      </c>
      <c r="K787">
        <v>5</v>
      </c>
      <c r="L787">
        <v>4</v>
      </c>
      <c r="M787">
        <v>69</v>
      </c>
    </row>
    <row r="788" spans="1:13" x14ac:dyDescent="0.25">
      <c r="A788" t="s">
        <v>810</v>
      </c>
      <c r="B788" t="s">
        <v>5</v>
      </c>
      <c r="C788">
        <v>109</v>
      </c>
      <c r="D788" t="s">
        <v>10</v>
      </c>
      <c r="E788" s="46">
        <v>45200</v>
      </c>
      <c r="F788">
        <v>44</v>
      </c>
      <c r="G788">
        <v>4.5999999999999996</v>
      </c>
      <c r="H788">
        <v>2024</v>
      </c>
      <c r="I788" t="s">
        <v>1090</v>
      </c>
      <c r="J788" t="s">
        <v>1099</v>
      </c>
      <c r="K788">
        <v>5</v>
      </c>
      <c r="L788">
        <v>3</v>
      </c>
      <c r="M788">
        <v>44</v>
      </c>
    </row>
    <row r="789" spans="1:13" x14ac:dyDescent="0.25">
      <c r="A789" t="s">
        <v>811</v>
      </c>
      <c r="B789" t="s">
        <v>15</v>
      </c>
      <c r="C789">
        <v>142</v>
      </c>
      <c r="D789" t="s">
        <v>10</v>
      </c>
      <c r="E789" s="46">
        <v>45200</v>
      </c>
      <c r="F789">
        <v>44</v>
      </c>
      <c r="G789">
        <v>4.8</v>
      </c>
      <c r="H789">
        <v>2024</v>
      </c>
      <c r="I789" t="s">
        <v>1090</v>
      </c>
      <c r="J789" t="s">
        <v>1103</v>
      </c>
      <c r="K789">
        <v>5</v>
      </c>
      <c r="L789">
        <v>4</v>
      </c>
      <c r="M789">
        <v>44</v>
      </c>
    </row>
    <row r="790" spans="1:13" x14ac:dyDescent="0.25">
      <c r="A790" t="s">
        <v>812</v>
      </c>
      <c r="B790" t="s">
        <v>22</v>
      </c>
      <c r="C790">
        <v>114</v>
      </c>
      <c r="D790" t="s">
        <v>6</v>
      </c>
      <c r="E790" s="46">
        <v>45201</v>
      </c>
      <c r="F790">
        <v>135</v>
      </c>
      <c r="G790">
        <v>2</v>
      </c>
      <c r="H790">
        <v>2024</v>
      </c>
      <c r="I790" t="s">
        <v>1091</v>
      </c>
      <c r="J790" t="s">
        <v>1099</v>
      </c>
      <c r="K790">
        <v>2</v>
      </c>
      <c r="L790">
        <v>3</v>
      </c>
      <c r="M790">
        <v>135</v>
      </c>
    </row>
    <row r="791" spans="1:13" x14ac:dyDescent="0.25">
      <c r="A791" t="s">
        <v>813</v>
      </c>
      <c r="B791" t="s">
        <v>21</v>
      </c>
      <c r="C791">
        <v>93</v>
      </c>
      <c r="D791" t="s">
        <v>11</v>
      </c>
      <c r="E791" s="46">
        <v>45201</v>
      </c>
      <c r="F791">
        <v>45</v>
      </c>
      <c r="G791">
        <v>3.9</v>
      </c>
      <c r="H791">
        <v>2024</v>
      </c>
      <c r="I791" t="s">
        <v>1091</v>
      </c>
      <c r="J791" t="s">
        <v>1099</v>
      </c>
      <c r="K791">
        <v>4</v>
      </c>
      <c r="L791">
        <v>3</v>
      </c>
      <c r="M791">
        <v>45</v>
      </c>
    </row>
    <row r="792" spans="1:13" x14ac:dyDescent="0.25">
      <c r="A792" t="s">
        <v>814</v>
      </c>
      <c r="B792" t="s">
        <v>17</v>
      </c>
      <c r="C792">
        <v>43</v>
      </c>
      <c r="D792" t="s">
        <v>11</v>
      </c>
      <c r="E792" s="46">
        <v>45201</v>
      </c>
      <c r="F792">
        <v>87</v>
      </c>
      <c r="G792">
        <v>3</v>
      </c>
      <c r="H792">
        <v>2024</v>
      </c>
      <c r="I792" t="s">
        <v>1091</v>
      </c>
      <c r="J792" t="s">
        <v>1099</v>
      </c>
      <c r="K792">
        <v>3</v>
      </c>
      <c r="L792">
        <v>3</v>
      </c>
      <c r="M792">
        <v>87</v>
      </c>
    </row>
    <row r="793" spans="1:13" x14ac:dyDescent="0.25">
      <c r="A793" t="s">
        <v>815</v>
      </c>
      <c r="B793" t="s">
        <v>24</v>
      </c>
      <c r="C793">
        <v>78</v>
      </c>
      <c r="D793" t="s">
        <v>13</v>
      </c>
      <c r="E793" s="46">
        <v>45202</v>
      </c>
      <c r="F793">
        <v>84</v>
      </c>
      <c r="G793">
        <v>4.5999999999999996</v>
      </c>
      <c r="H793">
        <v>2024</v>
      </c>
      <c r="I793" t="s">
        <v>1092</v>
      </c>
      <c r="J793" t="s">
        <v>1099</v>
      </c>
      <c r="K793">
        <v>5</v>
      </c>
      <c r="L793">
        <v>3</v>
      </c>
      <c r="M793">
        <v>84</v>
      </c>
    </row>
    <row r="794" spans="1:13" x14ac:dyDescent="0.25">
      <c r="A794" t="s">
        <v>816</v>
      </c>
      <c r="B794" t="s">
        <v>22</v>
      </c>
      <c r="C794">
        <v>89</v>
      </c>
      <c r="D794" t="s">
        <v>10</v>
      </c>
      <c r="E794" s="46">
        <v>45202</v>
      </c>
      <c r="F794">
        <v>81</v>
      </c>
      <c r="G794">
        <v>3.8</v>
      </c>
      <c r="H794">
        <v>2024</v>
      </c>
      <c r="I794" t="s">
        <v>1092</v>
      </c>
      <c r="J794" t="s">
        <v>1099</v>
      </c>
      <c r="K794">
        <v>4</v>
      </c>
      <c r="L794">
        <v>3</v>
      </c>
      <c r="M794">
        <v>81</v>
      </c>
    </row>
    <row r="795" spans="1:13" x14ac:dyDescent="0.25">
      <c r="A795" t="s">
        <v>817</v>
      </c>
      <c r="B795" t="s">
        <v>15</v>
      </c>
      <c r="C795">
        <v>82</v>
      </c>
      <c r="D795" t="s">
        <v>9</v>
      </c>
      <c r="E795" s="46">
        <v>45202</v>
      </c>
      <c r="F795">
        <v>130</v>
      </c>
      <c r="G795">
        <v>4.4000000000000004</v>
      </c>
      <c r="H795">
        <v>2024</v>
      </c>
      <c r="I795" t="s">
        <v>1092</v>
      </c>
      <c r="J795" t="s">
        <v>1099</v>
      </c>
      <c r="K795">
        <v>4</v>
      </c>
      <c r="L795">
        <v>3</v>
      </c>
      <c r="M795">
        <v>130</v>
      </c>
    </row>
    <row r="796" spans="1:13" x14ac:dyDescent="0.25">
      <c r="A796" t="s">
        <v>818</v>
      </c>
      <c r="B796" t="s">
        <v>8</v>
      </c>
      <c r="C796">
        <v>86</v>
      </c>
      <c r="D796" t="s">
        <v>10</v>
      </c>
      <c r="E796" s="46">
        <v>45203</v>
      </c>
      <c r="F796">
        <v>92</v>
      </c>
      <c r="G796">
        <v>2.4</v>
      </c>
      <c r="H796">
        <v>2024</v>
      </c>
      <c r="I796" t="s">
        <v>1093</v>
      </c>
      <c r="J796" t="s">
        <v>1099</v>
      </c>
      <c r="K796">
        <v>2</v>
      </c>
      <c r="L796">
        <v>3</v>
      </c>
      <c r="M796">
        <v>92</v>
      </c>
    </row>
    <row r="797" spans="1:13" x14ac:dyDescent="0.25">
      <c r="A797" t="s">
        <v>819</v>
      </c>
      <c r="B797" t="s">
        <v>16</v>
      </c>
      <c r="C797">
        <v>57</v>
      </c>
      <c r="D797" t="s">
        <v>13</v>
      </c>
      <c r="E797" s="46">
        <v>45203</v>
      </c>
      <c r="F797">
        <v>48</v>
      </c>
      <c r="G797">
        <v>4.5</v>
      </c>
      <c r="H797">
        <v>2024</v>
      </c>
      <c r="I797" t="s">
        <v>1093</v>
      </c>
      <c r="J797" t="s">
        <v>1099</v>
      </c>
      <c r="K797">
        <v>5</v>
      </c>
      <c r="L797">
        <v>3</v>
      </c>
      <c r="M797">
        <v>48</v>
      </c>
    </row>
    <row r="798" spans="1:13" x14ac:dyDescent="0.25">
      <c r="A798" t="s">
        <v>820</v>
      </c>
      <c r="B798" t="s">
        <v>21</v>
      </c>
      <c r="C798">
        <v>103</v>
      </c>
      <c r="D798" t="s">
        <v>6</v>
      </c>
      <c r="E798" s="46">
        <v>45203</v>
      </c>
      <c r="F798">
        <v>160</v>
      </c>
      <c r="G798">
        <v>4.5</v>
      </c>
      <c r="H798">
        <v>2024</v>
      </c>
      <c r="I798" t="s">
        <v>1093</v>
      </c>
      <c r="J798" t="s">
        <v>1099</v>
      </c>
      <c r="K798">
        <v>5</v>
      </c>
      <c r="L798">
        <v>3</v>
      </c>
      <c r="M798">
        <v>160</v>
      </c>
    </row>
    <row r="799" spans="1:13" x14ac:dyDescent="0.25">
      <c r="A799" t="s">
        <v>821</v>
      </c>
      <c r="B799" t="s">
        <v>14</v>
      </c>
      <c r="C799">
        <v>138</v>
      </c>
      <c r="D799" t="s">
        <v>13</v>
      </c>
      <c r="E799" s="46">
        <v>45204</v>
      </c>
      <c r="F799">
        <v>155</v>
      </c>
      <c r="G799">
        <v>2.7</v>
      </c>
      <c r="H799">
        <v>2024</v>
      </c>
      <c r="I799" t="s">
        <v>1094</v>
      </c>
      <c r="J799" t="s">
        <v>1103</v>
      </c>
      <c r="K799">
        <v>3</v>
      </c>
      <c r="L799">
        <v>4</v>
      </c>
      <c r="M799">
        <v>155</v>
      </c>
    </row>
    <row r="800" spans="1:13" x14ac:dyDescent="0.25">
      <c r="A800" t="s">
        <v>822</v>
      </c>
      <c r="B800" t="s">
        <v>18</v>
      </c>
      <c r="C800">
        <v>88</v>
      </c>
      <c r="D800" t="s">
        <v>9</v>
      </c>
      <c r="E800" s="46">
        <v>45204</v>
      </c>
      <c r="F800">
        <v>100</v>
      </c>
      <c r="G800">
        <v>4.9000000000000004</v>
      </c>
      <c r="H800">
        <v>2024</v>
      </c>
      <c r="I800" t="s">
        <v>1094</v>
      </c>
      <c r="J800" t="s">
        <v>1099</v>
      </c>
      <c r="K800">
        <v>5</v>
      </c>
      <c r="L800">
        <v>3</v>
      </c>
      <c r="M800">
        <v>100</v>
      </c>
    </row>
    <row r="801" spans="1:13" x14ac:dyDescent="0.25">
      <c r="A801" t="s">
        <v>823</v>
      </c>
      <c r="B801" t="s">
        <v>22</v>
      </c>
      <c r="C801">
        <v>118</v>
      </c>
      <c r="D801" t="s">
        <v>11</v>
      </c>
      <c r="E801" s="46">
        <v>45204</v>
      </c>
      <c r="F801">
        <v>56</v>
      </c>
      <c r="G801">
        <v>3.7</v>
      </c>
      <c r="H801">
        <v>2024</v>
      </c>
      <c r="I801" t="s">
        <v>1094</v>
      </c>
      <c r="J801" t="s">
        <v>1099</v>
      </c>
      <c r="K801">
        <v>4</v>
      </c>
      <c r="L801">
        <v>3</v>
      </c>
      <c r="M801">
        <v>56</v>
      </c>
    </row>
    <row r="802" spans="1:13" x14ac:dyDescent="0.25">
      <c r="A802" t="s">
        <v>824</v>
      </c>
      <c r="B802" t="s">
        <v>8</v>
      </c>
      <c r="C802">
        <v>4</v>
      </c>
      <c r="D802" t="s">
        <v>10</v>
      </c>
      <c r="E802" s="46">
        <v>45204</v>
      </c>
      <c r="F802">
        <v>170</v>
      </c>
      <c r="G802">
        <v>3.9</v>
      </c>
      <c r="H802">
        <v>2024</v>
      </c>
      <c r="I802" t="s">
        <v>1094</v>
      </c>
      <c r="J802" t="s">
        <v>1101</v>
      </c>
      <c r="K802">
        <v>4</v>
      </c>
      <c r="L802">
        <v>1</v>
      </c>
      <c r="M802">
        <v>170</v>
      </c>
    </row>
    <row r="803" spans="1:13" x14ac:dyDescent="0.25">
      <c r="A803" t="s">
        <v>825</v>
      </c>
      <c r="B803" t="s">
        <v>17</v>
      </c>
      <c r="C803">
        <v>78</v>
      </c>
      <c r="D803" t="s">
        <v>6</v>
      </c>
      <c r="E803" s="46">
        <v>45205</v>
      </c>
      <c r="F803">
        <v>74</v>
      </c>
      <c r="G803">
        <v>3.5</v>
      </c>
      <c r="H803">
        <v>2024</v>
      </c>
      <c r="I803" t="s">
        <v>1095</v>
      </c>
      <c r="J803" t="s">
        <v>1099</v>
      </c>
      <c r="K803">
        <v>4</v>
      </c>
      <c r="L803">
        <v>3</v>
      </c>
      <c r="M803">
        <v>74</v>
      </c>
    </row>
    <row r="804" spans="1:13" x14ac:dyDescent="0.25">
      <c r="A804" t="s">
        <v>826</v>
      </c>
      <c r="B804" t="s">
        <v>7</v>
      </c>
      <c r="C804">
        <v>69</v>
      </c>
      <c r="D804" t="s">
        <v>10</v>
      </c>
      <c r="E804" s="46">
        <v>45205</v>
      </c>
      <c r="F804">
        <v>99</v>
      </c>
      <c r="G804">
        <v>2.7</v>
      </c>
      <c r="H804">
        <v>2024</v>
      </c>
      <c r="I804" t="s">
        <v>1095</v>
      </c>
      <c r="J804" t="s">
        <v>1099</v>
      </c>
      <c r="K804">
        <v>3</v>
      </c>
      <c r="L804">
        <v>3</v>
      </c>
      <c r="M804">
        <v>99</v>
      </c>
    </row>
    <row r="805" spans="1:13" x14ac:dyDescent="0.25">
      <c r="A805" t="s">
        <v>827</v>
      </c>
      <c r="B805" t="s">
        <v>15</v>
      </c>
      <c r="C805">
        <v>90</v>
      </c>
      <c r="D805" t="s">
        <v>13</v>
      </c>
      <c r="E805" s="46">
        <v>45205</v>
      </c>
      <c r="F805">
        <v>84</v>
      </c>
      <c r="G805">
        <v>3.9</v>
      </c>
      <c r="H805">
        <v>2024</v>
      </c>
      <c r="I805" t="s">
        <v>1095</v>
      </c>
      <c r="J805" t="s">
        <v>1099</v>
      </c>
      <c r="K805">
        <v>4</v>
      </c>
      <c r="L805">
        <v>3</v>
      </c>
      <c r="M805">
        <v>84</v>
      </c>
    </row>
    <row r="806" spans="1:13" x14ac:dyDescent="0.25">
      <c r="A806" t="s">
        <v>828</v>
      </c>
      <c r="B806" t="s">
        <v>7</v>
      </c>
      <c r="C806">
        <v>134</v>
      </c>
      <c r="D806" t="s">
        <v>10</v>
      </c>
      <c r="E806" s="46">
        <v>45205</v>
      </c>
      <c r="F806">
        <v>35</v>
      </c>
      <c r="G806">
        <v>3.4</v>
      </c>
      <c r="H806">
        <v>2024</v>
      </c>
      <c r="I806" t="s">
        <v>1095</v>
      </c>
      <c r="J806" t="s">
        <v>1103</v>
      </c>
      <c r="K806">
        <v>3</v>
      </c>
      <c r="L806">
        <v>4</v>
      </c>
      <c r="M806">
        <v>35</v>
      </c>
    </row>
    <row r="807" spans="1:13" x14ac:dyDescent="0.25">
      <c r="A807" t="s">
        <v>829</v>
      </c>
      <c r="B807" t="s">
        <v>12</v>
      </c>
      <c r="C807">
        <v>65</v>
      </c>
      <c r="D807" t="s">
        <v>11</v>
      </c>
      <c r="E807" s="46">
        <v>45205</v>
      </c>
      <c r="F807">
        <v>150</v>
      </c>
      <c r="G807">
        <v>5</v>
      </c>
      <c r="H807">
        <v>2024</v>
      </c>
      <c r="I807" t="s">
        <v>1095</v>
      </c>
      <c r="J807" t="s">
        <v>1099</v>
      </c>
      <c r="K807">
        <v>5</v>
      </c>
      <c r="L807">
        <v>3</v>
      </c>
      <c r="M807">
        <v>150</v>
      </c>
    </row>
    <row r="808" spans="1:13" x14ac:dyDescent="0.25">
      <c r="A808" t="s">
        <v>830</v>
      </c>
      <c r="B808" t="s">
        <v>23</v>
      </c>
      <c r="C808">
        <v>54</v>
      </c>
      <c r="D808" t="s">
        <v>6</v>
      </c>
      <c r="E808" s="46">
        <v>45206</v>
      </c>
      <c r="F808">
        <v>176</v>
      </c>
      <c r="G808">
        <v>4.4000000000000004</v>
      </c>
      <c r="H808">
        <v>2024</v>
      </c>
      <c r="I808" t="s">
        <v>1096</v>
      </c>
      <c r="J808" t="s">
        <v>1099</v>
      </c>
      <c r="K808">
        <v>4</v>
      </c>
      <c r="L808">
        <v>3</v>
      </c>
      <c r="M808">
        <v>176</v>
      </c>
    </row>
    <row r="809" spans="1:13" x14ac:dyDescent="0.25">
      <c r="A809" t="s">
        <v>831</v>
      </c>
      <c r="B809" t="s">
        <v>23</v>
      </c>
      <c r="C809">
        <v>90</v>
      </c>
      <c r="D809" t="s">
        <v>6</v>
      </c>
      <c r="E809" s="46">
        <v>45206</v>
      </c>
      <c r="F809">
        <v>84</v>
      </c>
      <c r="G809">
        <v>4.3</v>
      </c>
      <c r="H809">
        <v>2024</v>
      </c>
      <c r="I809" t="s">
        <v>1096</v>
      </c>
      <c r="J809" t="s">
        <v>1099</v>
      </c>
      <c r="K809">
        <v>4</v>
      </c>
      <c r="L809">
        <v>3</v>
      </c>
      <c r="M809">
        <v>84</v>
      </c>
    </row>
    <row r="810" spans="1:13" x14ac:dyDescent="0.25">
      <c r="A810" t="s">
        <v>832</v>
      </c>
      <c r="B810" t="s">
        <v>15</v>
      </c>
      <c r="C810">
        <v>66</v>
      </c>
      <c r="D810" t="s">
        <v>6</v>
      </c>
      <c r="E810" s="46">
        <v>45206</v>
      </c>
      <c r="F810">
        <v>136</v>
      </c>
      <c r="G810">
        <v>4.7</v>
      </c>
      <c r="H810">
        <v>2024</v>
      </c>
      <c r="I810" t="s">
        <v>1096</v>
      </c>
      <c r="J810" t="s">
        <v>1099</v>
      </c>
      <c r="K810">
        <v>5</v>
      </c>
      <c r="L810">
        <v>3</v>
      </c>
      <c r="M810">
        <v>136</v>
      </c>
    </row>
    <row r="811" spans="1:13" x14ac:dyDescent="0.25">
      <c r="A811" t="s">
        <v>833</v>
      </c>
      <c r="B811" t="s">
        <v>8</v>
      </c>
      <c r="C811">
        <v>150</v>
      </c>
      <c r="D811" t="s">
        <v>6</v>
      </c>
      <c r="E811" s="46">
        <v>45207</v>
      </c>
      <c r="F811">
        <v>70</v>
      </c>
      <c r="G811">
        <v>4.0999999999999996</v>
      </c>
      <c r="H811">
        <v>2024</v>
      </c>
      <c r="I811" t="s">
        <v>1090</v>
      </c>
      <c r="J811" t="s">
        <v>1103</v>
      </c>
      <c r="K811">
        <v>4</v>
      </c>
      <c r="L811">
        <v>4</v>
      </c>
      <c r="M811">
        <v>70</v>
      </c>
    </row>
    <row r="812" spans="1:13" x14ac:dyDescent="0.25">
      <c r="A812" t="s">
        <v>834</v>
      </c>
      <c r="B812" t="s">
        <v>24</v>
      </c>
      <c r="C812">
        <v>18</v>
      </c>
      <c r="D812" t="s">
        <v>11</v>
      </c>
      <c r="E812" s="46">
        <v>45207</v>
      </c>
      <c r="F812">
        <v>96</v>
      </c>
      <c r="G812">
        <v>4.8</v>
      </c>
      <c r="H812">
        <v>2024</v>
      </c>
      <c r="I812" t="s">
        <v>1090</v>
      </c>
      <c r="J812" t="s">
        <v>1100</v>
      </c>
      <c r="K812">
        <v>5</v>
      </c>
      <c r="L812">
        <v>2</v>
      </c>
      <c r="M812">
        <v>96</v>
      </c>
    </row>
    <row r="813" spans="1:13" x14ac:dyDescent="0.25">
      <c r="A813" t="s">
        <v>835</v>
      </c>
      <c r="B813" t="s">
        <v>23</v>
      </c>
      <c r="C813">
        <v>87</v>
      </c>
      <c r="D813" t="s">
        <v>11</v>
      </c>
      <c r="E813" s="46">
        <v>45207</v>
      </c>
      <c r="F813">
        <v>23</v>
      </c>
      <c r="G813">
        <v>4.2</v>
      </c>
      <c r="H813">
        <v>2024</v>
      </c>
      <c r="I813" t="s">
        <v>1090</v>
      </c>
      <c r="J813" t="s">
        <v>1099</v>
      </c>
      <c r="K813">
        <v>4</v>
      </c>
      <c r="L813">
        <v>3</v>
      </c>
      <c r="M813">
        <v>23</v>
      </c>
    </row>
    <row r="814" spans="1:13" x14ac:dyDescent="0.25">
      <c r="A814" t="s">
        <v>836</v>
      </c>
      <c r="B814" t="s">
        <v>14</v>
      </c>
      <c r="C814">
        <v>94</v>
      </c>
      <c r="D814" t="s">
        <v>6</v>
      </c>
      <c r="E814" s="46">
        <v>45208</v>
      </c>
      <c r="F814">
        <v>120</v>
      </c>
      <c r="G814">
        <v>3.4</v>
      </c>
      <c r="H814">
        <v>2024</v>
      </c>
      <c r="I814" t="s">
        <v>1091</v>
      </c>
      <c r="J814" t="s">
        <v>1099</v>
      </c>
      <c r="K814">
        <v>3</v>
      </c>
      <c r="L814">
        <v>3</v>
      </c>
      <c r="M814">
        <v>120</v>
      </c>
    </row>
    <row r="815" spans="1:13" x14ac:dyDescent="0.25">
      <c r="A815" t="s">
        <v>837</v>
      </c>
      <c r="B815" t="s">
        <v>16</v>
      </c>
      <c r="C815">
        <v>56</v>
      </c>
      <c r="D815" t="s">
        <v>6</v>
      </c>
      <c r="E815" s="46">
        <v>45208</v>
      </c>
      <c r="F815">
        <v>205</v>
      </c>
      <c r="G815">
        <v>3.3</v>
      </c>
      <c r="H815">
        <v>2024</v>
      </c>
      <c r="I815" t="s">
        <v>1091</v>
      </c>
      <c r="J815" t="s">
        <v>1099</v>
      </c>
      <c r="K815">
        <v>3</v>
      </c>
      <c r="L815">
        <v>3</v>
      </c>
      <c r="M815">
        <v>205</v>
      </c>
    </row>
    <row r="816" spans="1:13" x14ac:dyDescent="0.25">
      <c r="A816" t="s">
        <v>838</v>
      </c>
      <c r="B816" t="s">
        <v>22</v>
      </c>
      <c r="C816">
        <v>41</v>
      </c>
      <c r="D816" t="s">
        <v>9</v>
      </c>
      <c r="E816" s="46">
        <v>45209</v>
      </c>
      <c r="F816">
        <v>42</v>
      </c>
      <c r="G816">
        <v>3.8</v>
      </c>
      <c r="H816">
        <v>2024</v>
      </c>
      <c r="I816" t="s">
        <v>1092</v>
      </c>
      <c r="J816" t="s">
        <v>1099</v>
      </c>
      <c r="K816">
        <v>4</v>
      </c>
      <c r="L816">
        <v>3</v>
      </c>
      <c r="M816">
        <v>42</v>
      </c>
    </row>
    <row r="817" spans="1:13" x14ac:dyDescent="0.25">
      <c r="A817" t="s">
        <v>839</v>
      </c>
      <c r="B817" t="s">
        <v>8</v>
      </c>
      <c r="C817">
        <v>119</v>
      </c>
      <c r="D817" t="s">
        <v>13</v>
      </c>
      <c r="E817" s="46">
        <v>45209</v>
      </c>
      <c r="F817">
        <v>111</v>
      </c>
      <c r="G817">
        <v>3.9</v>
      </c>
      <c r="H817">
        <v>2024</v>
      </c>
      <c r="I817" t="s">
        <v>1092</v>
      </c>
      <c r="J817" t="s">
        <v>1099</v>
      </c>
      <c r="K817">
        <v>4</v>
      </c>
      <c r="L817">
        <v>3</v>
      </c>
      <c r="M817">
        <v>111</v>
      </c>
    </row>
    <row r="818" spans="1:13" x14ac:dyDescent="0.25">
      <c r="A818" t="s">
        <v>840</v>
      </c>
      <c r="B818" t="s">
        <v>21</v>
      </c>
      <c r="C818">
        <v>108</v>
      </c>
      <c r="D818" t="s">
        <v>6</v>
      </c>
      <c r="E818" s="46">
        <v>45209</v>
      </c>
      <c r="F818">
        <v>68</v>
      </c>
      <c r="G818">
        <v>2.5</v>
      </c>
      <c r="H818">
        <v>2024</v>
      </c>
      <c r="I818" t="s">
        <v>1092</v>
      </c>
      <c r="J818" t="s">
        <v>1099</v>
      </c>
      <c r="K818">
        <v>3</v>
      </c>
      <c r="L818">
        <v>3</v>
      </c>
      <c r="M818">
        <v>68</v>
      </c>
    </row>
    <row r="819" spans="1:13" x14ac:dyDescent="0.25">
      <c r="A819" t="s">
        <v>841</v>
      </c>
      <c r="B819" t="s">
        <v>17</v>
      </c>
      <c r="C819">
        <v>63</v>
      </c>
      <c r="D819" t="s">
        <v>10</v>
      </c>
      <c r="E819" s="46">
        <v>45209</v>
      </c>
      <c r="F819">
        <v>172</v>
      </c>
      <c r="G819">
        <v>4.9000000000000004</v>
      </c>
      <c r="H819">
        <v>2024</v>
      </c>
      <c r="I819" t="s">
        <v>1092</v>
      </c>
      <c r="J819" t="s">
        <v>1099</v>
      </c>
      <c r="K819">
        <v>5</v>
      </c>
      <c r="L819">
        <v>3</v>
      </c>
      <c r="M819">
        <v>172</v>
      </c>
    </row>
    <row r="820" spans="1:13" x14ac:dyDescent="0.25">
      <c r="A820" t="s">
        <v>842</v>
      </c>
      <c r="B820" t="s">
        <v>19</v>
      </c>
      <c r="C820">
        <v>59</v>
      </c>
      <c r="D820" t="s">
        <v>6</v>
      </c>
      <c r="E820" s="46">
        <v>45209</v>
      </c>
      <c r="F820">
        <v>152</v>
      </c>
      <c r="G820">
        <v>4.8</v>
      </c>
      <c r="H820">
        <v>2024</v>
      </c>
      <c r="I820" t="s">
        <v>1092</v>
      </c>
      <c r="J820" t="s">
        <v>1099</v>
      </c>
      <c r="K820">
        <v>5</v>
      </c>
      <c r="L820">
        <v>3</v>
      </c>
      <c r="M820">
        <v>152</v>
      </c>
    </row>
    <row r="821" spans="1:13" x14ac:dyDescent="0.25">
      <c r="A821" t="s">
        <v>843</v>
      </c>
      <c r="B821" t="s">
        <v>19</v>
      </c>
      <c r="C821">
        <v>90</v>
      </c>
      <c r="D821" t="s">
        <v>9</v>
      </c>
      <c r="E821" s="46">
        <v>45209</v>
      </c>
      <c r="F821">
        <v>48</v>
      </c>
      <c r="G821">
        <v>4.7</v>
      </c>
      <c r="H821">
        <v>2024</v>
      </c>
      <c r="I821" t="s">
        <v>1092</v>
      </c>
      <c r="J821" t="s">
        <v>1099</v>
      </c>
      <c r="K821">
        <v>5</v>
      </c>
      <c r="L821">
        <v>3</v>
      </c>
      <c r="M821">
        <v>48</v>
      </c>
    </row>
    <row r="822" spans="1:13" x14ac:dyDescent="0.25">
      <c r="A822" t="s">
        <v>844</v>
      </c>
      <c r="B822" t="s">
        <v>18</v>
      </c>
      <c r="C822">
        <v>55</v>
      </c>
      <c r="D822" t="s">
        <v>9</v>
      </c>
      <c r="E822" s="46">
        <v>45209</v>
      </c>
      <c r="F822">
        <v>25</v>
      </c>
      <c r="G822">
        <v>4.7</v>
      </c>
      <c r="H822">
        <v>2024</v>
      </c>
      <c r="I822" t="s">
        <v>1092</v>
      </c>
      <c r="J822" t="s">
        <v>1099</v>
      </c>
      <c r="K822">
        <v>5</v>
      </c>
      <c r="L822">
        <v>3</v>
      </c>
      <c r="M822">
        <v>25</v>
      </c>
    </row>
    <row r="823" spans="1:13" x14ac:dyDescent="0.25">
      <c r="A823" t="s">
        <v>845</v>
      </c>
      <c r="B823" t="s">
        <v>21</v>
      </c>
      <c r="C823">
        <v>84</v>
      </c>
      <c r="D823" t="s">
        <v>13</v>
      </c>
      <c r="E823" s="46">
        <v>45210</v>
      </c>
      <c r="F823">
        <v>54</v>
      </c>
      <c r="G823">
        <v>3.3</v>
      </c>
      <c r="H823">
        <v>2024</v>
      </c>
      <c r="I823" t="s">
        <v>1093</v>
      </c>
      <c r="J823" t="s">
        <v>1099</v>
      </c>
      <c r="K823">
        <v>3</v>
      </c>
      <c r="L823">
        <v>3</v>
      </c>
      <c r="M823">
        <v>54</v>
      </c>
    </row>
    <row r="824" spans="1:13" x14ac:dyDescent="0.25">
      <c r="A824" t="s">
        <v>846</v>
      </c>
      <c r="B824" t="s">
        <v>21</v>
      </c>
      <c r="C824">
        <v>150</v>
      </c>
      <c r="D824" t="s">
        <v>11</v>
      </c>
      <c r="E824" s="46">
        <v>45210</v>
      </c>
      <c r="F824">
        <v>108</v>
      </c>
      <c r="G824">
        <v>4.7</v>
      </c>
      <c r="H824">
        <v>2024</v>
      </c>
      <c r="I824" t="s">
        <v>1093</v>
      </c>
      <c r="J824" t="s">
        <v>1103</v>
      </c>
      <c r="K824">
        <v>5</v>
      </c>
      <c r="L824">
        <v>4</v>
      </c>
      <c r="M824">
        <v>108</v>
      </c>
    </row>
    <row r="825" spans="1:13" x14ac:dyDescent="0.25">
      <c r="A825" t="s">
        <v>847</v>
      </c>
      <c r="B825" t="s">
        <v>5</v>
      </c>
      <c r="C825">
        <v>69</v>
      </c>
      <c r="D825" t="s">
        <v>6</v>
      </c>
      <c r="E825" s="46">
        <v>45210</v>
      </c>
      <c r="F825">
        <v>36</v>
      </c>
      <c r="G825">
        <v>4.5</v>
      </c>
      <c r="H825">
        <v>2024</v>
      </c>
      <c r="I825" t="s">
        <v>1093</v>
      </c>
      <c r="J825" t="s">
        <v>1099</v>
      </c>
      <c r="K825">
        <v>5</v>
      </c>
      <c r="L825">
        <v>3</v>
      </c>
      <c r="M825">
        <v>36</v>
      </c>
    </row>
    <row r="826" spans="1:13" x14ac:dyDescent="0.25">
      <c r="A826" t="s">
        <v>848</v>
      </c>
      <c r="B826" t="s">
        <v>20</v>
      </c>
      <c r="C826">
        <v>120</v>
      </c>
      <c r="D826" t="s">
        <v>9</v>
      </c>
      <c r="E826" s="46">
        <v>45211</v>
      </c>
      <c r="F826">
        <v>140</v>
      </c>
      <c r="G826">
        <v>4.5999999999999996</v>
      </c>
      <c r="H826">
        <v>2024</v>
      </c>
      <c r="I826" t="s">
        <v>1094</v>
      </c>
      <c r="J826" t="s">
        <v>1099</v>
      </c>
      <c r="K826">
        <v>5</v>
      </c>
      <c r="L826">
        <v>3</v>
      </c>
      <c r="M826">
        <v>140</v>
      </c>
    </row>
    <row r="827" spans="1:13" x14ac:dyDescent="0.25">
      <c r="A827" t="s">
        <v>849</v>
      </c>
      <c r="B827" t="s">
        <v>23</v>
      </c>
      <c r="C827">
        <v>126</v>
      </c>
      <c r="D827" t="s">
        <v>13</v>
      </c>
      <c r="E827" s="46">
        <v>45211</v>
      </c>
      <c r="F827">
        <v>50</v>
      </c>
      <c r="G827">
        <v>4.8</v>
      </c>
      <c r="H827">
        <v>2024</v>
      </c>
      <c r="I827" t="s">
        <v>1094</v>
      </c>
      <c r="J827" t="s">
        <v>1103</v>
      </c>
      <c r="K827">
        <v>5</v>
      </c>
      <c r="L827">
        <v>4</v>
      </c>
      <c r="M827">
        <v>50</v>
      </c>
    </row>
    <row r="828" spans="1:13" x14ac:dyDescent="0.25">
      <c r="A828" t="s">
        <v>850</v>
      </c>
      <c r="B828" t="s">
        <v>5</v>
      </c>
      <c r="C828">
        <v>120</v>
      </c>
      <c r="D828" t="s">
        <v>10</v>
      </c>
      <c r="E828" s="46">
        <v>45211</v>
      </c>
      <c r="F828">
        <v>195</v>
      </c>
      <c r="G828">
        <v>4.3</v>
      </c>
      <c r="H828">
        <v>2024</v>
      </c>
      <c r="I828" t="s">
        <v>1094</v>
      </c>
      <c r="J828" t="s">
        <v>1099</v>
      </c>
      <c r="K828">
        <v>4</v>
      </c>
      <c r="L828">
        <v>3</v>
      </c>
      <c r="M828">
        <v>195</v>
      </c>
    </row>
    <row r="829" spans="1:13" x14ac:dyDescent="0.25">
      <c r="A829" t="s">
        <v>851</v>
      </c>
      <c r="B829" t="s">
        <v>23</v>
      </c>
      <c r="C829">
        <v>139</v>
      </c>
      <c r="D829" t="s">
        <v>9</v>
      </c>
      <c r="E829" s="46">
        <v>45212</v>
      </c>
      <c r="F829">
        <v>48</v>
      </c>
      <c r="G829">
        <v>4.7</v>
      </c>
      <c r="H829">
        <v>2024</v>
      </c>
      <c r="I829" t="s">
        <v>1095</v>
      </c>
      <c r="J829" t="s">
        <v>1103</v>
      </c>
      <c r="K829">
        <v>5</v>
      </c>
      <c r="L829">
        <v>4</v>
      </c>
      <c r="M829">
        <v>48</v>
      </c>
    </row>
    <row r="830" spans="1:13" x14ac:dyDescent="0.25">
      <c r="A830" t="s">
        <v>852</v>
      </c>
      <c r="B830" t="s">
        <v>18</v>
      </c>
      <c r="C830">
        <v>124</v>
      </c>
      <c r="D830" t="s">
        <v>6</v>
      </c>
      <c r="E830" s="46">
        <v>45213</v>
      </c>
      <c r="F830">
        <v>29</v>
      </c>
      <c r="G830">
        <v>4.8</v>
      </c>
      <c r="H830">
        <v>2024</v>
      </c>
      <c r="I830" t="s">
        <v>1096</v>
      </c>
      <c r="J830" t="s">
        <v>1103</v>
      </c>
      <c r="K830">
        <v>5</v>
      </c>
      <c r="L830">
        <v>4</v>
      </c>
      <c r="M830">
        <v>29</v>
      </c>
    </row>
    <row r="831" spans="1:13" x14ac:dyDescent="0.25">
      <c r="A831" t="s">
        <v>853</v>
      </c>
      <c r="B831" t="s">
        <v>20</v>
      </c>
      <c r="C831">
        <v>108</v>
      </c>
      <c r="D831" t="s">
        <v>10</v>
      </c>
      <c r="E831" s="46">
        <v>45213</v>
      </c>
      <c r="F831">
        <v>44</v>
      </c>
      <c r="G831">
        <v>4.7</v>
      </c>
      <c r="H831">
        <v>2024</v>
      </c>
      <c r="I831" t="s">
        <v>1096</v>
      </c>
      <c r="J831" t="s">
        <v>1099</v>
      </c>
      <c r="K831">
        <v>5</v>
      </c>
      <c r="L831">
        <v>3</v>
      </c>
      <c r="M831">
        <v>44</v>
      </c>
    </row>
    <row r="832" spans="1:13" x14ac:dyDescent="0.25">
      <c r="A832" t="s">
        <v>854</v>
      </c>
      <c r="B832" t="s">
        <v>12</v>
      </c>
      <c r="C832">
        <v>132</v>
      </c>
      <c r="D832" t="s">
        <v>11</v>
      </c>
      <c r="E832" s="46">
        <v>45213</v>
      </c>
      <c r="F832">
        <v>140</v>
      </c>
      <c r="G832">
        <v>4.3</v>
      </c>
      <c r="H832">
        <v>2024</v>
      </c>
      <c r="I832" t="s">
        <v>1096</v>
      </c>
      <c r="J832" t="s">
        <v>1103</v>
      </c>
      <c r="K832">
        <v>4</v>
      </c>
      <c r="L832">
        <v>4</v>
      </c>
      <c r="M832">
        <v>140</v>
      </c>
    </row>
    <row r="833" spans="1:13" x14ac:dyDescent="0.25">
      <c r="A833" t="s">
        <v>855</v>
      </c>
      <c r="B833" t="s">
        <v>17</v>
      </c>
      <c r="C833">
        <v>67</v>
      </c>
      <c r="D833" t="s">
        <v>11</v>
      </c>
      <c r="E833" s="46">
        <v>45213</v>
      </c>
      <c r="F833">
        <v>105</v>
      </c>
      <c r="G833">
        <v>3.8</v>
      </c>
      <c r="H833">
        <v>2024</v>
      </c>
      <c r="I833" t="s">
        <v>1096</v>
      </c>
      <c r="J833" t="s">
        <v>1099</v>
      </c>
      <c r="K833">
        <v>4</v>
      </c>
      <c r="L833">
        <v>3</v>
      </c>
      <c r="M833">
        <v>105</v>
      </c>
    </row>
    <row r="834" spans="1:13" x14ac:dyDescent="0.25">
      <c r="A834" t="s">
        <v>856</v>
      </c>
      <c r="B834" t="s">
        <v>15</v>
      </c>
      <c r="C834">
        <v>125</v>
      </c>
      <c r="D834" t="s">
        <v>11</v>
      </c>
      <c r="E834" s="46">
        <v>45213</v>
      </c>
      <c r="F834">
        <v>82</v>
      </c>
      <c r="G834">
        <v>4.5999999999999996</v>
      </c>
      <c r="H834">
        <v>2024</v>
      </c>
      <c r="I834" t="s">
        <v>1096</v>
      </c>
      <c r="J834" t="s">
        <v>1103</v>
      </c>
      <c r="K834">
        <v>5</v>
      </c>
      <c r="L834">
        <v>4</v>
      </c>
      <c r="M834">
        <v>82</v>
      </c>
    </row>
    <row r="835" spans="1:13" x14ac:dyDescent="0.25">
      <c r="A835" t="s">
        <v>857</v>
      </c>
      <c r="B835" t="s">
        <v>20</v>
      </c>
      <c r="C835">
        <v>23</v>
      </c>
      <c r="D835" t="s">
        <v>10</v>
      </c>
      <c r="E835" s="46">
        <v>45213</v>
      </c>
      <c r="F835">
        <v>24</v>
      </c>
      <c r="G835">
        <v>2.9</v>
      </c>
      <c r="H835">
        <v>2024</v>
      </c>
      <c r="I835" t="s">
        <v>1096</v>
      </c>
      <c r="J835" t="s">
        <v>1100</v>
      </c>
      <c r="K835">
        <v>3</v>
      </c>
      <c r="L835">
        <v>2</v>
      </c>
      <c r="M835">
        <v>24</v>
      </c>
    </row>
    <row r="836" spans="1:13" x14ac:dyDescent="0.25">
      <c r="A836" t="s">
        <v>858</v>
      </c>
      <c r="B836" t="s">
        <v>8</v>
      </c>
      <c r="C836">
        <v>131</v>
      </c>
      <c r="D836" t="s">
        <v>6</v>
      </c>
      <c r="E836" s="46">
        <v>45214</v>
      </c>
      <c r="F836">
        <v>205</v>
      </c>
      <c r="G836">
        <v>4.8</v>
      </c>
      <c r="H836">
        <v>2024</v>
      </c>
      <c r="I836" t="s">
        <v>1090</v>
      </c>
      <c r="J836" t="s">
        <v>1103</v>
      </c>
      <c r="K836">
        <v>5</v>
      </c>
      <c r="L836">
        <v>4</v>
      </c>
      <c r="M836">
        <v>205</v>
      </c>
    </row>
    <row r="837" spans="1:13" x14ac:dyDescent="0.25">
      <c r="A837" t="s">
        <v>859</v>
      </c>
      <c r="B837" t="s">
        <v>12</v>
      </c>
      <c r="C837">
        <v>56</v>
      </c>
      <c r="D837" t="s">
        <v>9</v>
      </c>
      <c r="E837" s="46">
        <v>45214</v>
      </c>
      <c r="F837">
        <v>225</v>
      </c>
      <c r="G837">
        <v>4.9000000000000004</v>
      </c>
      <c r="H837">
        <v>2024</v>
      </c>
      <c r="I837" t="s">
        <v>1090</v>
      </c>
      <c r="J837" t="s">
        <v>1099</v>
      </c>
      <c r="K837">
        <v>5</v>
      </c>
      <c r="L837">
        <v>3</v>
      </c>
      <c r="M837">
        <v>225</v>
      </c>
    </row>
    <row r="838" spans="1:13" x14ac:dyDescent="0.25">
      <c r="A838" t="s">
        <v>860</v>
      </c>
      <c r="B838" t="s">
        <v>8</v>
      </c>
      <c r="C838">
        <v>70</v>
      </c>
      <c r="D838" t="s">
        <v>6</v>
      </c>
      <c r="E838" s="46">
        <v>45214</v>
      </c>
      <c r="F838">
        <v>50</v>
      </c>
      <c r="G838">
        <v>3.4</v>
      </c>
      <c r="H838">
        <v>2024</v>
      </c>
      <c r="I838" t="s">
        <v>1090</v>
      </c>
      <c r="J838" t="s">
        <v>1099</v>
      </c>
      <c r="K838">
        <v>3</v>
      </c>
      <c r="L838">
        <v>3</v>
      </c>
      <c r="M838">
        <v>50</v>
      </c>
    </row>
    <row r="839" spans="1:13" x14ac:dyDescent="0.25">
      <c r="A839" t="s">
        <v>861</v>
      </c>
      <c r="B839" t="s">
        <v>8</v>
      </c>
      <c r="C839">
        <v>55</v>
      </c>
      <c r="D839" t="s">
        <v>11</v>
      </c>
      <c r="E839" s="46">
        <v>45214</v>
      </c>
      <c r="F839">
        <v>80</v>
      </c>
      <c r="G839">
        <v>4.3</v>
      </c>
      <c r="H839">
        <v>2024</v>
      </c>
      <c r="I839" t="s">
        <v>1090</v>
      </c>
      <c r="J839" t="s">
        <v>1099</v>
      </c>
      <c r="K839">
        <v>4</v>
      </c>
      <c r="L839">
        <v>3</v>
      </c>
      <c r="M839">
        <v>80</v>
      </c>
    </row>
    <row r="840" spans="1:13" x14ac:dyDescent="0.25">
      <c r="A840" t="s">
        <v>862</v>
      </c>
      <c r="B840" t="s">
        <v>15</v>
      </c>
      <c r="C840">
        <v>77</v>
      </c>
      <c r="D840" t="s">
        <v>9</v>
      </c>
      <c r="E840" s="46">
        <v>45214</v>
      </c>
      <c r="F840">
        <v>78</v>
      </c>
      <c r="G840">
        <v>3.9</v>
      </c>
      <c r="H840">
        <v>2024</v>
      </c>
      <c r="I840" t="s">
        <v>1090</v>
      </c>
      <c r="J840" t="s">
        <v>1099</v>
      </c>
      <c r="K840">
        <v>4</v>
      </c>
      <c r="L840">
        <v>3</v>
      </c>
      <c r="M840">
        <v>78</v>
      </c>
    </row>
    <row r="841" spans="1:13" x14ac:dyDescent="0.25">
      <c r="A841" t="s">
        <v>863</v>
      </c>
      <c r="B841" t="s">
        <v>21</v>
      </c>
      <c r="C841">
        <v>133</v>
      </c>
      <c r="D841" t="s">
        <v>6</v>
      </c>
      <c r="E841" s="46">
        <v>45215</v>
      </c>
      <c r="F841">
        <v>40</v>
      </c>
      <c r="G841">
        <v>3.9</v>
      </c>
      <c r="H841">
        <v>2024</v>
      </c>
      <c r="I841" t="s">
        <v>1091</v>
      </c>
      <c r="J841" t="s">
        <v>1103</v>
      </c>
      <c r="K841">
        <v>4</v>
      </c>
      <c r="L841">
        <v>4</v>
      </c>
      <c r="M841">
        <v>40</v>
      </c>
    </row>
    <row r="842" spans="1:13" x14ac:dyDescent="0.25">
      <c r="A842" t="s">
        <v>864</v>
      </c>
      <c r="B842" t="s">
        <v>15</v>
      </c>
      <c r="C842">
        <v>77</v>
      </c>
      <c r="D842" t="s">
        <v>9</v>
      </c>
      <c r="E842" s="46">
        <v>45215</v>
      </c>
      <c r="F842">
        <v>176</v>
      </c>
      <c r="G842">
        <v>1.5</v>
      </c>
      <c r="H842">
        <v>2024</v>
      </c>
      <c r="I842" t="s">
        <v>1091</v>
      </c>
      <c r="J842" t="s">
        <v>1099</v>
      </c>
      <c r="K842">
        <v>2</v>
      </c>
      <c r="L842">
        <v>3</v>
      </c>
      <c r="M842">
        <v>176</v>
      </c>
    </row>
    <row r="843" spans="1:13" x14ac:dyDescent="0.25">
      <c r="A843" t="s">
        <v>865</v>
      </c>
      <c r="B843" t="s">
        <v>19</v>
      </c>
      <c r="C843">
        <v>103</v>
      </c>
      <c r="D843" t="s">
        <v>6</v>
      </c>
      <c r="E843" s="46">
        <v>45215</v>
      </c>
      <c r="F843">
        <v>78</v>
      </c>
      <c r="G843">
        <v>3</v>
      </c>
      <c r="H843">
        <v>2024</v>
      </c>
      <c r="I843" t="s">
        <v>1091</v>
      </c>
      <c r="J843" t="s">
        <v>1099</v>
      </c>
      <c r="K843">
        <v>3</v>
      </c>
      <c r="L843">
        <v>3</v>
      </c>
      <c r="M843">
        <v>78</v>
      </c>
    </row>
    <row r="844" spans="1:13" x14ac:dyDescent="0.25">
      <c r="A844" t="s">
        <v>866</v>
      </c>
      <c r="B844" t="s">
        <v>5</v>
      </c>
      <c r="C844">
        <v>32</v>
      </c>
      <c r="D844" t="s">
        <v>9</v>
      </c>
      <c r="E844" s="46">
        <v>45215</v>
      </c>
      <c r="F844">
        <v>42</v>
      </c>
      <c r="G844">
        <v>4.2</v>
      </c>
      <c r="H844">
        <v>2024</v>
      </c>
      <c r="I844" t="s">
        <v>1091</v>
      </c>
      <c r="J844" t="s">
        <v>1099</v>
      </c>
      <c r="K844">
        <v>4</v>
      </c>
      <c r="L844">
        <v>3</v>
      </c>
      <c r="M844">
        <v>42</v>
      </c>
    </row>
    <row r="845" spans="1:13" x14ac:dyDescent="0.25">
      <c r="A845" t="s">
        <v>867</v>
      </c>
      <c r="B845" t="s">
        <v>21</v>
      </c>
      <c r="C845">
        <v>30</v>
      </c>
      <c r="D845" t="s">
        <v>6</v>
      </c>
      <c r="E845" s="46">
        <v>45215</v>
      </c>
      <c r="F845">
        <v>38</v>
      </c>
      <c r="G845">
        <v>3.7</v>
      </c>
      <c r="H845">
        <v>2024</v>
      </c>
      <c r="I845" t="s">
        <v>1091</v>
      </c>
      <c r="J845" t="s">
        <v>1100</v>
      </c>
      <c r="K845">
        <v>4</v>
      </c>
      <c r="L845">
        <v>2</v>
      </c>
      <c r="M845">
        <v>38</v>
      </c>
    </row>
    <row r="846" spans="1:13" x14ac:dyDescent="0.25">
      <c r="A846" t="s">
        <v>868</v>
      </c>
      <c r="B846" t="s">
        <v>23</v>
      </c>
      <c r="C846">
        <v>87</v>
      </c>
      <c r="D846" t="s">
        <v>13</v>
      </c>
      <c r="E846" s="46">
        <v>45215</v>
      </c>
      <c r="F846">
        <v>27</v>
      </c>
      <c r="G846">
        <v>4.2</v>
      </c>
      <c r="H846">
        <v>2024</v>
      </c>
      <c r="I846" t="s">
        <v>1091</v>
      </c>
      <c r="J846" t="s">
        <v>1099</v>
      </c>
      <c r="K846">
        <v>4</v>
      </c>
      <c r="L846">
        <v>3</v>
      </c>
      <c r="M846">
        <v>27</v>
      </c>
    </row>
    <row r="847" spans="1:13" x14ac:dyDescent="0.25">
      <c r="A847" t="s">
        <v>869</v>
      </c>
      <c r="B847" t="s">
        <v>15</v>
      </c>
      <c r="C847">
        <v>137</v>
      </c>
      <c r="D847" t="s">
        <v>10</v>
      </c>
      <c r="E847" s="46">
        <v>45216</v>
      </c>
      <c r="F847">
        <v>45</v>
      </c>
      <c r="G847">
        <v>4.4000000000000004</v>
      </c>
      <c r="H847">
        <v>2024</v>
      </c>
      <c r="I847" t="s">
        <v>1092</v>
      </c>
      <c r="J847" t="s">
        <v>1103</v>
      </c>
      <c r="K847">
        <v>4</v>
      </c>
      <c r="L847">
        <v>4</v>
      </c>
      <c r="M847">
        <v>45</v>
      </c>
    </row>
    <row r="848" spans="1:13" x14ac:dyDescent="0.25">
      <c r="A848" t="s">
        <v>870</v>
      </c>
      <c r="B848" t="s">
        <v>14</v>
      </c>
      <c r="C848">
        <v>96</v>
      </c>
      <c r="D848" t="s">
        <v>6</v>
      </c>
      <c r="E848" s="46">
        <v>45216</v>
      </c>
      <c r="F848">
        <v>215</v>
      </c>
      <c r="G848">
        <v>4</v>
      </c>
      <c r="H848">
        <v>2024</v>
      </c>
      <c r="I848" t="s">
        <v>1092</v>
      </c>
      <c r="J848" t="s">
        <v>1099</v>
      </c>
      <c r="K848">
        <v>4</v>
      </c>
      <c r="L848">
        <v>3</v>
      </c>
      <c r="M848">
        <v>215</v>
      </c>
    </row>
    <row r="849" spans="1:13" x14ac:dyDescent="0.25">
      <c r="A849" t="s">
        <v>871</v>
      </c>
      <c r="B849" t="s">
        <v>18</v>
      </c>
      <c r="C849">
        <v>155</v>
      </c>
      <c r="D849" t="s">
        <v>6</v>
      </c>
      <c r="E849" s="46">
        <v>45217</v>
      </c>
      <c r="F849">
        <v>72</v>
      </c>
      <c r="G849">
        <v>4.7</v>
      </c>
      <c r="H849">
        <v>2024</v>
      </c>
      <c r="I849" t="s">
        <v>1093</v>
      </c>
      <c r="J849" t="s">
        <v>1103</v>
      </c>
      <c r="K849">
        <v>5</v>
      </c>
      <c r="L849">
        <v>4</v>
      </c>
      <c r="M849">
        <v>72</v>
      </c>
    </row>
    <row r="850" spans="1:13" x14ac:dyDescent="0.25">
      <c r="A850" t="s">
        <v>872</v>
      </c>
      <c r="B850" t="s">
        <v>21</v>
      </c>
      <c r="C850">
        <v>173</v>
      </c>
      <c r="D850" t="s">
        <v>11</v>
      </c>
      <c r="E850" s="46">
        <v>45217</v>
      </c>
      <c r="F850">
        <v>160</v>
      </c>
      <c r="G850">
        <v>2.8</v>
      </c>
      <c r="H850">
        <v>2024</v>
      </c>
      <c r="I850" t="s">
        <v>1093</v>
      </c>
      <c r="J850" t="s">
        <v>1103</v>
      </c>
      <c r="K850">
        <v>3</v>
      </c>
      <c r="L850">
        <v>4</v>
      </c>
      <c r="M850">
        <v>160</v>
      </c>
    </row>
    <row r="851" spans="1:13" x14ac:dyDescent="0.25">
      <c r="A851" t="s">
        <v>873</v>
      </c>
      <c r="B851" t="s">
        <v>18</v>
      </c>
      <c r="C851">
        <v>127</v>
      </c>
      <c r="D851" t="s">
        <v>6</v>
      </c>
      <c r="E851" s="46">
        <v>45217</v>
      </c>
      <c r="F851">
        <v>165</v>
      </c>
      <c r="G851">
        <v>2.5</v>
      </c>
      <c r="H851">
        <v>2024</v>
      </c>
      <c r="I851" t="s">
        <v>1093</v>
      </c>
      <c r="J851" t="s">
        <v>1103</v>
      </c>
      <c r="K851">
        <v>3</v>
      </c>
      <c r="L851">
        <v>4</v>
      </c>
      <c r="M851">
        <v>165</v>
      </c>
    </row>
    <row r="852" spans="1:13" x14ac:dyDescent="0.25">
      <c r="A852" t="s">
        <v>874</v>
      </c>
      <c r="B852" t="s">
        <v>12</v>
      </c>
      <c r="C852">
        <v>117</v>
      </c>
      <c r="D852" t="s">
        <v>11</v>
      </c>
      <c r="E852" s="46">
        <v>45217</v>
      </c>
      <c r="F852">
        <v>120</v>
      </c>
      <c r="G852">
        <v>3.4</v>
      </c>
      <c r="H852">
        <v>2024</v>
      </c>
      <c r="I852" t="s">
        <v>1093</v>
      </c>
      <c r="J852" t="s">
        <v>1099</v>
      </c>
      <c r="K852">
        <v>3</v>
      </c>
      <c r="L852">
        <v>3</v>
      </c>
      <c r="M852">
        <v>120</v>
      </c>
    </row>
    <row r="853" spans="1:13" x14ac:dyDescent="0.25">
      <c r="A853" t="s">
        <v>875</v>
      </c>
      <c r="B853" t="s">
        <v>20</v>
      </c>
      <c r="C853">
        <v>133</v>
      </c>
      <c r="D853" t="s">
        <v>9</v>
      </c>
      <c r="E853" s="46">
        <v>45217</v>
      </c>
      <c r="F853">
        <v>117</v>
      </c>
      <c r="G853">
        <v>4.8</v>
      </c>
      <c r="H853">
        <v>2024</v>
      </c>
      <c r="I853" t="s">
        <v>1093</v>
      </c>
      <c r="J853" t="s">
        <v>1103</v>
      </c>
      <c r="K853">
        <v>5</v>
      </c>
      <c r="L853">
        <v>4</v>
      </c>
      <c r="M853">
        <v>117</v>
      </c>
    </row>
    <row r="854" spans="1:13" x14ac:dyDescent="0.25">
      <c r="A854" t="s">
        <v>876</v>
      </c>
      <c r="B854" t="s">
        <v>24</v>
      </c>
      <c r="C854">
        <v>166</v>
      </c>
      <c r="D854" t="s">
        <v>13</v>
      </c>
      <c r="E854" s="46">
        <v>45218</v>
      </c>
      <c r="F854">
        <v>29</v>
      </c>
      <c r="G854">
        <v>4.3</v>
      </c>
      <c r="H854">
        <v>2024</v>
      </c>
      <c r="I854" t="s">
        <v>1094</v>
      </c>
      <c r="J854" t="s">
        <v>1103</v>
      </c>
      <c r="K854">
        <v>4</v>
      </c>
      <c r="L854">
        <v>4</v>
      </c>
      <c r="M854">
        <v>29</v>
      </c>
    </row>
    <row r="855" spans="1:13" x14ac:dyDescent="0.25">
      <c r="A855" t="s">
        <v>877</v>
      </c>
      <c r="B855" t="s">
        <v>20</v>
      </c>
      <c r="C855">
        <v>50</v>
      </c>
      <c r="D855" t="s">
        <v>11</v>
      </c>
      <c r="E855" s="46">
        <v>45218</v>
      </c>
      <c r="F855">
        <v>64</v>
      </c>
      <c r="G855">
        <v>4.5</v>
      </c>
      <c r="H855">
        <v>2024</v>
      </c>
      <c r="I855" t="s">
        <v>1094</v>
      </c>
      <c r="J855" t="s">
        <v>1099</v>
      </c>
      <c r="K855">
        <v>5</v>
      </c>
      <c r="L855">
        <v>3</v>
      </c>
      <c r="M855">
        <v>64</v>
      </c>
    </row>
    <row r="856" spans="1:13" x14ac:dyDescent="0.25">
      <c r="A856" t="s">
        <v>878</v>
      </c>
      <c r="B856" t="s">
        <v>19</v>
      </c>
      <c r="C856">
        <v>43</v>
      </c>
      <c r="D856" t="s">
        <v>9</v>
      </c>
      <c r="E856" s="46">
        <v>45218</v>
      </c>
      <c r="F856">
        <v>84</v>
      </c>
      <c r="G856">
        <v>3.6</v>
      </c>
      <c r="H856">
        <v>2024</v>
      </c>
      <c r="I856" t="s">
        <v>1094</v>
      </c>
      <c r="J856" t="s">
        <v>1099</v>
      </c>
      <c r="K856">
        <v>4</v>
      </c>
      <c r="L856">
        <v>3</v>
      </c>
      <c r="M856">
        <v>84</v>
      </c>
    </row>
    <row r="857" spans="1:13" x14ac:dyDescent="0.25">
      <c r="A857" t="s">
        <v>879</v>
      </c>
      <c r="B857" t="s">
        <v>14</v>
      </c>
      <c r="C857">
        <v>124</v>
      </c>
      <c r="D857" t="s">
        <v>6</v>
      </c>
      <c r="E857" s="46">
        <v>45218</v>
      </c>
      <c r="F857">
        <v>42</v>
      </c>
      <c r="G857">
        <v>3.7</v>
      </c>
      <c r="H857">
        <v>2024</v>
      </c>
      <c r="I857" t="s">
        <v>1094</v>
      </c>
      <c r="J857" t="s">
        <v>1103</v>
      </c>
      <c r="K857">
        <v>4</v>
      </c>
      <c r="L857">
        <v>4</v>
      </c>
      <c r="M857">
        <v>42</v>
      </c>
    </row>
    <row r="858" spans="1:13" x14ac:dyDescent="0.25">
      <c r="A858" t="s">
        <v>880</v>
      </c>
      <c r="B858" t="s">
        <v>21</v>
      </c>
      <c r="C858">
        <v>94</v>
      </c>
      <c r="D858" t="s">
        <v>6</v>
      </c>
      <c r="E858" s="46">
        <v>45218</v>
      </c>
      <c r="F858">
        <v>120</v>
      </c>
      <c r="G858">
        <v>3.5</v>
      </c>
      <c r="H858">
        <v>2024</v>
      </c>
      <c r="I858" t="s">
        <v>1094</v>
      </c>
      <c r="J858" t="s">
        <v>1099</v>
      </c>
      <c r="K858">
        <v>4</v>
      </c>
      <c r="L858">
        <v>3</v>
      </c>
      <c r="M858">
        <v>120</v>
      </c>
    </row>
    <row r="859" spans="1:13" x14ac:dyDescent="0.25">
      <c r="A859" t="s">
        <v>881</v>
      </c>
      <c r="B859" t="s">
        <v>19</v>
      </c>
      <c r="C859">
        <v>126</v>
      </c>
      <c r="D859" t="s">
        <v>13</v>
      </c>
      <c r="E859" s="46">
        <v>45219</v>
      </c>
      <c r="F859">
        <v>80</v>
      </c>
      <c r="G859">
        <v>4.7</v>
      </c>
      <c r="H859">
        <v>2024</v>
      </c>
      <c r="I859" t="s">
        <v>1095</v>
      </c>
      <c r="J859" t="s">
        <v>1103</v>
      </c>
      <c r="K859">
        <v>5</v>
      </c>
      <c r="L859">
        <v>4</v>
      </c>
      <c r="M859">
        <v>80</v>
      </c>
    </row>
    <row r="860" spans="1:13" x14ac:dyDescent="0.25">
      <c r="A860" t="s">
        <v>882</v>
      </c>
      <c r="B860" t="s">
        <v>24</v>
      </c>
      <c r="C860">
        <v>105</v>
      </c>
      <c r="D860" t="s">
        <v>11</v>
      </c>
      <c r="E860" s="46">
        <v>45219</v>
      </c>
      <c r="F860">
        <v>185</v>
      </c>
      <c r="G860">
        <v>3.5</v>
      </c>
      <c r="H860">
        <v>2024</v>
      </c>
      <c r="I860" t="s">
        <v>1095</v>
      </c>
      <c r="J860" t="s">
        <v>1099</v>
      </c>
      <c r="K860">
        <v>4</v>
      </c>
      <c r="L860">
        <v>3</v>
      </c>
      <c r="M860">
        <v>185</v>
      </c>
    </row>
    <row r="861" spans="1:13" x14ac:dyDescent="0.25">
      <c r="A861" t="s">
        <v>883</v>
      </c>
      <c r="B861" t="s">
        <v>8</v>
      </c>
      <c r="C861">
        <v>60</v>
      </c>
      <c r="D861" t="s">
        <v>10</v>
      </c>
      <c r="E861" s="46">
        <v>45220</v>
      </c>
      <c r="F861">
        <v>135</v>
      </c>
      <c r="G861">
        <v>3.9</v>
      </c>
      <c r="H861">
        <v>2024</v>
      </c>
      <c r="I861" t="s">
        <v>1096</v>
      </c>
      <c r="J861" t="s">
        <v>1099</v>
      </c>
      <c r="K861">
        <v>4</v>
      </c>
      <c r="L861">
        <v>3</v>
      </c>
      <c r="M861">
        <v>135</v>
      </c>
    </row>
    <row r="862" spans="1:13" x14ac:dyDescent="0.25">
      <c r="A862" t="s">
        <v>884</v>
      </c>
      <c r="B862" t="s">
        <v>8</v>
      </c>
      <c r="C862">
        <v>72</v>
      </c>
      <c r="D862" t="s">
        <v>11</v>
      </c>
      <c r="E862" s="46">
        <v>45220</v>
      </c>
      <c r="F862">
        <v>20</v>
      </c>
      <c r="G862">
        <v>4.8</v>
      </c>
      <c r="H862">
        <v>2024</v>
      </c>
      <c r="I862" t="s">
        <v>1096</v>
      </c>
      <c r="J862" t="s">
        <v>1099</v>
      </c>
      <c r="K862">
        <v>5</v>
      </c>
      <c r="L862">
        <v>3</v>
      </c>
      <c r="M862">
        <v>20</v>
      </c>
    </row>
    <row r="863" spans="1:13" x14ac:dyDescent="0.25">
      <c r="A863" t="s">
        <v>885</v>
      </c>
      <c r="B863" t="s">
        <v>16</v>
      </c>
      <c r="C863">
        <v>40</v>
      </c>
      <c r="D863" t="s">
        <v>11</v>
      </c>
      <c r="E863" s="46">
        <v>45220</v>
      </c>
      <c r="F863">
        <v>31</v>
      </c>
      <c r="G863">
        <v>4</v>
      </c>
      <c r="H863">
        <v>2024</v>
      </c>
      <c r="I863" t="s">
        <v>1096</v>
      </c>
      <c r="J863" t="s">
        <v>1099</v>
      </c>
      <c r="K863">
        <v>4</v>
      </c>
      <c r="L863">
        <v>3</v>
      </c>
      <c r="M863">
        <v>31</v>
      </c>
    </row>
    <row r="864" spans="1:13" x14ac:dyDescent="0.25">
      <c r="A864" t="s">
        <v>886</v>
      </c>
      <c r="B864" t="s">
        <v>5</v>
      </c>
      <c r="C864">
        <v>54</v>
      </c>
      <c r="D864" t="s">
        <v>13</v>
      </c>
      <c r="E864" s="46">
        <v>45221</v>
      </c>
      <c r="F864">
        <v>120</v>
      </c>
      <c r="G864">
        <v>4.7</v>
      </c>
      <c r="H864">
        <v>2024</v>
      </c>
      <c r="I864" t="s">
        <v>1090</v>
      </c>
      <c r="J864" t="s">
        <v>1099</v>
      </c>
      <c r="K864">
        <v>5</v>
      </c>
      <c r="L864">
        <v>3</v>
      </c>
      <c r="M864">
        <v>120</v>
      </c>
    </row>
    <row r="865" spans="1:13" x14ac:dyDescent="0.25">
      <c r="A865" t="s">
        <v>887</v>
      </c>
      <c r="B865" t="s">
        <v>12</v>
      </c>
      <c r="C865">
        <v>81</v>
      </c>
      <c r="D865" t="s">
        <v>9</v>
      </c>
      <c r="E865" s="46">
        <v>45221</v>
      </c>
      <c r="F865">
        <v>117</v>
      </c>
      <c r="G865">
        <v>3.6</v>
      </c>
      <c r="H865">
        <v>2024</v>
      </c>
      <c r="I865" t="s">
        <v>1090</v>
      </c>
      <c r="J865" t="s">
        <v>1099</v>
      </c>
      <c r="K865">
        <v>4</v>
      </c>
      <c r="L865">
        <v>3</v>
      </c>
      <c r="M865">
        <v>117</v>
      </c>
    </row>
    <row r="866" spans="1:13" x14ac:dyDescent="0.25">
      <c r="A866" t="s">
        <v>888</v>
      </c>
      <c r="B866" t="s">
        <v>5</v>
      </c>
      <c r="C866">
        <v>76</v>
      </c>
      <c r="D866" t="s">
        <v>6</v>
      </c>
      <c r="E866" s="46">
        <v>45221</v>
      </c>
      <c r="F866">
        <v>80</v>
      </c>
      <c r="G866">
        <v>4.5</v>
      </c>
      <c r="H866">
        <v>2024</v>
      </c>
      <c r="I866" t="s">
        <v>1090</v>
      </c>
      <c r="J866" t="s">
        <v>1099</v>
      </c>
      <c r="K866">
        <v>5</v>
      </c>
      <c r="L866">
        <v>3</v>
      </c>
      <c r="M866">
        <v>80</v>
      </c>
    </row>
    <row r="867" spans="1:13" x14ac:dyDescent="0.25">
      <c r="A867" t="s">
        <v>889</v>
      </c>
      <c r="B867" t="s">
        <v>5</v>
      </c>
      <c r="C867">
        <v>37</v>
      </c>
      <c r="D867" t="s">
        <v>10</v>
      </c>
      <c r="E867" s="46">
        <v>45222</v>
      </c>
      <c r="F867">
        <v>117</v>
      </c>
      <c r="G867">
        <v>4</v>
      </c>
      <c r="H867">
        <v>2024</v>
      </c>
      <c r="I867" t="s">
        <v>1091</v>
      </c>
      <c r="J867" t="s">
        <v>1099</v>
      </c>
      <c r="K867">
        <v>4</v>
      </c>
      <c r="L867">
        <v>3</v>
      </c>
      <c r="M867">
        <v>117</v>
      </c>
    </row>
    <row r="868" spans="1:13" x14ac:dyDescent="0.25">
      <c r="A868" t="s">
        <v>890</v>
      </c>
      <c r="B868" t="s">
        <v>24</v>
      </c>
      <c r="C868">
        <v>96</v>
      </c>
      <c r="D868" t="s">
        <v>13</v>
      </c>
      <c r="E868" s="46">
        <v>45222</v>
      </c>
      <c r="F868">
        <v>60</v>
      </c>
      <c r="G868">
        <v>4.5</v>
      </c>
      <c r="H868">
        <v>2024</v>
      </c>
      <c r="I868" t="s">
        <v>1091</v>
      </c>
      <c r="J868" t="s">
        <v>1099</v>
      </c>
      <c r="K868">
        <v>5</v>
      </c>
      <c r="L868">
        <v>3</v>
      </c>
      <c r="M868">
        <v>60</v>
      </c>
    </row>
    <row r="869" spans="1:13" x14ac:dyDescent="0.25">
      <c r="A869" t="s">
        <v>891</v>
      </c>
      <c r="B869" t="s">
        <v>8</v>
      </c>
      <c r="C869">
        <v>19</v>
      </c>
      <c r="D869" t="s">
        <v>6</v>
      </c>
      <c r="E869" s="46">
        <v>45223</v>
      </c>
      <c r="F869">
        <v>58</v>
      </c>
      <c r="G869">
        <v>3.9</v>
      </c>
      <c r="H869">
        <v>2024</v>
      </c>
      <c r="I869" t="s">
        <v>1092</v>
      </c>
      <c r="J869" t="s">
        <v>1100</v>
      </c>
      <c r="K869">
        <v>4</v>
      </c>
      <c r="L869">
        <v>2</v>
      </c>
      <c r="M869">
        <v>58</v>
      </c>
    </row>
    <row r="870" spans="1:13" x14ac:dyDescent="0.25">
      <c r="A870" t="s">
        <v>892</v>
      </c>
      <c r="B870" t="s">
        <v>16</v>
      </c>
      <c r="C870">
        <v>72</v>
      </c>
      <c r="D870" t="s">
        <v>10</v>
      </c>
      <c r="E870" s="46">
        <v>45223</v>
      </c>
      <c r="F870">
        <v>41</v>
      </c>
      <c r="G870">
        <v>4.3</v>
      </c>
      <c r="H870">
        <v>2024</v>
      </c>
      <c r="I870" t="s">
        <v>1092</v>
      </c>
      <c r="J870" t="s">
        <v>1099</v>
      </c>
      <c r="K870">
        <v>4</v>
      </c>
      <c r="L870">
        <v>3</v>
      </c>
      <c r="M870">
        <v>41</v>
      </c>
    </row>
    <row r="871" spans="1:13" x14ac:dyDescent="0.25">
      <c r="A871" t="s">
        <v>893</v>
      </c>
      <c r="B871" t="s">
        <v>21</v>
      </c>
      <c r="C871">
        <v>73</v>
      </c>
      <c r="D871" t="s">
        <v>9</v>
      </c>
      <c r="E871" s="46">
        <v>45223</v>
      </c>
      <c r="F871">
        <v>180</v>
      </c>
      <c r="G871">
        <v>3.6</v>
      </c>
      <c r="H871">
        <v>2024</v>
      </c>
      <c r="I871" t="s">
        <v>1092</v>
      </c>
      <c r="J871" t="s">
        <v>1099</v>
      </c>
      <c r="K871">
        <v>4</v>
      </c>
      <c r="L871">
        <v>3</v>
      </c>
      <c r="M871">
        <v>180</v>
      </c>
    </row>
    <row r="872" spans="1:13" x14ac:dyDescent="0.25">
      <c r="A872" t="s">
        <v>894</v>
      </c>
      <c r="B872" t="s">
        <v>17</v>
      </c>
      <c r="C872">
        <v>87</v>
      </c>
      <c r="D872" t="s">
        <v>9</v>
      </c>
      <c r="E872" s="46">
        <v>45223</v>
      </c>
      <c r="F872">
        <v>42</v>
      </c>
      <c r="G872">
        <v>3.6</v>
      </c>
      <c r="H872">
        <v>2024</v>
      </c>
      <c r="I872" t="s">
        <v>1092</v>
      </c>
      <c r="J872" t="s">
        <v>1099</v>
      </c>
      <c r="K872">
        <v>4</v>
      </c>
      <c r="L872">
        <v>3</v>
      </c>
      <c r="M872">
        <v>42</v>
      </c>
    </row>
    <row r="873" spans="1:13" x14ac:dyDescent="0.25">
      <c r="A873" t="s">
        <v>895</v>
      </c>
      <c r="B873" t="s">
        <v>17</v>
      </c>
      <c r="C873">
        <v>68</v>
      </c>
      <c r="D873" t="s">
        <v>9</v>
      </c>
      <c r="E873" s="46">
        <v>45224</v>
      </c>
      <c r="F873">
        <v>24</v>
      </c>
      <c r="G873">
        <v>4</v>
      </c>
      <c r="H873">
        <v>2024</v>
      </c>
      <c r="I873" t="s">
        <v>1093</v>
      </c>
      <c r="J873" t="s">
        <v>1099</v>
      </c>
      <c r="K873">
        <v>4</v>
      </c>
      <c r="L873">
        <v>3</v>
      </c>
      <c r="M873">
        <v>24</v>
      </c>
    </row>
    <row r="874" spans="1:13" x14ac:dyDescent="0.25">
      <c r="A874" t="s">
        <v>896</v>
      </c>
      <c r="B874" t="s">
        <v>16</v>
      </c>
      <c r="C874">
        <v>101</v>
      </c>
      <c r="D874" t="s">
        <v>9</v>
      </c>
      <c r="E874" s="46">
        <v>45224</v>
      </c>
      <c r="F874">
        <v>125</v>
      </c>
      <c r="G874">
        <v>4.2</v>
      </c>
      <c r="H874">
        <v>2024</v>
      </c>
      <c r="I874" t="s">
        <v>1093</v>
      </c>
      <c r="J874" t="s">
        <v>1099</v>
      </c>
      <c r="K874">
        <v>4</v>
      </c>
      <c r="L874">
        <v>3</v>
      </c>
      <c r="M874">
        <v>125</v>
      </c>
    </row>
    <row r="875" spans="1:13" x14ac:dyDescent="0.25">
      <c r="A875" t="s">
        <v>897</v>
      </c>
      <c r="B875" t="s">
        <v>16</v>
      </c>
      <c r="C875">
        <v>107</v>
      </c>
      <c r="D875" t="s">
        <v>10</v>
      </c>
      <c r="E875" s="46">
        <v>45225</v>
      </c>
      <c r="F875">
        <v>78</v>
      </c>
      <c r="G875">
        <v>4.3</v>
      </c>
      <c r="H875">
        <v>2024</v>
      </c>
      <c r="I875" t="s">
        <v>1094</v>
      </c>
      <c r="J875" t="s">
        <v>1099</v>
      </c>
      <c r="K875">
        <v>4</v>
      </c>
      <c r="L875">
        <v>3</v>
      </c>
      <c r="M875">
        <v>78</v>
      </c>
    </row>
    <row r="876" spans="1:13" x14ac:dyDescent="0.25">
      <c r="A876" t="s">
        <v>898</v>
      </c>
      <c r="B876" t="s">
        <v>22</v>
      </c>
      <c r="C876">
        <v>109</v>
      </c>
      <c r="D876" t="s">
        <v>11</v>
      </c>
      <c r="E876" s="46">
        <v>45225</v>
      </c>
      <c r="F876">
        <v>180</v>
      </c>
      <c r="G876">
        <v>3.8</v>
      </c>
      <c r="H876">
        <v>2024</v>
      </c>
      <c r="I876" t="s">
        <v>1094</v>
      </c>
      <c r="J876" t="s">
        <v>1099</v>
      </c>
      <c r="K876">
        <v>4</v>
      </c>
      <c r="L876">
        <v>3</v>
      </c>
      <c r="M876">
        <v>180</v>
      </c>
    </row>
    <row r="877" spans="1:13" x14ac:dyDescent="0.25">
      <c r="A877" t="s">
        <v>899</v>
      </c>
      <c r="B877" t="s">
        <v>14</v>
      </c>
      <c r="C877">
        <v>171</v>
      </c>
      <c r="D877" t="s">
        <v>10</v>
      </c>
      <c r="E877" s="46">
        <v>45225</v>
      </c>
      <c r="F877">
        <v>84</v>
      </c>
      <c r="G877">
        <v>4.4000000000000004</v>
      </c>
      <c r="H877">
        <v>2024</v>
      </c>
      <c r="I877" t="s">
        <v>1094</v>
      </c>
      <c r="J877" t="s">
        <v>1103</v>
      </c>
      <c r="K877">
        <v>4</v>
      </c>
      <c r="L877">
        <v>4</v>
      </c>
      <c r="M877">
        <v>84</v>
      </c>
    </row>
    <row r="878" spans="1:13" x14ac:dyDescent="0.25">
      <c r="A878" t="s">
        <v>900</v>
      </c>
      <c r="B878" t="s">
        <v>8</v>
      </c>
      <c r="C878">
        <v>21</v>
      </c>
      <c r="D878" t="s">
        <v>10</v>
      </c>
      <c r="E878" s="46">
        <v>45225</v>
      </c>
      <c r="F878">
        <v>26</v>
      </c>
      <c r="G878">
        <v>4.7</v>
      </c>
      <c r="H878">
        <v>2024</v>
      </c>
      <c r="I878" t="s">
        <v>1094</v>
      </c>
      <c r="J878" t="s">
        <v>1100</v>
      </c>
      <c r="K878">
        <v>5</v>
      </c>
      <c r="L878">
        <v>2</v>
      </c>
      <c r="M878">
        <v>26</v>
      </c>
    </row>
    <row r="879" spans="1:13" x14ac:dyDescent="0.25">
      <c r="A879" t="s">
        <v>901</v>
      </c>
      <c r="B879" t="s">
        <v>12</v>
      </c>
      <c r="C879">
        <v>94</v>
      </c>
      <c r="D879" t="s">
        <v>10</v>
      </c>
      <c r="E879" s="46">
        <v>45226</v>
      </c>
      <c r="F879">
        <v>140</v>
      </c>
      <c r="G879">
        <v>3.6</v>
      </c>
      <c r="H879">
        <v>2024</v>
      </c>
      <c r="I879" t="s">
        <v>1095</v>
      </c>
      <c r="J879" t="s">
        <v>1099</v>
      </c>
      <c r="K879">
        <v>4</v>
      </c>
      <c r="L879">
        <v>3</v>
      </c>
      <c r="M879">
        <v>140</v>
      </c>
    </row>
    <row r="880" spans="1:13" x14ac:dyDescent="0.25">
      <c r="A880" t="s">
        <v>902</v>
      </c>
      <c r="B880" t="s">
        <v>21</v>
      </c>
      <c r="C880">
        <v>97</v>
      </c>
      <c r="D880" t="s">
        <v>11</v>
      </c>
      <c r="E880" s="46">
        <v>45226</v>
      </c>
      <c r="F880">
        <v>31</v>
      </c>
      <c r="G880">
        <v>2.2000000000000002</v>
      </c>
      <c r="H880">
        <v>2024</v>
      </c>
      <c r="I880" t="s">
        <v>1095</v>
      </c>
      <c r="J880" t="s">
        <v>1099</v>
      </c>
      <c r="K880">
        <v>2</v>
      </c>
      <c r="L880">
        <v>3</v>
      </c>
      <c r="M880">
        <v>31</v>
      </c>
    </row>
    <row r="881" spans="1:13" x14ac:dyDescent="0.25">
      <c r="A881" t="s">
        <v>903</v>
      </c>
      <c r="B881" t="s">
        <v>24</v>
      </c>
      <c r="C881">
        <v>72</v>
      </c>
      <c r="D881" t="s">
        <v>11</v>
      </c>
      <c r="E881" s="46">
        <v>45226</v>
      </c>
      <c r="F881">
        <v>108</v>
      </c>
      <c r="G881">
        <v>4.8</v>
      </c>
      <c r="H881">
        <v>2024</v>
      </c>
      <c r="I881" t="s">
        <v>1095</v>
      </c>
      <c r="J881" t="s">
        <v>1099</v>
      </c>
      <c r="K881">
        <v>5</v>
      </c>
      <c r="L881">
        <v>3</v>
      </c>
      <c r="M881">
        <v>108</v>
      </c>
    </row>
    <row r="882" spans="1:13" x14ac:dyDescent="0.25">
      <c r="A882" t="s">
        <v>904</v>
      </c>
      <c r="B882" t="s">
        <v>14</v>
      </c>
      <c r="C882">
        <v>143</v>
      </c>
      <c r="D882" t="s">
        <v>13</v>
      </c>
      <c r="E882" s="46">
        <v>45227</v>
      </c>
      <c r="F882">
        <v>58</v>
      </c>
      <c r="G882">
        <v>4.3</v>
      </c>
      <c r="H882">
        <v>2024</v>
      </c>
      <c r="I882" t="s">
        <v>1096</v>
      </c>
      <c r="J882" t="s">
        <v>1103</v>
      </c>
      <c r="K882">
        <v>4</v>
      </c>
      <c r="L882">
        <v>4</v>
      </c>
      <c r="M882">
        <v>58</v>
      </c>
    </row>
    <row r="883" spans="1:13" x14ac:dyDescent="0.25">
      <c r="A883" t="s">
        <v>905</v>
      </c>
      <c r="B883" t="s">
        <v>14</v>
      </c>
      <c r="C883">
        <v>64</v>
      </c>
      <c r="D883" t="s">
        <v>11</v>
      </c>
      <c r="E883" s="46">
        <v>45227</v>
      </c>
      <c r="F883">
        <v>185</v>
      </c>
      <c r="G883">
        <v>2.2000000000000002</v>
      </c>
      <c r="H883">
        <v>2024</v>
      </c>
      <c r="I883" t="s">
        <v>1096</v>
      </c>
      <c r="J883" t="s">
        <v>1099</v>
      </c>
      <c r="K883">
        <v>2</v>
      </c>
      <c r="L883">
        <v>3</v>
      </c>
      <c r="M883">
        <v>185</v>
      </c>
    </row>
    <row r="884" spans="1:13" x14ac:dyDescent="0.25">
      <c r="A884" t="s">
        <v>906</v>
      </c>
      <c r="B884" t="s">
        <v>14</v>
      </c>
      <c r="C884">
        <v>69</v>
      </c>
      <c r="D884" t="s">
        <v>11</v>
      </c>
      <c r="E884" s="46">
        <v>45227</v>
      </c>
      <c r="F884">
        <v>40</v>
      </c>
      <c r="G884">
        <v>4.8</v>
      </c>
      <c r="H884">
        <v>2024</v>
      </c>
      <c r="I884" t="s">
        <v>1096</v>
      </c>
      <c r="J884" t="s">
        <v>1099</v>
      </c>
      <c r="K884">
        <v>5</v>
      </c>
      <c r="L884">
        <v>3</v>
      </c>
      <c r="M884">
        <v>40</v>
      </c>
    </row>
    <row r="885" spans="1:13" x14ac:dyDescent="0.25">
      <c r="A885" t="s">
        <v>907</v>
      </c>
      <c r="B885" t="s">
        <v>14</v>
      </c>
      <c r="C885">
        <v>18</v>
      </c>
      <c r="D885" t="s">
        <v>6</v>
      </c>
      <c r="E885" s="46">
        <v>45227</v>
      </c>
      <c r="F885">
        <v>225</v>
      </c>
      <c r="G885">
        <v>2.6</v>
      </c>
      <c r="H885">
        <v>2024</v>
      </c>
      <c r="I885" t="s">
        <v>1096</v>
      </c>
      <c r="J885" t="s">
        <v>1100</v>
      </c>
      <c r="K885">
        <v>3</v>
      </c>
      <c r="L885">
        <v>2</v>
      </c>
      <c r="M885">
        <v>225</v>
      </c>
    </row>
    <row r="886" spans="1:13" x14ac:dyDescent="0.25">
      <c r="A886" t="s">
        <v>908</v>
      </c>
      <c r="B886" t="s">
        <v>21</v>
      </c>
      <c r="C886">
        <v>100</v>
      </c>
      <c r="D886" t="s">
        <v>13</v>
      </c>
      <c r="E886" s="46">
        <v>45227</v>
      </c>
      <c r="F886">
        <v>150</v>
      </c>
      <c r="G886">
        <v>2.6</v>
      </c>
      <c r="H886">
        <v>2024</v>
      </c>
      <c r="I886" t="s">
        <v>1096</v>
      </c>
      <c r="J886" t="s">
        <v>1099</v>
      </c>
      <c r="K886">
        <v>3</v>
      </c>
      <c r="L886">
        <v>3</v>
      </c>
      <c r="M886">
        <v>150</v>
      </c>
    </row>
    <row r="887" spans="1:13" x14ac:dyDescent="0.25">
      <c r="A887" t="s">
        <v>909</v>
      </c>
      <c r="B887" t="s">
        <v>18</v>
      </c>
      <c r="C887">
        <v>110</v>
      </c>
      <c r="D887" t="s">
        <v>9</v>
      </c>
      <c r="E887" s="46">
        <v>45228</v>
      </c>
      <c r="F887">
        <v>88</v>
      </c>
      <c r="G887">
        <v>3.4</v>
      </c>
      <c r="H887">
        <v>2024</v>
      </c>
      <c r="I887" t="s">
        <v>1090</v>
      </c>
      <c r="J887" t="s">
        <v>1099</v>
      </c>
      <c r="K887">
        <v>3</v>
      </c>
      <c r="L887">
        <v>3</v>
      </c>
      <c r="M887">
        <v>88</v>
      </c>
    </row>
    <row r="888" spans="1:13" x14ac:dyDescent="0.25">
      <c r="A888" t="s">
        <v>910</v>
      </c>
      <c r="B888" t="s">
        <v>7</v>
      </c>
      <c r="C888">
        <v>41</v>
      </c>
      <c r="D888" t="s">
        <v>10</v>
      </c>
      <c r="E888" s="46">
        <v>45228</v>
      </c>
      <c r="F888">
        <v>140</v>
      </c>
      <c r="G888">
        <v>3.7</v>
      </c>
      <c r="H888">
        <v>2024</v>
      </c>
      <c r="I888" t="s">
        <v>1090</v>
      </c>
      <c r="J888" t="s">
        <v>1099</v>
      </c>
      <c r="K888">
        <v>4</v>
      </c>
      <c r="L888">
        <v>3</v>
      </c>
      <c r="M888">
        <v>140</v>
      </c>
    </row>
    <row r="889" spans="1:13" x14ac:dyDescent="0.25">
      <c r="A889" t="s">
        <v>911</v>
      </c>
      <c r="B889" t="s">
        <v>18</v>
      </c>
      <c r="C889">
        <v>147</v>
      </c>
      <c r="D889" t="s">
        <v>9</v>
      </c>
      <c r="E889" s="46">
        <v>45228</v>
      </c>
      <c r="F889">
        <v>68</v>
      </c>
      <c r="G889">
        <v>2.1</v>
      </c>
      <c r="H889">
        <v>2024</v>
      </c>
      <c r="I889" t="s">
        <v>1090</v>
      </c>
      <c r="J889" t="s">
        <v>1103</v>
      </c>
      <c r="K889">
        <v>2</v>
      </c>
      <c r="L889">
        <v>4</v>
      </c>
      <c r="M889">
        <v>68</v>
      </c>
    </row>
    <row r="890" spans="1:13" x14ac:dyDescent="0.25">
      <c r="A890" t="s">
        <v>912</v>
      </c>
      <c r="B890" t="s">
        <v>12</v>
      </c>
      <c r="C890">
        <v>31</v>
      </c>
      <c r="D890" t="s">
        <v>6</v>
      </c>
      <c r="E890" s="46">
        <v>45229</v>
      </c>
      <c r="F890">
        <v>105</v>
      </c>
      <c r="G890">
        <v>3.6</v>
      </c>
      <c r="H890">
        <v>2024</v>
      </c>
      <c r="I890" t="s">
        <v>1091</v>
      </c>
      <c r="J890" t="s">
        <v>1099</v>
      </c>
      <c r="K890">
        <v>4</v>
      </c>
      <c r="L890">
        <v>3</v>
      </c>
      <c r="M890">
        <v>105</v>
      </c>
    </row>
    <row r="891" spans="1:13" x14ac:dyDescent="0.25">
      <c r="A891" t="s">
        <v>913</v>
      </c>
      <c r="B891" t="s">
        <v>17</v>
      </c>
      <c r="C891">
        <v>142</v>
      </c>
      <c r="D891" t="s">
        <v>10</v>
      </c>
      <c r="E891" s="46">
        <v>45229</v>
      </c>
      <c r="F891">
        <v>40</v>
      </c>
      <c r="G891">
        <v>3.8</v>
      </c>
      <c r="H891">
        <v>2024</v>
      </c>
      <c r="I891" t="s">
        <v>1091</v>
      </c>
      <c r="J891" t="s">
        <v>1103</v>
      </c>
      <c r="K891">
        <v>4</v>
      </c>
      <c r="L891">
        <v>4</v>
      </c>
      <c r="M891">
        <v>40</v>
      </c>
    </row>
    <row r="892" spans="1:13" x14ac:dyDescent="0.25">
      <c r="A892" t="s">
        <v>914</v>
      </c>
      <c r="B892" t="s">
        <v>22</v>
      </c>
      <c r="C892">
        <v>61</v>
      </c>
      <c r="D892" t="s">
        <v>10</v>
      </c>
      <c r="E892" s="46">
        <v>45229</v>
      </c>
      <c r="F892">
        <v>82</v>
      </c>
      <c r="G892">
        <v>3.1</v>
      </c>
      <c r="H892">
        <v>2024</v>
      </c>
      <c r="I892" t="s">
        <v>1091</v>
      </c>
      <c r="J892" t="s">
        <v>1099</v>
      </c>
      <c r="K892">
        <v>3</v>
      </c>
      <c r="L892">
        <v>3</v>
      </c>
      <c r="M892">
        <v>82</v>
      </c>
    </row>
    <row r="893" spans="1:13" x14ac:dyDescent="0.25">
      <c r="A893" t="s">
        <v>915</v>
      </c>
      <c r="B893" t="s">
        <v>20</v>
      </c>
      <c r="C893">
        <v>86</v>
      </c>
      <c r="D893" t="s">
        <v>6</v>
      </c>
      <c r="E893" s="46">
        <v>45230</v>
      </c>
      <c r="F893">
        <v>90</v>
      </c>
      <c r="G893">
        <v>4.4000000000000004</v>
      </c>
      <c r="H893">
        <v>2024</v>
      </c>
      <c r="I893" t="s">
        <v>1092</v>
      </c>
      <c r="J893" t="s">
        <v>1099</v>
      </c>
      <c r="K893">
        <v>4</v>
      </c>
      <c r="L893">
        <v>3</v>
      </c>
      <c r="M893">
        <v>90</v>
      </c>
    </row>
    <row r="894" spans="1:13" x14ac:dyDescent="0.25">
      <c r="A894" t="s">
        <v>916</v>
      </c>
      <c r="B894" t="s">
        <v>23</v>
      </c>
      <c r="C894">
        <v>165</v>
      </c>
      <c r="D894" t="s">
        <v>13</v>
      </c>
      <c r="E894" s="46">
        <v>45231</v>
      </c>
      <c r="F894">
        <v>66</v>
      </c>
      <c r="G894">
        <v>4.8</v>
      </c>
      <c r="H894">
        <v>2024</v>
      </c>
      <c r="I894" t="s">
        <v>1093</v>
      </c>
      <c r="J894" t="s">
        <v>1103</v>
      </c>
      <c r="K894">
        <v>5</v>
      </c>
      <c r="L894">
        <v>4</v>
      </c>
      <c r="M894">
        <v>66</v>
      </c>
    </row>
    <row r="895" spans="1:13" x14ac:dyDescent="0.25">
      <c r="A895" t="s">
        <v>917</v>
      </c>
      <c r="B895" t="s">
        <v>5</v>
      </c>
      <c r="C895">
        <v>62</v>
      </c>
      <c r="D895" t="s">
        <v>9</v>
      </c>
      <c r="E895" s="46">
        <v>45231</v>
      </c>
      <c r="F895">
        <v>78</v>
      </c>
      <c r="G895">
        <v>3.5</v>
      </c>
      <c r="H895">
        <v>2024</v>
      </c>
      <c r="I895" t="s">
        <v>1093</v>
      </c>
      <c r="J895" t="s">
        <v>1099</v>
      </c>
      <c r="K895">
        <v>4</v>
      </c>
      <c r="L895">
        <v>3</v>
      </c>
      <c r="M895">
        <v>78</v>
      </c>
    </row>
    <row r="896" spans="1:13" x14ac:dyDescent="0.25">
      <c r="A896" t="s">
        <v>918</v>
      </c>
      <c r="B896" t="s">
        <v>21</v>
      </c>
      <c r="C896">
        <v>103</v>
      </c>
      <c r="D896" t="s">
        <v>13</v>
      </c>
      <c r="E896" s="46">
        <v>45232</v>
      </c>
      <c r="F896">
        <v>66</v>
      </c>
      <c r="G896">
        <v>4.4000000000000004</v>
      </c>
      <c r="H896">
        <v>2024</v>
      </c>
      <c r="I896" t="s">
        <v>1094</v>
      </c>
      <c r="J896" t="s">
        <v>1099</v>
      </c>
      <c r="K896">
        <v>4</v>
      </c>
      <c r="L896">
        <v>3</v>
      </c>
      <c r="M896">
        <v>66</v>
      </c>
    </row>
    <row r="897" spans="1:13" x14ac:dyDescent="0.25">
      <c r="A897" t="s">
        <v>919</v>
      </c>
      <c r="B897" t="s">
        <v>17</v>
      </c>
      <c r="C897">
        <v>56</v>
      </c>
      <c r="D897" t="s">
        <v>6</v>
      </c>
      <c r="E897" s="46">
        <v>45233</v>
      </c>
      <c r="F897">
        <v>160</v>
      </c>
      <c r="G897">
        <v>3.8</v>
      </c>
      <c r="H897">
        <v>2024</v>
      </c>
      <c r="I897" t="s">
        <v>1095</v>
      </c>
      <c r="J897" t="s">
        <v>1099</v>
      </c>
      <c r="K897">
        <v>4</v>
      </c>
      <c r="L897">
        <v>3</v>
      </c>
      <c r="M897">
        <v>160</v>
      </c>
    </row>
    <row r="898" spans="1:13" x14ac:dyDescent="0.25">
      <c r="A898" t="s">
        <v>920</v>
      </c>
      <c r="B898" t="s">
        <v>16</v>
      </c>
      <c r="C898">
        <v>114</v>
      </c>
      <c r="D898" t="s">
        <v>10</v>
      </c>
      <c r="E898" s="46">
        <v>45234</v>
      </c>
      <c r="F898">
        <v>144</v>
      </c>
      <c r="G898">
        <v>3.8</v>
      </c>
      <c r="H898">
        <v>2024</v>
      </c>
      <c r="I898" t="s">
        <v>1096</v>
      </c>
      <c r="J898" t="s">
        <v>1099</v>
      </c>
      <c r="K898">
        <v>4</v>
      </c>
      <c r="L898">
        <v>3</v>
      </c>
      <c r="M898">
        <v>144</v>
      </c>
    </row>
    <row r="899" spans="1:13" x14ac:dyDescent="0.25">
      <c r="A899" t="s">
        <v>921</v>
      </c>
      <c r="B899" t="s">
        <v>17</v>
      </c>
      <c r="C899">
        <v>112</v>
      </c>
      <c r="D899" t="s">
        <v>11</v>
      </c>
      <c r="E899" s="46">
        <v>45234</v>
      </c>
      <c r="F899">
        <v>200</v>
      </c>
      <c r="G899">
        <v>4.5999999999999996</v>
      </c>
      <c r="H899">
        <v>2024</v>
      </c>
      <c r="I899" t="s">
        <v>1096</v>
      </c>
      <c r="J899" t="s">
        <v>1099</v>
      </c>
      <c r="K899">
        <v>5</v>
      </c>
      <c r="L899">
        <v>3</v>
      </c>
      <c r="M899">
        <v>200</v>
      </c>
    </row>
    <row r="900" spans="1:13" x14ac:dyDescent="0.25">
      <c r="A900" t="s">
        <v>922</v>
      </c>
      <c r="B900" t="s">
        <v>15</v>
      </c>
      <c r="C900">
        <v>52</v>
      </c>
      <c r="D900" t="s">
        <v>9</v>
      </c>
      <c r="E900" s="46">
        <v>45236</v>
      </c>
      <c r="F900">
        <v>220</v>
      </c>
      <c r="G900">
        <v>5</v>
      </c>
      <c r="H900">
        <v>2024</v>
      </c>
      <c r="I900" t="s">
        <v>1091</v>
      </c>
      <c r="J900" t="s">
        <v>1099</v>
      </c>
      <c r="K900">
        <v>5</v>
      </c>
      <c r="L900">
        <v>3</v>
      </c>
      <c r="M900">
        <v>220</v>
      </c>
    </row>
    <row r="901" spans="1:13" x14ac:dyDescent="0.25">
      <c r="A901" t="s">
        <v>923</v>
      </c>
      <c r="B901" t="s">
        <v>21</v>
      </c>
      <c r="C901">
        <v>105</v>
      </c>
      <c r="D901" t="s">
        <v>13</v>
      </c>
      <c r="E901" s="46">
        <v>45237</v>
      </c>
      <c r="F901">
        <v>112</v>
      </c>
      <c r="G901">
        <v>3.2</v>
      </c>
      <c r="H901">
        <v>2024</v>
      </c>
      <c r="I901" t="s">
        <v>1092</v>
      </c>
      <c r="J901" t="s">
        <v>1099</v>
      </c>
      <c r="K901">
        <v>3</v>
      </c>
      <c r="L901">
        <v>3</v>
      </c>
      <c r="M901">
        <v>112</v>
      </c>
    </row>
    <row r="902" spans="1:13" x14ac:dyDescent="0.25">
      <c r="A902" t="s">
        <v>924</v>
      </c>
      <c r="B902" t="s">
        <v>23</v>
      </c>
      <c r="C902">
        <v>91</v>
      </c>
      <c r="D902" t="s">
        <v>6</v>
      </c>
      <c r="E902" s="46">
        <v>45237</v>
      </c>
      <c r="F902">
        <v>110</v>
      </c>
      <c r="G902">
        <v>3.7</v>
      </c>
      <c r="H902">
        <v>2024</v>
      </c>
      <c r="I902" t="s">
        <v>1092</v>
      </c>
      <c r="J902" t="s">
        <v>1099</v>
      </c>
      <c r="K902">
        <v>4</v>
      </c>
      <c r="L902">
        <v>3</v>
      </c>
      <c r="M902">
        <v>110</v>
      </c>
    </row>
    <row r="903" spans="1:13" x14ac:dyDescent="0.25">
      <c r="A903" t="s">
        <v>925</v>
      </c>
      <c r="B903" t="s">
        <v>19</v>
      </c>
      <c r="C903">
        <v>74</v>
      </c>
      <c r="D903" t="s">
        <v>10</v>
      </c>
      <c r="E903" s="46">
        <v>45238</v>
      </c>
      <c r="F903">
        <v>160</v>
      </c>
      <c r="G903">
        <v>2.7</v>
      </c>
      <c r="H903">
        <v>2024</v>
      </c>
      <c r="I903" t="s">
        <v>1093</v>
      </c>
      <c r="J903" t="s">
        <v>1099</v>
      </c>
      <c r="K903">
        <v>3</v>
      </c>
      <c r="L903">
        <v>3</v>
      </c>
      <c r="M903">
        <v>160</v>
      </c>
    </row>
    <row r="904" spans="1:13" x14ac:dyDescent="0.25">
      <c r="A904" t="s">
        <v>926</v>
      </c>
      <c r="B904" t="s">
        <v>19</v>
      </c>
      <c r="C904">
        <v>30</v>
      </c>
      <c r="D904" t="s">
        <v>6</v>
      </c>
      <c r="E904" s="46">
        <v>45238</v>
      </c>
      <c r="F904">
        <v>84</v>
      </c>
      <c r="G904">
        <v>4</v>
      </c>
      <c r="H904">
        <v>2024</v>
      </c>
      <c r="I904" t="s">
        <v>1093</v>
      </c>
      <c r="J904" t="s">
        <v>1100</v>
      </c>
      <c r="K904">
        <v>4</v>
      </c>
      <c r="L904">
        <v>2</v>
      </c>
      <c r="M904">
        <v>84</v>
      </c>
    </row>
    <row r="905" spans="1:13" x14ac:dyDescent="0.25">
      <c r="A905" t="s">
        <v>927</v>
      </c>
      <c r="B905" t="s">
        <v>23</v>
      </c>
      <c r="C905">
        <v>56</v>
      </c>
      <c r="D905" t="s">
        <v>9</v>
      </c>
      <c r="E905" s="46">
        <v>45238</v>
      </c>
      <c r="F905">
        <v>124</v>
      </c>
      <c r="G905">
        <v>2.6</v>
      </c>
      <c r="H905">
        <v>2024</v>
      </c>
      <c r="I905" t="s">
        <v>1093</v>
      </c>
      <c r="J905" t="s">
        <v>1099</v>
      </c>
      <c r="K905">
        <v>3</v>
      </c>
      <c r="L905">
        <v>3</v>
      </c>
      <c r="M905">
        <v>124</v>
      </c>
    </row>
    <row r="906" spans="1:13" x14ac:dyDescent="0.25">
      <c r="A906" t="s">
        <v>928</v>
      </c>
      <c r="B906" t="s">
        <v>19</v>
      </c>
      <c r="C906">
        <v>151</v>
      </c>
      <c r="D906" t="s">
        <v>11</v>
      </c>
      <c r="E906" s="46">
        <v>45238</v>
      </c>
      <c r="F906">
        <v>84</v>
      </c>
      <c r="G906">
        <v>4.5999999999999996</v>
      </c>
      <c r="H906">
        <v>2024</v>
      </c>
      <c r="I906" t="s">
        <v>1093</v>
      </c>
      <c r="J906" t="s">
        <v>1103</v>
      </c>
      <c r="K906">
        <v>5</v>
      </c>
      <c r="L906">
        <v>4</v>
      </c>
      <c r="M906">
        <v>84</v>
      </c>
    </row>
    <row r="907" spans="1:13" x14ac:dyDescent="0.25">
      <c r="A907" t="s">
        <v>929</v>
      </c>
      <c r="B907" t="s">
        <v>12</v>
      </c>
      <c r="C907">
        <v>108</v>
      </c>
      <c r="D907" t="s">
        <v>13</v>
      </c>
      <c r="E907" s="46">
        <v>45239</v>
      </c>
      <c r="F907">
        <v>130</v>
      </c>
      <c r="G907">
        <v>2.7</v>
      </c>
      <c r="H907">
        <v>2024</v>
      </c>
      <c r="I907" t="s">
        <v>1094</v>
      </c>
      <c r="J907" t="s">
        <v>1099</v>
      </c>
      <c r="K907">
        <v>3</v>
      </c>
      <c r="L907">
        <v>3</v>
      </c>
      <c r="M907">
        <v>130</v>
      </c>
    </row>
    <row r="908" spans="1:13" x14ac:dyDescent="0.25">
      <c r="A908" t="s">
        <v>930</v>
      </c>
      <c r="B908" t="s">
        <v>16</v>
      </c>
      <c r="C908">
        <v>124</v>
      </c>
      <c r="D908" t="s">
        <v>10</v>
      </c>
      <c r="E908" s="46">
        <v>45239</v>
      </c>
      <c r="F908">
        <v>215</v>
      </c>
      <c r="G908">
        <v>3.5</v>
      </c>
      <c r="H908">
        <v>2024</v>
      </c>
      <c r="I908" t="s">
        <v>1094</v>
      </c>
      <c r="J908" t="s">
        <v>1103</v>
      </c>
      <c r="K908">
        <v>4</v>
      </c>
      <c r="L908">
        <v>4</v>
      </c>
      <c r="M908">
        <v>215</v>
      </c>
    </row>
    <row r="909" spans="1:13" x14ac:dyDescent="0.25">
      <c r="A909" t="s">
        <v>931</v>
      </c>
      <c r="B909" t="s">
        <v>21</v>
      </c>
      <c r="C909">
        <v>110</v>
      </c>
      <c r="D909" t="s">
        <v>9</v>
      </c>
      <c r="E909" s="46">
        <v>45240</v>
      </c>
      <c r="F909">
        <v>132</v>
      </c>
      <c r="G909">
        <v>3.6</v>
      </c>
      <c r="H909">
        <v>2024</v>
      </c>
      <c r="I909" t="s">
        <v>1095</v>
      </c>
      <c r="J909" t="s">
        <v>1099</v>
      </c>
      <c r="K909">
        <v>4</v>
      </c>
      <c r="L909">
        <v>3</v>
      </c>
      <c r="M909">
        <v>132</v>
      </c>
    </row>
    <row r="910" spans="1:13" x14ac:dyDescent="0.25">
      <c r="A910" t="s">
        <v>932</v>
      </c>
      <c r="B910" t="s">
        <v>18</v>
      </c>
      <c r="C910">
        <v>89</v>
      </c>
      <c r="D910" t="s">
        <v>13</v>
      </c>
      <c r="E910" s="46">
        <v>45240</v>
      </c>
      <c r="F910">
        <v>88</v>
      </c>
      <c r="G910">
        <v>4.9000000000000004</v>
      </c>
      <c r="H910">
        <v>2024</v>
      </c>
      <c r="I910" t="s">
        <v>1095</v>
      </c>
      <c r="J910" t="s">
        <v>1099</v>
      </c>
      <c r="K910">
        <v>5</v>
      </c>
      <c r="L910">
        <v>3</v>
      </c>
      <c r="M910">
        <v>88</v>
      </c>
    </row>
    <row r="911" spans="1:13" x14ac:dyDescent="0.25">
      <c r="A911" t="s">
        <v>933</v>
      </c>
      <c r="B911" t="s">
        <v>20</v>
      </c>
      <c r="C911">
        <v>95</v>
      </c>
      <c r="D911" t="s">
        <v>9</v>
      </c>
      <c r="E911" s="46">
        <v>45240</v>
      </c>
      <c r="F911">
        <v>140</v>
      </c>
      <c r="G911">
        <v>3.9</v>
      </c>
      <c r="H911">
        <v>2024</v>
      </c>
      <c r="I911" t="s">
        <v>1095</v>
      </c>
      <c r="J911" t="s">
        <v>1099</v>
      </c>
      <c r="K911">
        <v>4</v>
      </c>
      <c r="L911">
        <v>3</v>
      </c>
      <c r="M911">
        <v>140</v>
      </c>
    </row>
    <row r="912" spans="1:13" x14ac:dyDescent="0.25">
      <c r="A912" t="s">
        <v>934</v>
      </c>
      <c r="B912" t="s">
        <v>19</v>
      </c>
      <c r="C912">
        <v>84</v>
      </c>
      <c r="D912" t="s">
        <v>13</v>
      </c>
      <c r="E912" s="46">
        <v>45241</v>
      </c>
      <c r="F912">
        <v>66</v>
      </c>
      <c r="G912">
        <v>4.7</v>
      </c>
      <c r="H912">
        <v>2024</v>
      </c>
      <c r="I912" t="s">
        <v>1096</v>
      </c>
      <c r="J912" t="s">
        <v>1099</v>
      </c>
      <c r="K912">
        <v>5</v>
      </c>
      <c r="L912">
        <v>3</v>
      </c>
      <c r="M912">
        <v>66</v>
      </c>
    </row>
    <row r="913" spans="1:13" x14ac:dyDescent="0.25">
      <c r="A913" t="s">
        <v>935</v>
      </c>
      <c r="B913" t="s">
        <v>24</v>
      </c>
      <c r="C913">
        <v>89</v>
      </c>
      <c r="D913" t="s">
        <v>10</v>
      </c>
      <c r="E913" s="46">
        <v>45241</v>
      </c>
      <c r="F913">
        <v>23</v>
      </c>
      <c r="G913">
        <v>4.5</v>
      </c>
      <c r="H913">
        <v>2024</v>
      </c>
      <c r="I913" t="s">
        <v>1096</v>
      </c>
      <c r="J913" t="s">
        <v>1099</v>
      </c>
      <c r="K913">
        <v>5</v>
      </c>
      <c r="L913">
        <v>3</v>
      </c>
      <c r="M913">
        <v>23</v>
      </c>
    </row>
    <row r="914" spans="1:13" x14ac:dyDescent="0.25">
      <c r="A914" t="s">
        <v>936</v>
      </c>
      <c r="B914" t="s">
        <v>18</v>
      </c>
      <c r="C914">
        <v>146</v>
      </c>
      <c r="D914" t="s">
        <v>10</v>
      </c>
      <c r="E914" s="46">
        <v>45242</v>
      </c>
      <c r="F914">
        <v>220</v>
      </c>
      <c r="G914">
        <v>4.5</v>
      </c>
      <c r="H914">
        <v>2024</v>
      </c>
      <c r="I914" t="s">
        <v>1090</v>
      </c>
      <c r="J914" t="s">
        <v>1103</v>
      </c>
      <c r="K914">
        <v>5</v>
      </c>
      <c r="L914">
        <v>4</v>
      </c>
      <c r="M914">
        <v>220</v>
      </c>
    </row>
    <row r="915" spans="1:13" x14ac:dyDescent="0.25">
      <c r="A915" t="s">
        <v>937</v>
      </c>
      <c r="B915" t="s">
        <v>14</v>
      </c>
      <c r="C915">
        <v>62</v>
      </c>
      <c r="D915" t="s">
        <v>6</v>
      </c>
      <c r="E915" s="46">
        <v>45243</v>
      </c>
      <c r="F915">
        <v>175</v>
      </c>
      <c r="G915">
        <v>4.4000000000000004</v>
      </c>
      <c r="H915">
        <v>2024</v>
      </c>
      <c r="I915" t="s">
        <v>1091</v>
      </c>
      <c r="J915" t="s">
        <v>1099</v>
      </c>
      <c r="K915">
        <v>4</v>
      </c>
      <c r="L915">
        <v>3</v>
      </c>
      <c r="M915">
        <v>175</v>
      </c>
    </row>
    <row r="916" spans="1:13" x14ac:dyDescent="0.25">
      <c r="A916" t="s">
        <v>938</v>
      </c>
      <c r="B916" t="s">
        <v>17</v>
      </c>
      <c r="C916">
        <v>82</v>
      </c>
      <c r="D916" t="s">
        <v>10</v>
      </c>
      <c r="E916" s="46">
        <v>45243</v>
      </c>
      <c r="F916">
        <v>172</v>
      </c>
      <c r="G916">
        <v>4.0999999999999996</v>
      </c>
      <c r="H916">
        <v>2024</v>
      </c>
      <c r="I916" t="s">
        <v>1091</v>
      </c>
      <c r="J916" t="s">
        <v>1099</v>
      </c>
      <c r="K916">
        <v>4</v>
      </c>
      <c r="L916">
        <v>3</v>
      </c>
      <c r="M916">
        <v>172</v>
      </c>
    </row>
    <row r="917" spans="1:13" x14ac:dyDescent="0.25">
      <c r="A917" t="s">
        <v>939</v>
      </c>
      <c r="B917" t="s">
        <v>22</v>
      </c>
      <c r="C917">
        <v>91</v>
      </c>
      <c r="D917" t="s">
        <v>11</v>
      </c>
      <c r="E917" s="46">
        <v>45243</v>
      </c>
      <c r="F917">
        <v>108</v>
      </c>
      <c r="G917">
        <v>3.8</v>
      </c>
      <c r="H917">
        <v>2024</v>
      </c>
      <c r="I917" t="s">
        <v>1091</v>
      </c>
      <c r="J917" t="s">
        <v>1099</v>
      </c>
      <c r="K917">
        <v>4</v>
      </c>
      <c r="L917">
        <v>3</v>
      </c>
      <c r="M917">
        <v>108</v>
      </c>
    </row>
    <row r="918" spans="1:13" x14ac:dyDescent="0.25">
      <c r="A918" t="s">
        <v>940</v>
      </c>
      <c r="B918" t="s">
        <v>24</v>
      </c>
      <c r="C918">
        <v>39</v>
      </c>
      <c r="D918" t="s">
        <v>10</v>
      </c>
      <c r="E918" s="46">
        <v>45244</v>
      </c>
      <c r="F918">
        <v>43</v>
      </c>
      <c r="G918">
        <v>4.2</v>
      </c>
      <c r="H918">
        <v>2024</v>
      </c>
      <c r="I918" t="s">
        <v>1092</v>
      </c>
      <c r="J918" t="s">
        <v>1099</v>
      </c>
      <c r="K918">
        <v>4</v>
      </c>
      <c r="L918">
        <v>3</v>
      </c>
      <c r="M918">
        <v>43</v>
      </c>
    </row>
    <row r="919" spans="1:13" x14ac:dyDescent="0.25">
      <c r="A919" t="s">
        <v>941</v>
      </c>
      <c r="B919" t="s">
        <v>18</v>
      </c>
      <c r="C919">
        <v>149</v>
      </c>
      <c r="D919" t="s">
        <v>9</v>
      </c>
      <c r="E919" s="46">
        <v>45244</v>
      </c>
      <c r="F919">
        <v>44</v>
      </c>
      <c r="G919">
        <v>2.2000000000000002</v>
      </c>
      <c r="H919">
        <v>2024</v>
      </c>
      <c r="I919" t="s">
        <v>1092</v>
      </c>
      <c r="J919" t="s">
        <v>1103</v>
      </c>
      <c r="K919">
        <v>2</v>
      </c>
      <c r="L919">
        <v>4</v>
      </c>
      <c r="M919">
        <v>44</v>
      </c>
    </row>
    <row r="920" spans="1:13" x14ac:dyDescent="0.25">
      <c r="A920" t="s">
        <v>942</v>
      </c>
      <c r="B920" t="s">
        <v>17</v>
      </c>
      <c r="C920">
        <v>138</v>
      </c>
      <c r="D920" t="s">
        <v>6</v>
      </c>
      <c r="E920" s="46">
        <v>45244</v>
      </c>
      <c r="F920">
        <v>105</v>
      </c>
      <c r="G920">
        <v>3.9</v>
      </c>
      <c r="H920">
        <v>2024</v>
      </c>
      <c r="I920" t="s">
        <v>1092</v>
      </c>
      <c r="J920" t="s">
        <v>1103</v>
      </c>
      <c r="K920">
        <v>4</v>
      </c>
      <c r="L920">
        <v>4</v>
      </c>
      <c r="M920">
        <v>105</v>
      </c>
    </row>
    <row r="921" spans="1:13" x14ac:dyDescent="0.25">
      <c r="A921" t="s">
        <v>943</v>
      </c>
      <c r="B921" t="s">
        <v>14</v>
      </c>
      <c r="C921">
        <v>113</v>
      </c>
      <c r="D921" t="s">
        <v>9</v>
      </c>
      <c r="E921" s="46">
        <v>45245</v>
      </c>
      <c r="F921">
        <v>34</v>
      </c>
      <c r="G921">
        <v>3.9</v>
      </c>
      <c r="H921">
        <v>2024</v>
      </c>
      <c r="I921" t="s">
        <v>1093</v>
      </c>
      <c r="J921" t="s">
        <v>1099</v>
      </c>
      <c r="K921">
        <v>4</v>
      </c>
      <c r="L921">
        <v>3</v>
      </c>
      <c r="M921">
        <v>34</v>
      </c>
    </row>
    <row r="922" spans="1:13" x14ac:dyDescent="0.25">
      <c r="A922" t="s">
        <v>944</v>
      </c>
      <c r="B922" t="s">
        <v>8</v>
      </c>
      <c r="C922">
        <v>88</v>
      </c>
      <c r="D922" t="s">
        <v>10</v>
      </c>
      <c r="E922" s="46">
        <v>45245</v>
      </c>
      <c r="F922">
        <v>220</v>
      </c>
      <c r="G922">
        <v>4.0999999999999996</v>
      </c>
      <c r="H922">
        <v>2024</v>
      </c>
      <c r="I922" t="s">
        <v>1093</v>
      </c>
      <c r="J922" t="s">
        <v>1099</v>
      </c>
      <c r="K922">
        <v>4</v>
      </c>
      <c r="L922">
        <v>3</v>
      </c>
      <c r="M922">
        <v>220</v>
      </c>
    </row>
    <row r="923" spans="1:13" x14ac:dyDescent="0.25">
      <c r="A923" t="s">
        <v>945</v>
      </c>
      <c r="B923" t="s">
        <v>20</v>
      </c>
      <c r="C923">
        <v>64</v>
      </c>
      <c r="D923" t="s">
        <v>6</v>
      </c>
      <c r="E923" s="46">
        <v>45245</v>
      </c>
      <c r="F923">
        <v>225</v>
      </c>
      <c r="G923">
        <v>4.5999999999999996</v>
      </c>
      <c r="H923">
        <v>2024</v>
      </c>
      <c r="I923" t="s">
        <v>1093</v>
      </c>
      <c r="J923" t="s">
        <v>1099</v>
      </c>
      <c r="K923">
        <v>5</v>
      </c>
      <c r="L923">
        <v>3</v>
      </c>
      <c r="M923">
        <v>225</v>
      </c>
    </row>
    <row r="924" spans="1:13" x14ac:dyDescent="0.25">
      <c r="A924" t="s">
        <v>946</v>
      </c>
      <c r="B924" t="s">
        <v>23</v>
      </c>
      <c r="C924">
        <v>53</v>
      </c>
      <c r="D924" t="s">
        <v>6</v>
      </c>
      <c r="E924" s="46">
        <v>45246</v>
      </c>
      <c r="F924">
        <v>37</v>
      </c>
      <c r="G924">
        <v>4.0999999999999996</v>
      </c>
      <c r="H924">
        <v>2024</v>
      </c>
      <c r="I924" t="s">
        <v>1094</v>
      </c>
      <c r="J924" t="s">
        <v>1099</v>
      </c>
      <c r="K924">
        <v>4</v>
      </c>
      <c r="L924">
        <v>3</v>
      </c>
      <c r="M924">
        <v>37</v>
      </c>
    </row>
    <row r="925" spans="1:13" x14ac:dyDescent="0.25">
      <c r="A925" t="s">
        <v>947</v>
      </c>
      <c r="B925" t="s">
        <v>16</v>
      </c>
      <c r="C925">
        <v>63</v>
      </c>
      <c r="D925" t="s">
        <v>9</v>
      </c>
      <c r="E925" s="46">
        <v>45246</v>
      </c>
      <c r="F925">
        <v>44</v>
      </c>
      <c r="G925">
        <v>5</v>
      </c>
      <c r="H925">
        <v>2024</v>
      </c>
      <c r="I925" t="s">
        <v>1094</v>
      </c>
      <c r="J925" t="s">
        <v>1099</v>
      </c>
      <c r="K925">
        <v>5</v>
      </c>
      <c r="L925">
        <v>3</v>
      </c>
      <c r="M925">
        <v>44</v>
      </c>
    </row>
    <row r="926" spans="1:13" x14ac:dyDescent="0.25">
      <c r="A926" t="s">
        <v>948</v>
      </c>
      <c r="B926" t="s">
        <v>15</v>
      </c>
      <c r="C926">
        <v>54</v>
      </c>
      <c r="D926" t="s">
        <v>9</v>
      </c>
      <c r="E926" s="46">
        <v>45247</v>
      </c>
      <c r="F926">
        <v>35</v>
      </c>
      <c r="G926">
        <v>2.8</v>
      </c>
      <c r="H926">
        <v>2024</v>
      </c>
      <c r="I926" t="s">
        <v>1095</v>
      </c>
      <c r="J926" t="s">
        <v>1099</v>
      </c>
      <c r="K926">
        <v>3</v>
      </c>
      <c r="L926">
        <v>3</v>
      </c>
      <c r="M926">
        <v>35</v>
      </c>
    </row>
    <row r="927" spans="1:13" x14ac:dyDescent="0.25">
      <c r="A927" t="s">
        <v>949</v>
      </c>
      <c r="B927" t="s">
        <v>16</v>
      </c>
      <c r="C927">
        <v>54</v>
      </c>
      <c r="D927" t="s">
        <v>10</v>
      </c>
      <c r="E927" s="46">
        <v>45247</v>
      </c>
      <c r="F927">
        <v>145</v>
      </c>
      <c r="G927">
        <v>2.7</v>
      </c>
      <c r="H927">
        <v>2024</v>
      </c>
      <c r="I927" t="s">
        <v>1095</v>
      </c>
      <c r="J927" t="s">
        <v>1099</v>
      </c>
      <c r="K927">
        <v>3</v>
      </c>
      <c r="L927">
        <v>3</v>
      </c>
      <c r="M927">
        <v>145</v>
      </c>
    </row>
    <row r="928" spans="1:13" x14ac:dyDescent="0.25">
      <c r="A928" t="s">
        <v>950</v>
      </c>
      <c r="B928" t="s">
        <v>18</v>
      </c>
      <c r="C928">
        <v>71</v>
      </c>
      <c r="D928" t="s">
        <v>6</v>
      </c>
      <c r="E928" s="46">
        <v>45247</v>
      </c>
      <c r="F928">
        <v>64</v>
      </c>
      <c r="G928">
        <v>3.9</v>
      </c>
      <c r="H928">
        <v>2024</v>
      </c>
      <c r="I928" t="s">
        <v>1095</v>
      </c>
      <c r="J928" t="s">
        <v>1099</v>
      </c>
      <c r="K928">
        <v>4</v>
      </c>
      <c r="L928">
        <v>3</v>
      </c>
      <c r="M928">
        <v>64</v>
      </c>
    </row>
    <row r="929" spans="1:13" x14ac:dyDescent="0.25">
      <c r="A929" t="s">
        <v>951</v>
      </c>
      <c r="B929" t="s">
        <v>16</v>
      </c>
      <c r="C929">
        <v>93</v>
      </c>
      <c r="D929" t="s">
        <v>10</v>
      </c>
      <c r="E929" s="46">
        <v>45248</v>
      </c>
      <c r="F929">
        <v>185</v>
      </c>
      <c r="G929">
        <v>4.3</v>
      </c>
      <c r="H929">
        <v>2024</v>
      </c>
      <c r="I929" t="s">
        <v>1096</v>
      </c>
      <c r="J929" t="s">
        <v>1099</v>
      </c>
      <c r="K929">
        <v>4</v>
      </c>
      <c r="L929">
        <v>3</v>
      </c>
      <c r="M929">
        <v>185</v>
      </c>
    </row>
    <row r="930" spans="1:13" x14ac:dyDescent="0.25">
      <c r="A930" t="s">
        <v>952</v>
      </c>
      <c r="B930" t="s">
        <v>21</v>
      </c>
      <c r="C930">
        <v>96</v>
      </c>
      <c r="D930" t="s">
        <v>9</v>
      </c>
      <c r="E930" s="46">
        <v>45248</v>
      </c>
      <c r="F930">
        <v>215</v>
      </c>
      <c r="G930">
        <v>2.5</v>
      </c>
      <c r="H930">
        <v>2024</v>
      </c>
      <c r="I930" t="s">
        <v>1096</v>
      </c>
      <c r="J930" t="s">
        <v>1099</v>
      </c>
      <c r="K930">
        <v>3</v>
      </c>
      <c r="L930">
        <v>3</v>
      </c>
      <c r="M930">
        <v>215</v>
      </c>
    </row>
    <row r="931" spans="1:13" x14ac:dyDescent="0.25">
      <c r="A931" t="s">
        <v>953</v>
      </c>
      <c r="B931" t="s">
        <v>24</v>
      </c>
      <c r="C931">
        <v>31</v>
      </c>
      <c r="D931" t="s">
        <v>11</v>
      </c>
      <c r="E931" s="46">
        <v>45248</v>
      </c>
      <c r="F931">
        <v>88</v>
      </c>
      <c r="G931">
        <v>3.4</v>
      </c>
      <c r="H931">
        <v>2024</v>
      </c>
      <c r="I931" t="s">
        <v>1096</v>
      </c>
      <c r="J931" t="s">
        <v>1099</v>
      </c>
      <c r="K931">
        <v>3</v>
      </c>
      <c r="L931">
        <v>3</v>
      </c>
      <c r="M931">
        <v>88</v>
      </c>
    </row>
    <row r="932" spans="1:13" x14ac:dyDescent="0.25">
      <c r="A932" t="s">
        <v>954</v>
      </c>
      <c r="B932" t="s">
        <v>16</v>
      </c>
      <c r="C932">
        <v>107</v>
      </c>
      <c r="D932" t="s">
        <v>6</v>
      </c>
      <c r="E932" s="46">
        <v>45248</v>
      </c>
      <c r="F932">
        <v>23</v>
      </c>
      <c r="G932">
        <v>3.4</v>
      </c>
      <c r="H932">
        <v>2024</v>
      </c>
      <c r="I932" t="s">
        <v>1096</v>
      </c>
      <c r="J932" t="s">
        <v>1099</v>
      </c>
      <c r="K932">
        <v>3</v>
      </c>
      <c r="L932">
        <v>3</v>
      </c>
      <c r="M932">
        <v>23</v>
      </c>
    </row>
    <row r="933" spans="1:13" x14ac:dyDescent="0.25">
      <c r="A933" t="s">
        <v>955</v>
      </c>
      <c r="B933" t="s">
        <v>23</v>
      </c>
      <c r="C933">
        <v>50</v>
      </c>
      <c r="D933" t="s">
        <v>11</v>
      </c>
      <c r="E933" s="46">
        <v>45249</v>
      </c>
      <c r="F933">
        <v>180</v>
      </c>
      <c r="G933">
        <v>1.8</v>
      </c>
      <c r="H933">
        <v>2024</v>
      </c>
      <c r="I933" t="s">
        <v>1090</v>
      </c>
      <c r="J933" t="s">
        <v>1099</v>
      </c>
      <c r="K933">
        <v>2</v>
      </c>
      <c r="L933">
        <v>3</v>
      </c>
      <c r="M933">
        <v>180</v>
      </c>
    </row>
    <row r="934" spans="1:13" x14ac:dyDescent="0.25">
      <c r="A934" t="s">
        <v>956</v>
      </c>
      <c r="B934" t="s">
        <v>17</v>
      </c>
      <c r="C934">
        <v>69</v>
      </c>
      <c r="D934" t="s">
        <v>6</v>
      </c>
      <c r="E934" s="46">
        <v>45250</v>
      </c>
      <c r="F934">
        <v>225</v>
      </c>
      <c r="G934">
        <v>3.7</v>
      </c>
      <c r="H934">
        <v>2024</v>
      </c>
      <c r="I934" t="s">
        <v>1091</v>
      </c>
      <c r="J934" t="s">
        <v>1099</v>
      </c>
      <c r="K934">
        <v>4</v>
      </c>
      <c r="L934">
        <v>3</v>
      </c>
      <c r="M934">
        <v>225</v>
      </c>
    </row>
    <row r="935" spans="1:13" x14ac:dyDescent="0.25">
      <c r="A935" t="s">
        <v>957</v>
      </c>
      <c r="B935" t="s">
        <v>8</v>
      </c>
      <c r="C935">
        <v>26</v>
      </c>
      <c r="D935" t="s">
        <v>9</v>
      </c>
      <c r="E935" s="46">
        <v>45251</v>
      </c>
      <c r="F935">
        <v>74</v>
      </c>
      <c r="G935">
        <v>4.0999999999999996</v>
      </c>
      <c r="H935">
        <v>2024</v>
      </c>
      <c r="I935" t="s">
        <v>1092</v>
      </c>
      <c r="J935" t="s">
        <v>1100</v>
      </c>
      <c r="K935">
        <v>4</v>
      </c>
      <c r="L935">
        <v>2</v>
      </c>
      <c r="M935">
        <v>74</v>
      </c>
    </row>
    <row r="936" spans="1:13" x14ac:dyDescent="0.25">
      <c r="A936" t="s">
        <v>958</v>
      </c>
      <c r="B936" t="s">
        <v>21</v>
      </c>
      <c r="C936">
        <v>158</v>
      </c>
      <c r="D936" t="s">
        <v>6</v>
      </c>
      <c r="E936" s="46">
        <v>45251</v>
      </c>
      <c r="F936">
        <v>36</v>
      </c>
      <c r="G936">
        <v>3</v>
      </c>
      <c r="H936">
        <v>2024</v>
      </c>
      <c r="I936" t="s">
        <v>1092</v>
      </c>
      <c r="J936" t="s">
        <v>1103</v>
      </c>
      <c r="K936">
        <v>3</v>
      </c>
      <c r="L936">
        <v>4</v>
      </c>
      <c r="M936">
        <v>36</v>
      </c>
    </row>
    <row r="937" spans="1:13" x14ac:dyDescent="0.25">
      <c r="A937" t="s">
        <v>959</v>
      </c>
      <c r="B937" t="s">
        <v>15</v>
      </c>
      <c r="C937">
        <v>99</v>
      </c>
      <c r="D937" t="s">
        <v>6</v>
      </c>
      <c r="E937" s="46">
        <v>45253</v>
      </c>
      <c r="F937">
        <v>116</v>
      </c>
      <c r="G937">
        <v>3.9</v>
      </c>
      <c r="H937">
        <v>2024</v>
      </c>
      <c r="I937" t="s">
        <v>1094</v>
      </c>
      <c r="J937" t="s">
        <v>1099</v>
      </c>
      <c r="K937">
        <v>4</v>
      </c>
      <c r="L937">
        <v>3</v>
      </c>
      <c r="M937">
        <v>116</v>
      </c>
    </row>
    <row r="938" spans="1:13" x14ac:dyDescent="0.25">
      <c r="A938" t="s">
        <v>960</v>
      </c>
      <c r="B938" t="s">
        <v>21</v>
      </c>
      <c r="C938">
        <v>78</v>
      </c>
      <c r="D938" t="s">
        <v>11</v>
      </c>
      <c r="E938" s="46">
        <v>45253</v>
      </c>
      <c r="F938">
        <v>140</v>
      </c>
      <c r="G938">
        <v>4</v>
      </c>
      <c r="H938">
        <v>2024</v>
      </c>
      <c r="I938" t="s">
        <v>1094</v>
      </c>
      <c r="J938" t="s">
        <v>1099</v>
      </c>
      <c r="K938">
        <v>4</v>
      </c>
      <c r="L938">
        <v>3</v>
      </c>
      <c r="M938">
        <v>140</v>
      </c>
    </row>
    <row r="939" spans="1:13" x14ac:dyDescent="0.25">
      <c r="A939" t="s">
        <v>961</v>
      </c>
      <c r="B939" t="s">
        <v>21</v>
      </c>
      <c r="C939">
        <v>102</v>
      </c>
      <c r="D939" t="s">
        <v>9</v>
      </c>
      <c r="E939" s="46">
        <v>45254</v>
      </c>
      <c r="F939">
        <v>104</v>
      </c>
      <c r="G939">
        <v>4.5</v>
      </c>
      <c r="H939">
        <v>2024</v>
      </c>
      <c r="I939" t="s">
        <v>1095</v>
      </c>
      <c r="J939" t="s">
        <v>1099</v>
      </c>
      <c r="K939">
        <v>5</v>
      </c>
      <c r="L939">
        <v>3</v>
      </c>
      <c r="M939">
        <v>104</v>
      </c>
    </row>
    <row r="940" spans="1:13" x14ac:dyDescent="0.25">
      <c r="A940" t="s">
        <v>962</v>
      </c>
      <c r="B940" t="s">
        <v>15</v>
      </c>
      <c r="C940">
        <v>158</v>
      </c>
      <c r="D940" t="s">
        <v>13</v>
      </c>
      <c r="E940" s="46">
        <v>45254</v>
      </c>
      <c r="F940">
        <v>148</v>
      </c>
      <c r="G940">
        <v>4</v>
      </c>
      <c r="H940">
        <v>2024</v>
      </c>
      <c r="I940" t="s">
        <v>1095</v>
      </c>
      <c r="J940" t="s">
        <v>1103</v>
      </c>
      <c r="K940">
        <v>4</v>
      </c>
      <c r="L940">
        <v>4</v>
      </c>
      <c r="M940">
        <v>148</v>
      </c>
    </row>
    <row r="941" spans="1:13" x14ac:dyDescent="0.25">
      <c r="A941" t="s">
        <v>963</v>
      </c>
      <c r="B941" t="s">
        <v>24</v>
      </c>
      <c r="C941">
        <v>56</v>
      </c>
      <c r="D941" t="s">
        <v>6</v>
      </c>
      <c r="E941" s="46">
        <v>45254</v>
      </c>
      <c r="F941">
        <v>205</v>
      </c>
      <c r="G941">
        <v>4.3</v>
      </c>
      <c r="H941">
        <v>2024</v>
      </c>
      <c r="I941" t="s">
        <v>1095</v>
      </c>
      <c r="J941" t="s">
        <v>1099</v>
      </c>
      <c r="K941">
        <v>4</v>
      </c>
      <c r="L941">
        <v>3</v>
      </c>
      <c r="M941">
        <v>205</v>
      </c>
    </row>
    <row r="942" spans="1:13" x14ac:dyDescent="0.25">
      <c r="A942" t="s">
        <v>964</v>
      </c>
      <c r="B942" t="s">
        <v>12</v>
      </c>
      <c r="C942">
        <v>17</v>
      </c>
      <c r="D942" t="s">
        <v>10</v>
      </c>
      <c r="E942" s="46">
        <v>45254</v>
      </c>
      <c r="F942">
        <v>210</v>
      </c>
      <c r="G942">
        <v>4.8</v>
      </c>
      <c r="H942">
        <v>2024</v>
      </c>
      <c r="I942" t="s">
        <v>1095</v>
      </c>
      <c r="J942" t="s">
        <v>1100</v>
      </c>
      <c r="K942">
        <v>5</v>
      </c>
      <c r="L942">
        <v>2</v>
      </c>
      <c r="M942">
        <v>210</v>
      </c>
    </row>
    <row r="943" spans="1:13" x14ac:dyDescent="0.25">
      <c r="A943" t="s">
        <v>965</v>
      </c>
      <c r="B943" t="s">
        <v>8</v>
      </c>
      <c r="C943">
        <v>104</v>
      </c>
      <c r="D943" t="s">
        <v>13</v>
      </c>
      <c r="E943" s="46">
        <v>45256</v>
      </c>
      <c r="F943">
        <v>41</v>
      </c>
      <c r="G943">
        <v>4.7</v>
      </c>
      <c r="H943">
        <v>2024</v>
      </c>
      <c r="I943" t="s">
        <v>1090</v>
      </c>
      <c r="J943" t="s">
        <v>1099</v>
      </c>
      <c r="K943">
        <v>5</v>
      </c>
      <c r="L943">
        <v>3</v>
      </c>
      <c r="M943">
        <v>41</v>
      </c>
    </row>
    <row r="944" spans="1:13" x14ac:dyDescent="0.25">
      <c r="A944" t="s">
        <v>966</v>
      </c>
      <c r="B944" t="s">
        <v>19</v>
      </c>
      <c r="C944">
        <v>96</v>
      </c>
      <c r="D944" t="s">
        <v>11</v>
      </c>
      <c r="E944" s="46">
        <v>45256</v>
      </c>
      <c r="F944">
        <v>136</v>
      </c>
      <c r="G944">
        <v>5</v>
      </c>
      <c r="H944">
        <v>2024</v>
      </c>
      <c r="I944" t="s">
        <v>1090</v>
      </c>
      <c r="J944" t="s">
        <v>1099</v>
      </c>
      <c r="K944">
        <v>5</v>
      </c>
      <c r="L944">
        <v>3</v>
      </c>
      <c r="M944">
        <v>136</v>
      </c>
    </row>
    <row r="945" spans="1:13" x14ac:dyDescent="0.25">
      <c r="A945" t="s">
        <v>967</v>
      </c>
      <c r="B945" t="s">
        <v>22</v>
      </c>
      <c r="C945">
        <v>83</v>
      </c>
      <c r="D945" t="s">
        <v>9</v>
      </c>
      <c r="E945" s="46">
        <v>45257</v>
      </c>
      <c r="F945">
        <v>126</v>
      </c>
      <c r="G945">
        <v>1.5</v>
      </c>
      <c r="H945">
        <v>2024</v>
      </c>
      <c r="I945" t="s">
        <v>1091</v>
      </c>
      <c r="J945" t="s">
        <v>1099</v>
      </c>
      <c r="K945">
        <v>2</v>
      </c>
      <c r="L945">
        <v>3</v>
      </c>
      <c r="M945">
        <v>126</v>
      </c>
    </row>
    <row r="946" spans="1:13" x14ac:dyDescent="0.25">
      <c r="A946" t="s">
        <v>968</v>
      </c>
      <c r="B946" t="s">
        <v>23</v>
      </c>
      <c r="C946">
        <v>80</v>
      </c>
      <c r="D946" t="s">
        <v>10</v>
      </c>
      <c r="E946" s="46">
        <v>45258</v>
      </c>
      <c r="F946">
        <v>148</v>
      </c>
      <c r="G946">
        <v>4.0999999999999996</v>
      </c>
      <c r="H946">
        <v>2024</v>
      </c>
      <c r="I946" t="s">
        <v>1092</v>
      </c>
      <c r="J946" t="s">
        <v>1099</v>
      </c>
      <c r="K946">
        <v>4</v>
      </c>
      <c r="L946">
        <v>3</v>
      </c>
      <c r="M946">
        <v>148</v>
      </c>
    </row>
    <row r="947" spans="1:13" x14ac:dyDescent="0.25">
      <c r="A947" t="s">
        <v>969</v>
      </c>
      <c r="B947" t="s">
        <v>22</v>
      </c>
      <c r="C947">
        <v>152</v>
      </c>
      <c r="D947" t="s">
        <v>9</v>
      </c>
      <c r="E947" s="46">
        <v>45258</v>
      </c>
      <c r="F947">
        <v>125</v>
      </c>
      <c r="G947">
        <v>3.9</v>
      </c>
      <c r="H947">
        <v>2024</v>
      </c>
      <c r="I947" t="s">
        <v>1092</v>
      </c>
      <c r="J947" t="s">
        <v>1103</v>
      </c>
      <c r="K947">
        <v>4</v>
      </c>
      <c r="L947">
        <v>4</v>
      </c>
      <c r="M947">
        <v>125</v>
      </c>
    </row>
    <row r="948" spans="1:13" x14ac:dyDescent="0.25">
      <c r="A948" t="s">
        <v>970</v>
      </c>
      <c r="B948" t="s">
        <v>18</v>
      </c>
      <c r="C948">
        <v>34</v>
      </c>
      <c r="D948" t="s">
        <v>11</v>
      </c>
      <c r="E948" s="46">
        <v>45258</v>
      </c>
      <c r="F948">
        <v>25</v>
      </c>
      <c r="G948">
        <v>4.0999999999999996</v>
      </c>
      <c r="H948">
        <v>2024</v>
      </c>
      <c r="I948" t="s">
        <v>1092</v>
      </c>
      <c r="J948" t="s">
        <v>1099</v>
      </c>
      <c r="K948">
        <v>4</v>
      </c>
      <c r="L948">
        <v>3</v>
      </c>
      <c r="M948">
        <v>25</v>
      </c>
    </row>
    <row r="949" spans="1:13" x14ac:dyDescent="0.25">
      <c r="A949" t="s">
        <v>971</v>
      </c>
      <c r="B949" t="s">
        <v>14</v>
      </c>
      <c r="C949">
        <v>2</v>
      </c>
      <c r="D949" t="s">
        <v>6</v>
      </c>
      <c r="E949" s="46">
        <v>45259</v>
      </c>
      <c r="F949">
        <v>62</v>
      </c>
      <c r="G949">
        <v>2.8</v>
      </c>
      <c r="H949">
        <v>2024</v>
      </c>
      <c r="I949" t="s">
        <v>1093</v>
      </c>
      <c r="J949" t="s">
        <v>1101</v>
      </c>
      <c r="K949">
        <v>3</v>
      </c>
      <c r="L949">
        <v>1</v>
      </c>
      <c r="M949">
        <v>62</v>
      </c>
    </row>
    <row r="950" spans="1:13" x14ac:dyDescent="0.25">
      <c r="A950" t="s">
        <v>972</v>
      </c>
      <c r="B950" t="s">
        <v>23</v>
      </c>
      <c r="C950">
        <v>140</v>
      </c>
      <c r="D950" t="s">
        <v>11</v>
      </c>
      <c r="E950" s="46">
        <v>45260</v>
      </c>
      <c r="F950">
        <v>90</v>
      </c>
      <c r="G950">
        <v>4.5999999999999996</v>
      </c>
      <c r="H950">
        <v>2024</v>
      </c>
      <c r="I950" t="s">
        <v>1094</v>
      </c>
      <c r="J950" t="s">
        <v>1103</v>
      </c>
      <c r="K950">
        <v>5</v>
      </c>
      <c r="L950">
        <v>4</v>
      </c>
      <c r="M950">
        <v>90</v>
      </c>
    </row>
    <row r="951" spans="1:13" x14ac:dyDescent="0.25">
      <c r="A951" t="s">
        <v>973</v>
      </c>
      <c r="B951" t="s">
        <v>12</v>
      </c>
      <c r="C951">
        <v>126</v>
      </c>
      <c r="D951" t="s">
        <v>13</v>
      </c>
      <c r="E951" s="46">
        <v>45261</v>
      </c>
      <c r="F951">
        <v>33</v>
      </c>
      <c r="G951">
        <v>4.8</v>
      </c>
      <c r="H951">
        <v>2024</v>
      </c>
      <c r="I951" t="s">
        <v>1095</v>
      </c>
      <c r="J951" t="s">
        <v>1103</v>
      </c>
      <c r="K951">
        <v>5</v>
      </c>
      <c r="L951">
        <v>4</v>
      </c>
      <c r="M951">
        <v>33</v>
      </c>
    </row>
    <row r="952" spans="1:13" x14ac:dyDescent="0.25">
      <c r="A952" t="s">
        <v>974</v>
      </c>
      <c r="B952" t="s">
        <v>21</v>
      </c>
      <c r="C952">
        <v>79</v>
      </c>
      <c r="D952" t="s">
        <v>6</v>
      </c>
      <c r="E952" s="46">
        <v>45261</v>
      </c>
      <c r="F952">
        <v>115</v>
      </c>
      <c r="G952">
        <v>2.2999999999999998</v>
      </c>
      <c r="H952">
        <v>2024</v>
      </c>
      <c r="I952" t="s">
        <v>1095</v>
      </c>
      <c r="J952" t="s">
        <v>1099</v>
      </c>
      <c r="K952">
        <v>2</v>
      </c>
      <c r="L952">
        <v>3</v>
      </c>
      <c r="M952">
        <v>115</v>
      </c>
    </row>
    <row r="953" spans="1:13" x14ac:dyDescent="0.25">
      <c r="A953" t="s">
        <v>975</v>
      </c>
      <c r="B953" t="s">
        <v>12</v>
      </c>
      <c r="C953">
        <v>133</v>
      </c>
      <c r="D953" t="s">
        <v>13</v>
      </c>
      <c r="E953" s="46">
        <v>45261</v>
      </c>
      <c r="F953">
        <v>45</v>
      </c>
      <c r="G953">
        <v>2.6</v>
      </c>
      <c r="H953">
        <v>2024</v>
      </c>
      <c r="I953" t="s">
        <v>1095</v>
      </c>
      <c r="J953" t="s">
        <v>1103</v>
      </c>
      <c r="K953">
        <v>3</v>
      </c>
      <c r="L953">
        <v>4</v>
      </c>
      <c r="M953">
        <v>45</v>
      </c>
    </row>
    <row r="954" spans="1:13" x14ac:dyDescent="0.25">
      <c r="A954" t="s">
        <v>976</v>
      </c>
      <c r="B954" t="s">
        <v>18</v>
      </c>
      <c r="C954">
        <v>97</v>
      </c>
      <c r="D954" t="s">
        <v>10</v>
      </c>
      <c r="E954" s="46">
        <v>45261</v>
      </c>
      <c r="F954">
        <v>114</v>
      </c>
      <c r="G954">
        <v>4.8</v>
      </c>
      <c r="H954">
        <v>2024</v>
      </c>
      <c r="I954" t="s">
        <v>1095</v>
      </c>
      <c r="J954" t="s">
        <v>1099</v>
      </c>
      <c r="K954">
        <v>5</v>
      </c>
      <c r="L954">
        <v>3</v>
      </c>
      <c r="M954">
        <v>114</v>
      </c>
    </row>
    <row r="955" spans="1:13" x14ac:dyDescent="0.25">
      <c r="A955" t="s">
        <v>977</v>
      </c>
      <c r="B955" t="s">
        <v>21</v>
      </c>
      <c r="C955">
        <v>102</v>
      </c>
      <c r="D955" t="s">
        <v>9</v>
      </c>
      <c r="E955" s="46">
        <v>45262</v>
      </c>
      <c r="F955">
        <v>72</v>
      </c>
      <c r="G955">
        <v>3.7</v>
      </c>
      <c r="H955">
        <v>2024</v>
      </c>
      <c r="I955" t="s">
        <v>1096</v>
      </c>
      <c r="J955" t="s">
        <v>1099</v>
      </c>
      <c r="K955">
        <v>4</v>
      </c>
      <c r="L955">
        <v>3</v>
      </c>
      <c r="M955">
        <v>72</v>
      </c>
    </row>
    <row r="956" spans="1:13" x14ac:dyDescent="0.25">
      <c r="A956" t="s">
        <v>978</v>
      </c>
      <c r="B956" t="s">
        <v>7</v>
      </c>
      <c r="C956">
        <v>62</v>
      </c>
      <c r="D956" t="s">
        <v>10</v>
      </c>
      <c r="E956" s="46">
        <v>45262</v>
      </c>
      <c r="F956">
        <v>205</v>
      </c>
      <c r="G956">
        <v>4.2</v>
      </c>
      <c r="H956">
        <v>2024</v>
      </c>
      <c r="I956" t="s">
        <v>1096</v>
      </c>
      <c r="J956" t="s">
        <v>1099</v>
      </c>
      <c r="K956">
        <v>4</v>
      </c>
      <c r="L956">
        <v>3</v>
      </c>
      <c r="M956">
        <v>205</v>
      </c>
    </row>
    <row r="957" spans="1:13" x14ac:dyDescent="0.25">
      <c r="A957" t="s">
        <v>979</v>
      </c>
      <c r="B957" t="s">
        <v>12</v>
      </c>
      <c r="C957">
        <v>149</v>
      </c>
      <c r="D957" t="s">
        <v>9</v>
      </c>
      <c r="E957" s="46">
        <v>45263</v>
      </c>
      <c r="F957">
        <v>42</v>
      </c>
      <c r="G957">
        <v>3.3</v>
      </c>
      <c r="H957">
        <v>2024</v>
      </c>
      <c r="I957" t="s">
        <v>1090</v>
      </c>
      <c r="J957" t="s">
        <v>1103</v>
      </c>
      <c r="K957">
        <v>3</v>
      </c>
      <c r="L957">
        <v>4</v>
      </c>
      <c r="M957">
        <v>42</v>
      </c>
    </row>
    <row r="958" spans="1:13" x14ac:dyDescent="0.25">
      <c r="A958" t="s">
        <v>980</v>
      </c>
      <c r="B958" t="s">
        <v>14</v>
      </c>
      <c r="C958">
        <v>133</v>
      </c>
      <c r="D958" t="s">
        <v>10</v>
      </c>
      <c r="E958" s="46">
        <v>45263</v>
      </c>
      <c r="F958">
        <v>96</v>
      </c>
      <c r="G958">
        <v>4.3</v>
      </c>
      <c r="H958">
        <v>2024</v>
      </c>
      <c r="I958" t="s">
        <v>1090</v>
      </c>
      <c r="J958" t="s">
        <v>1103</v>
      </c>
      <c r="K958">
        <v>4</v>
      </c>
      <c r="L958">
        <v>4</v>
      </c>
      <c r="M958">
        <v>96</v>
      </c>
    </row>
    <row r="959" spans="1:13" x14ac:dyDescent="0.25">
      <c r="A959" t="s">
        <v>981</v>
      </c>
      <c r="B959" t="s">
        <v>21</v>
      </c>
      <c r="C959">
        <v>51</v>
      </c>
      <c r="D959" t="s">
        <v>6</v>
      </c>
      <c r="E959" s="46">
        <v>45263</v>
      </c>
      <c r="F959">
        <v>64</v>
      </c>
      <c r="G959">
        <v>3.7</v>
      </c>
      <c r="H959">
        <v>2024</v>
      </c>
      <c r="I959" t="s">
        <v>1090</v>
      </c>
      <c r="J959" t="s">
        <v>1099</v>
      </c>
      <c r="K959">
        <v>4</v>
      </c>
      <c r="L959">
        <v>3</v>
      </c>
      <c r="M959">
        <v>64</v>
      </c>
    </row>
    <row r="960" spans="1:13" x14ac:dyDescent="0.25">
      <c r="A960" t="s">
        <v>982</v>
      </c>
      <c r="B960" t="s">
        <v>7</v>
      </c>
      <c r="C960">
        <v>110</v>
      </c>
      <c r="D960" t="s">
        <v>10</v>
      </c>
      <c r="E960" s="46">
        <v>45264</v>
      </c>
      <c r="F960">
        <v>72</v>
      </c>
      <c r="G960">
        <v>3.7</v>
      </c>
      <c r="H960">
        <v>2024</v>
      </c>
      <c r="I960" t="s">
        <v>1091</v>
      </c>
      <c r="J960" t="s">
        <v>1099</v>
      </c>
      <c r="K960">
        <v>4</v>
      </c>
      <c r="L960">
        <v>3</v>
      </c>
      <c r="M960">
        <v>72</v>
      </c>
    </row>
    <row r="961" spans="1:13" x14ac:dyDescent="0.25">
      <c r="A961" t="s">
        <v>983</v>
      </c>
      <c r="B961" t="s">
        <v>18</v>
      </c>
      <c r="C961">
        <v>38</v>
      </c>
      <c r="D961" t="s">
        <v>13</v>
      </c>
      <c r="E961" s="46">
        <v>45265</v>
      </c>
      <c r="F961">
        <v>27</v>
      </c>
      <c r="G961">
        <v>3.1</v>
      </c>
      <c r="H961">
        <v>2024</v>
      </c>
      <c r="I961" t="s">
        <v>1092</v>
      </c>
      <c r="J961" t="s">
        <v>1099</v>
      </c>
      <c r="K961">
        <v>3</v>
      </c>
      <c r="L961">
        <v>3</v>
      </c>
      <c r="M961">
        <v>27</v>
      </c>
    </row>
    <row r="962" spans="1:13" x14ac:dyDescent="0.25">
      <c r="A962" t="s">
        <v>984</v>
      </c>
      <c r="B962" t="s">
        <v>14</v>
      </c>
      <c r="C962">
        <v>78</v>
      </c>
      <c r="D962" t="s">
        <v>13</v>
      </c>
      <c r="E962" s="46">
        <v>45267</v>
      </c>
      <c r="F962">
        <v>200</v>
      </c>
      <c r="G962">
        <v>2.4</v>
      </c>
      <c r="H962">
        <v>2024</v>
      </c>
      <c r="I962" t="s">
        <v>1094</v>
      </c>
      <c r="J962" t="s">
        <v>1099</v>
      </c>
      <c r="K962">
        <v>2</v>
      </c>
      <c r="L962">
        <v>3</v>
      </c>
      <c r="M962">
        <v>200</v>
      </c>
    </row>
    <row r="963" spans="1:13" x14ac:dyDescent="0.25">
      <c r="A963" t="s">
        <v>985</v>
      </c>
      <c r="B963" t="s">
        <v>18</v>
      </c>
      <c r="C963">
        <v>25</v>
      </c>
      <c r="D963" t="s">
        <v>9</v>
      </c>
      <c r="E963" s="46">
        <v>45268</v>
      </c>
      <c r="F963">
        <v>93</v>
      </c>
      <c r="G963">
        <v>3.5</v>
      </c>
      <c r="H963">
        <v>2024</v>
      </c>
      <c r="I963" t="s">
        <v>1095</v>
      </c>
      <c r="J963" t="s">
        <v>1100</v>
      </c>
      <c r="K963">
        <v>4</v>
      </c>
      <c r="L963">
        <v>2</v>
      </c>
      <c r="M963">
        <v>93</v>
      </c>
    </row>
    <row r="964" spans="1:13" x14ac:dyDescent="0.25">
      <c r="A964" t="s">
        <v>986</v>
      </c>
      <c r="B964" t="s">
        <v>16</v>
      </c>
      <c r="C964">
        <v>50</v>
      </c>
      <c r="D964" t="s">
        <v>6</v>
      </c>
      <c r="E964" s="46">
        <v>45268</v>
      </c>
      <c r="F964">
        <v>54</v>
      </c>
      <c r="G964">
        <v>4.3</v>
      </c>
      <c r="H964">
        <v>2024</v>
      </c>
      <c r="I964" t="s">
        <v>1095</v>
      </c>
      <c r="J964" t="s">
        <v>1099</v>
      </c>
      <c r="K964">
        <v>4</v>
      </c>
      <c r="L964">
        <v>3</v>
      </c>
      <c r="M964">
        <v>54</v>
      </c>
    </row>
    <row r="965" spans="1:13" x14ac:dyDescent="0.25">
      <c r="A965" t="s">
        <v>987</v>
      </c>
      <c r="B965" t="s">
        <v>18</v>
      </c>
      <c r="C965">
        <v>103</v>
      </c>
      <c r="D965" t="s">
        <v>9</v>
      </c>
      <c r="E965" s="46">
        <v>45269</v>
      </c>
      <c r="F965">
        <v>72</v>
      </c>
      <c r="G965">
        <v>3.4</v>
      </c>
      <c r="H965">
        <v>2024</v>
      </c>
      <c r="I965" t="s">
        <v>1096</v>
      </c>
      <c r="J965" t="s">
        <v>1099</v>
      </c>
      <c r="K965">
        <v>3</v>
      </c>
      <c r="L965">
        <v>3</v>
      </c>
      <c r="M965">
        <v>72</v>
      </c>
    </row>
    <row r="966" spans="1:13" x14ac:dyDescent="0.25">
      <c r="A966" t="s">
        <v>988</v>
      </c>
      <c r="B966" t="s">
        <v>22</v>
      </c>
      <c r="C966">
        <v>63</v>
      </c>
      <c r="D966" t="s">
        <v>11</v>
      </c>
      <c r="E966" s="46">
        <v>45269</v>
      </c>
      <c r="F966">
        <v>82</v>
      </c>
      <c r="G966">
        <v>3.7</v>
      </c>
      <c r="H966">
        <v>2024</v>
      </c>
      <c r="I966" t="s">
        <v>1096</v>
      </c>
      <c r="J966" t="s">
        <v>1099</v>
      </c>
      <c r="K966">
        <v>4</v>
      </c>
      <c r="L966">
        <v>3</v>
      </c>
      <c r="M966">
        <v>82</v>
      </c>
    </row>
    <row r="967" spans="1:13" x14ac:dyDescent="0.25">
      <c r="A967" t="s">
        <v>989</v>
      </c>
      <c r="B967" t="s">
        <v>16</v>
      </c>
      <c r="C967">
        <v>96</v>
      </c>
      <c r="D967" t="s">
        <v>6</v>
      </c>
      <c r="E967" s="46">
        <v>45273</v>
      </c>
      <c r="F967">
        <v>164</v>
      </c>
      <c r="G967">
        <v>4.8</v>
      </c>
      <c r="H967">
        <v>2024</v>
      </c>
      <c r="I967" t="s">
        <v>1093</v>
      </c>
      <c r="J967" t="s">
        <v>1099</v>
      </c>
      <c r="K967">
        <v>5</v>
      </c>
      <c r="L967">
        <v>3</v>
      </c>
      <c r="M967">
        <v>164</v>
      </c>
    </row>
    <row r="968" spans="1:13" x14ac:dyDescent="0.25">
      <c r="A968" t="s">
        <v>990</v>
      </c>
      <c r="B968" t="s">
        <v>23</v>
      </c>
      <c r="C968">
        <v>94</v>
      </c>
      <c r="D968" t="s">
        <v>9</v>
      </c>
      <c r="E968" s="46">
        <v>45273</v>
      </c>
      <c r="F968">
        <v>78</v>
      </c>
      <c r="G968">
        <v>3.3</v>
      </c>
      <c r="H968">
        <v>2024</v>
      </c>
      <c r="I968" t="s">
        <v>1093</v>
      </c>
      <c r="J968" t="s">
        <v>1099</v>
      </c>
      <c r="K968">
        <v>3</v>
      </c>
      <c r="L968">
        <v>3</v>
      </c>
      <c r="M968">
        <v>78</v>
      </c>
    </row>
    <row r="969" spans="1:13" x14ac:dyDescent="0.25">
      <c r="A969" t="s">
        <v>991</v>
      </c>
      <c r="B969" t="s">
        <v>7</v>
      </c>
      <c r="C969">
        <v>46</v>
      </c>
      <c r="D969" t="s">
        <v>13</v>
      </c>
      <c r="E969" s="46">
        <v>45274</v>
      </c>
      <c r="F969">
        <v>135</v>
      </c>
      <c r="G969">
        <v>4.2</v>
      </c>
      <c r="H969">
        <v>2024</v>
      </c>
      <c r="I969" t="s">
        <v>1094</v>
      </c>
      <c r="J969" t="s">
        <v>1099</v>
      </c>
      <c r="K969">
        <v>4</v>
      </c>
      <c r="L969">
        <v>3</v>
      </c>
      <c r="M969">
        <v>135</v>
      </c>
    </row>
    <row r="970" spans="1:13" x14ac:dyDescent="0.25">
      <c r="A970" t="s">
        <v>992</v>
      </c>
      <c r="B970" t="s">
        <v>5</v>
      </c>
      <c r="C970">
        <v>127</v>
      </c>
      <c r="D970" t="s">
        <v>6</v>
      </c>
      <c r="E970" s="46">
        <v>45275</v>
      </c>
      <c r="F970">
        <v>145</v>
      </c>
      <c r="G970">
        <v>2.6</v>
      </c>
      <c r="H970">
        <v>2024</v>
      </c>
      <c r="I970" t="s">
        <v>1095</v>
      </c>
      <c r="J970" t="s">
        <v>1103</v>
      </c>
      <c r="K970">
        <v>3</v>
      </c>
      <c r="L970">
        <v>4</v>
      </c>
      <c r="M970">
        <v>145</v>
      </c>
    </row>
    <row r="971" spans="1:13" x14ac:dyDescent="0.25">
      <c r="A971" t="s">
        <v>993</v>
      </c>
      <c r="B971" t="s">
        <v>15</v>
      </c>
      <c r="C971">
        <v>96</v>
      </c>
      <c r="D971" t="s">
        <v>13</v>
      </c>
      <c r="E971" s="46">
        <v>45275</v>
      </c>
      <c r="F971">
        <v>115</v>
      </c>
      <c r="G971">
        <v>4.9000000000000004</v>
      </c>
      <c r="H971">
        <v>2024</v>
      </c>
      <c r="I971" t="s">
        <v>1095</v>
      </c>
      <c r="J971" t="s">
        <v>1099</v>
      </c>
      <c r="K971">
        <v>5</v>
      </c>
      <c r="L971">
        <v>3</v>
      </c>
      <c r="M971">
        <v>115</v>
      </c>
    </row>
    <row r="972" spans="1:13" x14ac:dyDescent="0.25">
      <c r="A972" t="s">
        <v>1006</v>
      </c>
      <c r="B972" t="s">
        <v>17</v>
      </c>
      <c r="C972">
        <v>151</v>
      </c>
      <c r="D972" t="s">
        <v>9</v>
      </c>
      <c r="E972" s="46">
        <v>45275</v>
      </c>
      <c r="F972">
        <v>117</v>
      </c>
      <c r="G972">
        <v>2</v>
      </c>
      <c r="H972">
        <v>2024</v>
      </c>
      <c r="I972" t="s">
        <v>1095</v>
      </c>
      <c r="J972" t="s">
        <v>1103</v>
      </c>
      <c r="K972">
        <v>2</v>
      </c>
      <c r="L972">
        <v>4</v>
      </c>
      <c r="M972">
        <v>117</v>
      </c>
    </row>
    <row r="973" spans="1:13" x14ac:dyDescent="0.25">
      <c r="A973" t="s">
        <v>1007</v>
      </c>
      <c r="B973" t="s">
        <v>5</v>
      </c>
      <c r="C973">
        <v>158</v>
      </c>
      <c r="D973" t="s">
        <v>10</v>
      </c>
      <c r="E973" s="46">
        <v>45276</v>
      </c>
      <c r="F973">
        <v>36</v>
      </c>
      <c r="G973">
        <v>4.7</v>
      </c>
      <c r="H973">
        <v>2024</v>
      </c>
      <c r="I973" t="s">
        <v>1096</v>
      </c>
      <c r="J973" t="s">
        <v>1103</v>
      </c>
      <c r="K973">
        <v>5</v>
      </c>
      <c r="L973">
        <v>4</v>
      </c>
      <c r="M973">
        <v>36</v>
      </c>
    </row>
    <row r="974" spans="1:13" x14ac:dyDescent="0.25">
      <c r="A974" t="s">
        <v>1008</v>
      </c>
      <c r="B974" t="s">
        <v>23</v>
      </c>
      <c r="C974">
        <v>45</v>
      </c>
      <c r="D974" t="s">
        <v>10</v>
      </c>
      <c r="E974" s="46">
        <v>45276</v>
      </c>
      <c r="F974">
        <v>84</v>
      </c>
      <c r="G974">
        <v>2.8</v>
      </c>
      <c r="H974">
        <v>2024</v>
      </c>
      <c r="I974" t="s">
        <v>1096</v>
      </c>
      <c r="J974" t="s">
        <v>1099</v>
      </c>
      <c r="K974">
        <v>3</v>
      </c>
      <c r="L974">
        <v>3</v>
      </c>
      <c r="M974">
        <v>84</v>
      </c>
    </row>
    <row r="975" spans="1:13" x14ac:dyDescent="0.25">
      <c r="A975" t="s">
        <v>1009</v>
      </c>
      <c r="B975" t="s">
        <v>24</v>
      </c>
      <c r="C975">
        <v>141</v>
      </c>
      <c r="D975" t="s">
        <v>10</v>
      </c>
      <c r="E975" s="46">
        <v>45276</v>
      </c>
      <c r="F975">
        <v>66</v>
      </c>
      <c r="G975">
        <v>3.2</v>
      </c>
      <c r="H975">
        <v>2024</v>
      </c>
      <c r="I975" t="s">
        <v>1096</v>
      </c>
      <c r="J975" t="s">
        <v>1103</v>
      </c>
      <c r="K975">
        <v>3</v>
      </c>
      <c r="L975">
        <v>4</v>
      </c>
      <c r="M975">
        <v>66</v>
      </c>
    </row>
    <row r="976" spans="1:13" x14ac:dyDescent="0.25">
      <c r="A976" t="s">
        <v>1010</v>
      </c>
      <c r="B976" t="s">
        <v>18</v>
      </c>
      <c r="C976">
        <v>147</v>
      </c>
      <c r="D976" t="s">
        <v>13</v>
      </c>
      <c r="E976" s="46">
        <v>45276</v>
      </c>
      <c r="F976">
        <v>76</v>
      </c>
      <c r="G976">
        <v>4.7</v>
      </c>
      <c r="H976">
        <v>2024</v>
      </c>
      <c r="I976" t="s">
        <v>1096</v>
      </c>
      <c r="J976" t="s">
        <v>1103</v>
      </c>
      <c r="K976">
        <v>5</v>
      </c>
      <c r="L976">
        <v>4</v>
      </c>
      <c r="M976">
        <v>76</v>
      </c>
    </row>
    <row r="977" spans="1:13" x14ac:dyDescent="0.25">
      <c r="A977" t="s">
        <v>1011</v>
      </c>
      <c r="B977" t="s">
        <v>19</v>
      </c>
      <c r="C977">
        <v>126</v>
      </c>
      <c r="D977" t="s">
        <v>13</v>
      </c>
      <c r="E977" s="46">
        <v>45276</v>
      </c>
      <c r="F977">
        <v>185</v>
      </c>
      <c r="G977">
        <v>4.8</v>
      </c>
      <c r="H977">
        <v>2024</v>
      </c>
      <c r="I977" t="s">
        <v>1096</v>
      </c>
      <c r="J977" t="s">
        <v>1103</v>
      </c>
      <c r="K977">
        <v>5</v>
      </c>
      <c r="L977">
        <v>4</v>
      </c>
      <c r="M977">
        <v>185</v>
      </c>
    </row>
    <row r="978" spans="1:13" x14ac:dyDescent="0.25">
      <c r="A978" t="s">
        <v>1012</v>
      </c>
      <c r="B978" t="s">
        <v>23</v>
      </c>
      <c r="C978">
        <v>126</v>
      </c>
      <c r="D978" t="s">
        <v>11</v>
      </c>
      <c r="E978" s="46">
        <v>45277</v>
      </c>
      <c r="F978">
        <v>80</v>
      </c>
      <c r="G978">
        <v>4.7</v>
      </c>
      <c r="H978">
        <v>2024</v>
      </c>
      <c r="I978" t="s">
        <v>1090</v>
      </c>
      <c r="J978" t="s">
        <v>1103</v>
      </c>
      <c r="K978">
        <v>5</v>
      </c>
      <c r="L978">
        <v>4</v>
      </c>
      <c r="M978">
        <v>80</v>
      </c>
    </row>
    <row r="979" spans="1:13" x14ac:dyDescent="0.25">
      <c r="A979" t="s">
        <v>1013</v>
      </c>
      <c r="B979" t="s">
        <v>14</v>
      </c>
      <c r="C979">
        <v>32</v>
      </c>
      <c r="D979" t="s">
        <v>13</v>
      </c>
      <c r="E979" s="46">
        <v>45277</v>
      </c>
      <c r="F979">
        <v>148</v>
      </c>
      <c r="G979">
        <v>4</v>
      </c>
      <c r="H979">
        <v>2024</v>
      </c>
      <c r="I979" t="s">
        <v>1090</v>
      </c>
      <c r="J979" t="s">
        <v>1099</v>
      </c>
      <c r="K979">
        <v>4</v>
      </c>
      <c r="L979">
        <v>3</v>
      </c>
      <c r="M979">
        <v>148</v>
      </c>
    </row>
    <row r="980" spans="1:13" x14ac:dyDescent="0.25">
      <c r="A980" t="s">
        <v>1014</v>
      </c>
      <c r="B980" t="s">
        <v>23</v>
      </c>
      <c r="C980">
        <v>84</v>
      </c>
      <c r="D980" t="s">
        <v>6</v>
      </c>
      <c r="E980" s="46">
        <v>45279</v>
      </c>
      <c r="F980">
        <v>180</v>
      </c>
      <c r="G980">
        <v>4.9000000000000004</v>
      </c>
      <c r="H980">
        <v>2024</v>
      </c>
      <c r="I980" t="s">
        <v>1092</v>
      </c>
      <c r="J980" t="s">
        <v>1099</v>
      </c>
      <c r="K980">
        <v>5</v>
      </c>
      <c r="L980">
        <v>3</v>
      </c>
      <c r="M980">
        <v>180</v>
      </c>
    </row>
    <row r="981" spans="1:13" x14ac:dyDescent="0.25">
      <c r="A981" t="s">
        <v>1015</v>
      </c>
      <c r="B981" t="s">
        <v>22</v>
      </c>
      <c r="C981">
        <v>120</v>
      </c>
      <c r="D981" t="s">
        <v>11</v>
      </c>
      <c r="E981" s="46">
        <v>45280</v>
      </c>
      <c r="F981">
        <v>190</v>
      </c>
      <c r="G981">
        <v>3.7</v>
      </c>
      <c r="H981">
        <v>2024</v>
      </c>
      <c r="I981" t="s">
        <v>1093</v>
      </c>
      <c r="J981" t="s">
        <v>1099</v>
      </c>
      <c r="K981">
        <v>4</v>
      </c>
      <c r="L981">
        <v>3</v>
      </c>
      <c r="M981">
        <v>190</v>
      </c>
    </row>
    <row r="982" spans="1:13" x14ac:dyDescent="0.25">
      <c r="A982" t="s">
        <v>1016</v>
      </c>
      <c r="B982" t="s">
        <v>8</v>
      </c>
      <c r="C982">
        <v>93</v>
      </c>
      <c r="D982" t="s">
        <v>13</v>
      </c>
      <c r="E982" s="46">
        <v>45280</v>
      </c>
      <c r="F982">
        <v>38</v>
      </c>
      <c r="G982">
        <v>4.5</v>
      </c>
      <c r="H982">
        <v>2024</v>
      </c>
      <c r="I982" t="s">
        <v>1093</v>
      </c>
      <c r="J982" t="s">
        <v>1099</v>
      </c>
      <c r="K982">
        <v>5</v>
      </c>
      <c r="L982">
        <v>3</v>
      </c>
      <c r="M982">
        <v>38</v>
      </c>
    </row>
    <row r="983" spans="1:13" x14ac:dyDescent="0.25">
      <c r="A983" t="s">
        <v>1017</v>
      </c>
      <c r="B983" t="s">
        <v>15</v>
      </c>
      <c r="C983">
        <v>76</v>
      </c>
      <c r="D983" t="s">
        <v>9</v>
      </c>
      <c r="E983" s="46">
        <v>45281</v>
      </c>
      <c r="F983">
        <v>82</v>
      </c>
      <c r="G983">
        <v>2.1</v>
      </c>
      <c r="H983">
        <v>2024</v>
      </c>
      <c r="I983" t="s">
        <v>1094</v>
      </c>
      <c r="J983" t="s">
        <v>1099</v>
      </c>
      <c r="K983">
        <v>2</v>
      </c>
      <c r="L983">
        <v>3</v>
      </c>
      <c r="M983">
        <v>82</v>
      </c>
    </row>
    <row r="984" spans="1:13" x14ac:dyDescent="0.25">
      <c r="A984" t="s">
        <v>1018</v>
      </c>
      <c r="B984" t="s">
        <v>5</v>
      </c>
      <c r="C984">
        <v>89</v>
      </c>
      <c r="D984" t="s">
        <v>13</v>
      </c>
      <c r="E984" s="46">
        <v>45284</v>
      </c>
      <c r="F984">
        <v>88</v>
      </c>
      <c r="G984">
        <v>2.8</v>
      </c>
      <c r="H984">
        <v>2024</v>
      </c>
      <c r="I984" t="s">
        <v>1090</v>
      </c>
      <c r="J984" t="s">
        <v>1099</v>
      </c>
      <c r="K984">
        <v>3</v>
      </c>
      <c r="L984">
        <v>3</v>
      </c>
      <c r="M984">
        <v>88</v>
      </c>
    </row>
    <row r="985" spans="1:13" x14ac:dyDescent="0.25">
      <c r="A985" t="s">
        <v>1019</v>
      </c>
      <c r="B985" t="s">
        <v>21</v>
      </c>
      <c r="C985">
        <v>91</v>
      </c>
      <c r="D985" t="s">
        <v>6</v>
      </c>
      <c r="E985" s="46">
        <v>45284</v>
      </c>
      <c r="F985">
        <v>42</v>
      </c>
      <c r="G985">
        <v>4.0999999999999996</v>
      </c>
      <c r="H985">
        <v>2024</v>
      </c>
      <c r="I985" t="s">
        <v>1090</v>
      </c>
      <c r="J985" t="s">
        <v>1099</v>
      </c>
      <c r="K985">
        <v>4</v>
      </c>
      <c r="L985">
        <v>3</v>
      </c>
      <c r="M985">
        <v>42</v>
      </c>
    </row>
    <row r="986" spans="1:13" x14ac:dyDescent="0.25">
      <c r="A986" t="s">
        <v>1020</v>
      </c>
      <c r="B986" t="s">
        <v>7</v>
      </c>
      <c r="C986">
        <v>7</v>
      </c>
      <c r="D986" t="s">
        <v>10</v>
      </c>
      <c r="E986" s="46">
        <v>45285</v>
      </c>
      <c r="F986">
        <v>64</v>
      </c>
      <c r="G986">
        <v>3.3</v>
      </c>
      <c r="H986">
        <v>2024</v>
      </c>
      <c r="I986" t="s">
        <v>1091</v>
      </c>
      <c r="J986" t="s">
        <v>1101</v>
      </c>
      <c r="K986">
        <v>3</v>
      </c>
      <c r="L986">
        <v>1</v>
      </c>
      <c r="M986">
        <v>64</v>
      </c>
    </row>
    <row r="987" spans="1:13" x14ac:dyDescent="0.25">
      <c r="A987" t="s">
        <v>1021</v>
      </c>
      <c r="B987" t="s">
        <v>14</v>
      </c>
      <c r="C987">
        <v>140</v>
      </c>
      <c r="D987" t="s">
        <v>10</v>
      </c>
      <c r="E987" s="46">
        <v>45285</v>
      </c>
      <c r="F987">
        <v>105</v>
      </c>
      <c r="G987">
        <v>1.7</v>
      </c>
      <c r="H987">
        <v>2024</v>
      </c>
      <c r="I987" t="s">
        <v>1091</v>
      </c>
      <c r="J987" t="s">
        <v>1103</v>
      </c>
      <c r="K987">
        <v>2</v>
      </c>
      <c r="L987">
        <v>4</v>
      </c>
      <c r="M987">
        <v>105</v>
      </c>
    </row>
    <row r="988" spans="1:13" x14ac:dyDescent="0.25">
      <c r="A988" t="s">
        <v>1022</v>
      </c>
      <c r="B988" t="s">
        <v>12</v>
      </c>
      <c r="C988">
        <v>58</v>
      </c>
      <c r="D988" t="s">
        <v>11</v>
      </c>
      <c r="E988" s="46">
        <v>45285</v>
      </c>
      <c r="F988">
        <v>25</v>
      </c>
      <c r="G988">
        <v>3.6</v>
      </c>
      <c r="H988">
        <v>2024</v>
      </c>
      <c r="I988" t="s">
        <v>1091</v>
      </c>
      <c r="J988" t="s">
        <v>1099</v>
      </c>
      <c r="K988">
        <v>4</v>
      </c>
      <c r="L988">
        <v>3</v>
      </c>
      <c r="M988">
        <v>25</v>
      </c>
    </row>
    <row r="989" spans="1:13" x14ac:dyDescent="0.25">
      <c r="A989" t="s">
        <v>1023</v>
      </c>
      <c r="B989" t="s">
        <v>20</v>
      </c>
      <c r="C989">
        <v>90</v>
      </c>
      <c r="D989" t="s">
        <v>9</v>
      </c>
      <c r="E989" s="46">
        <v>45286</v>
      </c>
      <c r="F989">
        <v>176</v>
      </c>
      <c r="G989">
        <v>3.6</v>
      </c>
      <c r="H989">
        <v>2024</v>
      </c>
      <c r="I989" t="s">
        <v>1092</v>
      </c>
      <c r="J989" t="s">
        <v>1099</v>
      </c>
      <c r="K989">
        <v>4</v>
      </c>
      <c r="L989">
        <v>3</v>
      </c>
      <c r="M989">
        <v>176</v>
      </c>
    </row>
    <row r="990" spans="1:13" x14ac:dyDescent="0.25">
      <c r="A990" t="s">
        <v>1024</v>
      </c>
      <c r="B990" t="s">
        <v>20</v>
      </c>
      <c r="C990">
        <v>106</v>
      </c>
      <c r="D990" t="s">
        <v>13</v>
      </c>
      <c r="E990" s="46">
        <v>45287</v>
      </c>
      <c r="F990">
        <v>46</v>
      </c>
      <c r="G990">
        <v>4.5999999999999996</v>
      </c>
      <c r="H990">
        <v>2024</v>
      </c>
      <c r="I990" t="s">
        <v>1093</v>
      </c>
      <c r="J990" t="s">
        <v>1099</v>
      </c>
      <c r="K990">
        <v>5</v>
      </c>
      <c r="L990">
        <v>3</v>
      </c>
      <c r="M990">
        <v>46</v>
      </c>
    </row>
    <row r="991" spans="1:13" x14ac:dyDescent="0.25">
      <c r="A991" t="s">
        <v>1025</v>
      </c>
      <c r="B991" t="s">
        <v>22</v>
      </c>
      <c r="C991">
        <v>72</v>
      </c>
      <c r="D991" t="s">
        <v>10</v>
      </c>
      <c r="E991" s="46">
        <v>45287</v>
      </c>
      <c r="F991">
        <v>164</v>
      </c>
      <c r="G991">
        <v>4.8</v>
      </c>
      <c r="H991">
        <v>2024</v>
      </c>
      <c r="I991" t="s">
        <v>1093</v>
      </c>
      <c r="J991" t="s">
        <v>1099</v>
      </c>
      <c r="K991">
        <v>5</v>
      </c>
      <c r="L991">
        <v>3</v>
      </c>
      <c r="M991">
        <v>164</v>
      </c>
    </row>
    <row r="992" spans="1:13" x14ac:dyDescent="0.25">
      <c r="A992" t="s">
        <v>1026</v>
      </c>
      <c r="B992" t="s">
        <v>7</v>
      </c>
      <c r="C992">
        <v>124</v>
      </c>
      <c r="D992" t="s">
        <v>10</v>
      </c>
      <c r="E992" s="46">
        <v>45288</v>
      </c>
      <c r="F992">
        <v>64</v>
      </c>
      <c r="G992">
        <v>4.5</v>
      </c>
      <c r="H992">
        <v>2024</v>
      </c>
      <c r="I992" t="s">
        <v>1094</v>
      </c>
      <c r="J992" t="s">
        <v>1103</v>
      </c>
      <c r="K992">
        <v>5</v>
      </c>
      <c r="L992">
        <v>4</v>
      </c>
      <c r="M992">
        <v>64</v>
      </c>
    </row>
    <row r="993" spans="1:13" x14ac:dyDescent="0.25">
      <c r="A993" t="s">
        <v>1027</v>
      </c>
      <c r="B993" t="s">
        <v>24</v>
      </c>
      <c r="C993">
        <v>86</v>
      </c>
      <c r="D993" t="s">
        <v>6</v>
      </c>
      <c r="E993" s="46">
        <v>45288</v>
      </c>
      <c r="F993">
        <v>205</v>
      </c>
      <c r="G993">
        <v>4.5</v>
      </c>
      <c r="H993">
        <v>2024</v>
      </c>
      <c r="I993" t="s">
        <v>1094</v>
      </c>
      <c r="J993" t="s">
        <v>1099</v>
      </c>
      <c r="K993">
        <v>5</v>
      </c>
      <c r="L993">
        <v>3</v>
      </c>
      <c r="M993">
        <v>205</v>
      </c>
    </row>
    <row r="994" spans="1:13" x14ac:dyDescent="0.25">
      <c r="A994" t="s">
        <v>1028</v>
      </c>
      <c r="B994" t="s">
        <v>23</v>
      </c>
      <c r="C994">
        <v>164</v>
      </c>
      <c r="D994" t="s">
        <v>6</v>
      </c>
      <c r="E994" s="46">
        <v>45289</v>
      </c>
      <c r="F994">
        <v>100</v>
      </c>
      <c r="G994">
        <v>4.5999999999999996</v>
      </c>
      <c r="H994">
        <v>2024</v>
      </c>
      <c r="I994" t="s">
        <v>1095</v>
      </c>
      <c r="J994" t="s">
        <v>1103</v>
      </c>
      <c r="K994">
        <v>5</v>
      </c>
      <c r="L994">
        <v>4</v>
      </c>
      <c r="M994">
        <v>100</v>
      </c>
    </row>
    <row r="995" spans="1:13" x14ac:dyDescent="0.25">
      <c r="A995" t="s">
        <v>1029</v>
      </c>
      <c r="B995" t="s">
        <v>8</v>
      </c>
      <c r="C995">
        <v>40</v>
      </c>
      <c r="D995" t="s">
        <v>9</v>
      </c>
      <c r="E995" s="46">
        <v>45289</v>
      </c>
      <c r="F995">
        <v>111</v>
      </c>
      <c r="G995">
        <v>4.5999999999999996</v>
      </c>
      <c r="H995">
        <v>2024</v>
      </c>
      <c r="I995" t="s">
        <v>1095</v>
      </c>
      <c r="J995" t="s">
        <v>1099</v>
      </c>
      <c r="K995">
        <v>5</v>
      </c>
      <c r="L995">
        <v>3</v>
      </c>
      <c r="M995">
        <v>111</v>
      </c>
    </row>
    <row r="996" spans="1:13" x14ac:dyDescent="0.25">
      <c r="A996" t="s">
        <v>1030</v>
      </c>
      <c r="B996" t="s">
        <v>21</v>
      </c>
      <c r="C996">
        <v>76</v>
      </c>
      <c r="D996" t="s">
        <v>11</v>
      </c>
      <c r="E996" s="46">
        <v>45289</v>
      </c>
      <c r="F996">
        <v>80</v>
      </c>
      <c r="G996">
        <v>3.5</v>
      </c>
      <c r="H996">
        <v>2024</v>
      </c>
      <c r="I996" t="s">
        <v>1095</v>
      </c>
      <c r="J996" t="s">
        <v>1099</v>
      </c>
      <c r="K996">
        <v>4</v>
      </c>
      <c r="L996">
        <v>3</v>
      </c>
      <c r="M996">
        <v>80</v>
      </c>
    </row>
    <row r="997" spans="1:13" x14ac:dyDescent="0.25">
      <c r="A997" t="s">
        <v>1031</v>
      </c>
      <c r="B997" t="s">
        <v>7</v>
      </c>
      <c r="C997">
        <v>95</v>
      </c>
      <c r="D997" t="s">
        <v>13</v>
      </c>
      <c r="E997" s="46">
        <v>45289</v>
      </c>
      <c r="F997">
        <v>50</v>
      </c>
      <c r="G997">
        <v>2.9</v>
      </c>
      <c r="H997">
        <v>2024</v>
      </c>
      <c r="I997" t="s">
        <v>1095</v>
      </c>
      <c r="J997" t="s">
        <v>1099</v>
      </c>
      <c r="K997">
        <v>3</v>
      </c>
      <c r="L997">
        <v>3</v>
      </c>
      <c r="M997">
        <v>50</v>
      </c>
    </row>
    <row r="998" spans="1:13" x14ac:dyDescent="0.25">
      <c r="A998" t="s">
        <v>1032</v>
      </c>
      <c r="B998" t="s">
        <v>21</v>
      </c>
      <c r="C998">
        <v>113</v>
      </c>
      <c r="D998" t="s">
        <v>10</v>
      </c>
      <c r="E998" s="46">
        <v>45290</v>
      </c>
      <c r="F998">
        <v>165</v>
      </c>
      <c r="G998">
        <v>4.7</v>
      </c>
      <c r="H998">
        <v>2024</v>
      </c>
      <c r="I998" t="s">
        <v>1096</v>
      </c>
      <c r="J998" t="s">
        <v>1099</v>
      </c>
      <c r="K998">
        <v>5</v>
      </c>
      <c r="L998">
        <v>3</v>
      </c>
      <c r="M998">
        <v>165</v>
      </c>
    </row>
    <row r="999" spans="1:13" x14ac:dyDescent="0.25">
      <c r="A999" t="s">
        <v>1033</v>
      </c>
      <c r="B999" t="s">
        <v>24</v>
      </c>
      <c r="C999">
        <v>81</v>
      </c>
      <c r="D999" t="s">
        <v>10</v>
      </c>
      <c r="E999" s="46">
        <v>45290</v>
      </c>
      <c r="F999">
        <v>28</v>
      </c>
      <c r="G999">
        <v>3.9</v>
      </c>
      <c r="H999">
        <v>2024</v>
      </c>
      <c r="I999" t="s">
        <v>1096</v>
      </c>
      <c r="J999" t="s">
        <v>1099</v>
      </c>
      <c r="K999">
        <v>4</v>
      </c>
      <c r="L999">
        <v>3</v>
      </c>
      <c r="M999">
        <v>28</v>
      </c>
    </row>
    <row r="1000" spans="1:13" x14ac:dyDescent="0.25">
      <c r="A1000" t="s">
        <v>1034</v>
      </c>
      <c r="B1000" t="s">
        <v>15</v>
      </c>
      <c r="C1000">
        <v>127</v>
      </c>
      <c r="D1000" t="s">
        <v>13</v>
      </c>
      <c r="E1000" s="46">
        <v>45290</v>
      </c>
      <c r="F1000">
        <v>215</v>
      </c>
      <c r="G1000">
        <v>3.8</v>
      </c>
      <c r="H1000">
        <v>2024</v>
      </c>
      <c r="I1000" t="s">
        <v>1096</v>
      </c>
      <c r="J1000" t="s">
        <v>1103</v>
      </c>
      <c r="K1000">
        <v>4</v>
      </c>
      <c r="L1000">
        <v>4</v>
      </c>
      <c r="M1000">
        <v>215</v>
      </c>
    </row>
    <row r="1001" spans="1:13" x14ac:dyDescent="0.25">
      <c r="A1001" t="s">
        <v>1035</v>
      </c>
      <c r="B1001" t="s">
        <v>14</v>
      </c>
      <c r="C1001">
        <v>146</v>
      </c>
      <c r="D1001" t="s">
        <v>10</v>
      </c>
      <c r="E1001" s="46">
        <v>45291</v>
      </c>
      <c r="F1001">
        <v>115</v>
      </c>
      <c r="G1001">
        <v>2.2999999999999998</v>
      </c>
      <c r="H1001">
        <v>2024</v>
      </c>
      <c r="I1001" t="s">
        <v>1090</v>
      </c>
      <c r="J1001" t="s">
        <v>1103</v>
      </c>
      <c r="K1001">
        <v>2</v>
      </c>
      <c r="L1001">
        <v>4</v>
      </c>
      <c r="M1001">
        <v>115</v>
      </c>
    </row>
    <row r="1002" spans="1:13" x14ac:dyDescent="0.25">
      <c r="A1002" t="s">
        <v>1036</v>
      </c>
      <c r="B1002" t="s">
        <v>18</v>
      </c>
      <c r="C1002">
        <v>123</v>
      </c>
      <c r="D1002" t="s">
        <v>10</v>
      </c>
      <c r="E1002" s="46">
        <v>45291</v>
      </c>
      <c r="F1002">
        <v>64</v>
      </c>
      <c r="G1002">
        <v>3.7</v>
      </c>
      <c r="H1002">
        <v>2024</v>
      </c>
      <c r="I1002" t="s">
        <v>1090</v>
      </c>
      <c r="J1002" t="s">
        <v>1103</v>
      </c>
      <c r="K1002">
        <v>4</v>
      </c>
      <c r="L1002">
        <v>4</v>
      </c>
      <c r="M1002">
        <v>64</v>
      </c>
    </row>
    <row r="1003" spans="1:13" x14ac:dyDescent="0.25">
      <c r="A1003" t="s">
        <v>1037</v>
      </c>
      <c r="B1003" t="s">
        <v>22</v>
      </c>
      <c r="C1003">
        <v>114</v>
      </c>
      <c r="D1003" t="s">
        <v>11</v>
      </c>
      <c r="E1003" s="46">
        <v>45291</v>
      </c>
      <c r="F1003">
        <v>40</v>
      </c>
      <c r="G1003">
        <v>3.9</v>
      </c>
      <c r="H1003">
        <v>2024</v>
      </c>
      <c r="I1003" t="s">
        <v>1090</v>
      </c>
      <c r="J1003" t="s">
        <v>1099</v>
      </c>
      <c r="K1003">
        <v>4</v>
      </c>
      <c r="L1003">
        <v>3</v>
      </c>
      <c r="M1003">
        <v>40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C1340-8C64-4F1E-A812-63A24C5E3083}">
  <dimension ref="A3:I121"/>
  <sheetViews>
    <sheetView topLeftCell="A95" zoomScale="77" zoomScaleNormal="161" workbookViewId="0">
      <selection activeCell="G104" sqref="G104:G121"/>
    </sheetView>
  </sheetViews>
  <sheetFormatPr defaultRowHeight="13.8" x14ac:dyDescent="0.25"/>
  <cols>
    <col min="1" max="2" width="14.3984375" bestFit="1" customWidth="1"/>
    <col min="3" max="3" width="15.3984375" bestFit="1" customWidth="1"/>
    <col min="4" max="4" width="19.796875" bestFit="1" customWidth="1"/>
    <col min="5" max="5" width="9.5" bestFit="1" customWidth="1"/>
    <col min="6" max="7" width="14.3984375" bestFit="1" customWidth="1"/>
    <col min="8" max="8" width="15.09765625" bestFit="1" customWidth="1"/>
    <col min="9" max="9" width="14.09765625" customWidth="1"/>
  </cols>
  <sheetData>
    <row r="3" spans="1:5" x14ac:dyDescent="0.25">
      <c r="A3" t="s">
        <v>1106</v>
      </c>
      <c r="B3" t="s">
        <v>1107</v>
      </c>
      <c r="C3" t="s">
        <v>1108</v>
      </c>
      <c r="D3" t="s">
        <v>1109</v>
      </c>
      <c r="E3" t="s">
        <v>1110</v>
      </c>
    </row>
    <row r="4" spans="1:5" x14ac:dyDescent="0.25">
      <c r="A4" s="45">
        <v>1000</v>
      </c>
      <c r="B4" s="49">
        <v>96623</v>
      </c>
      <c r="C4" s="45">
        <v>89850</v>
      </c>
      <c r="D4" s="45">
        <v>3.8854000000000033</v>
      </c>
      <c r="E4" s="45">
        <v>307</v>
      </c>
    </row>
    <row r="17" spans="1:7" x14ac:dyDescent="0.25">
      <c r="A17" t="s">
        <v>1106</v>
      </c>
      <c r="B17" t="s">
        <v>1107</v>
      </c>
      <c r="C17" t="s">
        <v>1108</v>
      </c>
      <c r="D17" t="s">
        <v>1109</v>
      </c>
      <c r="E17" t="s">
        <v>1110</v>
      </c>
    </row>
    <row r="18" spans="1:7" x14ac:dyDescent="0.25">
      <c r="A18" s="45">
        <v>200</v>
      </c>
      <c r="B18" s="49">
        <v>20104</v>
      </c>
      <c r="C18" s="45">
        <v>18209</v>
      </c>
      <c r="D18" s="45">
        <v>3.8824999999999998</v>
      </c>
      <c r="E18" s="45">
        <v>51</v>
      </c>
    </row>
    <row r="25" spans="1:7" x14ac:dyDescent="0.25">
      <c r="A25" s="34" t="s">
        <v>1062</v>
      </c>
      <c r="B25" t="s">
        <v>1106</v>
      </c>
      <c r="C25" t="s">
        <v>1125</v>
      </c>
    </row>
    <row r="26" spans="1:7" x14ac:dyDescent="0.25">
      <c r="A26" s="35" t="s">
        <v>1074</v>
      </c>
      <c r="B26" s="45">
        <v>21</v>
      </c>
      <c r="C26" s="45">
        <v>21</v>
      </c>
      <c r="F26" s="34" t="s">
        <v>1062</v>
      </c>
      <c r="G26" t="s">
        <v>1106</v>
      </c>
    </row>
    <row r="27" spans="1:7" x14ac:dyDescent="0.25">
      <c r="A27" s="35" t="s">
        <v>1075</v>
      </c>
      <c r="B27" s="45">
        <v>18</v>
      </c>
      <c r="C27" s="45">
        <v>18</v>
      </c>
      <c r="F27" s="35" t="s">
        <v>1090</v>
      </c>
      <c r="G27" s="45">
        <v>27</v>
      </c>
    </row>
    <row r="28" spans="1:7" x14ac:dyDescent="0.25">
      <c r="A28" s="35" t="s">
        <v>1076</v>
      </c>
      <c r="B28" s="45">
        <v>31</v>
      </c>
      <c r="C28" s="45">
        <v>31</v>
      </c>
      <c r="F28" s="35" t="s">
        <v>1091</v>
      </c>
      <c r="G28" s="45">
        <v>22</v>
      </c>
    </row>
    <row r="29" spans="1:7" x14ac:dyDescent="0.25">
      <c r="A29" s="35" t="s">
        <v>1077</v>
      </c>
      <c r="B29" s="45">
        <v>20</v>
      </c>
      <c r="C29" s="45">
        <v>20</v>
      </c>
      <c r="F29" s="35" t="s">
        <v>1092</v>
      </c>
      <c r="G29" s="45">
        <v>27</v>
      </c>
    </row>
    <row r="30" spans="1:7" x14ac:dyDescent="0.25">
      <c r="A30" s="35" t="s">
        <v>1078</v>
      </c>
      <c r="B30" s="45">
        <v>8</v>
      </c>
      <c r="C30" s="45">
        <v>8</v>
      </c>
      <c r="F30" s="35" t="s">
        <v>1093</v>
      </c>
      <c r="G30" s="45">
        <v>27</v>
      </c>
    </row>
    <row r="31" spans="1:7" x14ac:dyDescent="0.25">
      <c r="A31" s="35" t="s">
        <v>1079</v>
      </c>
      <c r="B31" s="45">
        <v>12</v>
      </c>
      <c r="C31" s="45">
        <v>12</v>
      </c>
      <c r="F31" s="35" t="s">
        <v>1094</v>
      </c>
      <c r="G31" s="45">
        <v>27</v>
      </c>
    </row>
    <row r="32" spans="1:7" x14ac:dyDescent="0.25">
      <c r="A32" s="35" t="s">
        <v>1080</v>
      </c>
      <c r="B32" s="45">
        <v>12</v>
      </c>
      <c r="C32" s="45">
        <v>12</v>
      </c>
      <c r="F32" s="35" t="s">
        <v>1095</v>
      </c>
      <c r="G32" s="45">
        <v>32</v>
      </c>
    </row>
    <row r="33" spans="1:7" x14ac:dyDescent="0.25">
      <c r="A33" s="35" t="s">
        <v>1081</v>
      </c>
      <c r="B33" s="45">
        <v>7</v>
      </c>
      <c r="C33" s="45">
        <v>7</v>
      </c>
      <c r="F33" s="35" t="s">
        <v>1096</v>
      </c>
      <c r="G33" s="45">
        <v>38</v>
      </c>
    </row>
    <row r="34" spans="1:7" x14ac:dyDescent="0.25">
      <c r="A34" s="35" t="s">
        <v>1082</v>
      </c>
      <c r="B34" s="45">
        <v>20</v>
      </c>
      <c r="C34" s="45">
        <v>20</v>
      </c>
      <c r="F34" s="35" t="s">
        <v>1063</v>
      </c>
      <c r="G34" s="45">
        <v>200</v>
      </c>
    </row>
    <row r="35" spans="1:7" x14ac:dyDescent="0.25">
      <c r="A35" s="35" t="s">
        <v>1083</v>
      </c>
      <c r="B35" s="45">
        <v>24</v>
      </c>
      <c r="C35" s="45">
        <v>24</v>
      </c>
    </row>
    <row r="36" spans="1:7" x14ac:dyDescent="0.25">
      <c r="A36" s="35" t="s">
        <v>1084</v>
      </c>
      <c r="B36" s="45">
        <v>12</v>
      </c>
      <c r="C36" s="45">
        <v>12</v>
      </c>
    </row>
    <row r="37" spans="1:7" x14ac:dyDescent="0.25">
      <c r="A37" s="35" t="s">
        <v>1085</v>
      </c>
      <c r="B37" s="45">
        <v>15</v>
      </c>
      <c r="C37" s="45">
        <v>15</v>
      </c>
    </row>
    <row r="38" spans="1:7" x14ac:dyDescent="0.25">
      <c r="A38" s="35" t="s">
        <v>1063</v>
      </c>
      <c r="B38" s="45">
        <v>200</v>
      </c>
      <c r="C38" s="45">
        <v>200</v>
      </c>
    </row>
    <row r="50" spans="1:9" x14ac:dyDescent="0.25">
      <c r="E50" t="s">
        <v>1126</v>
      </c>
      <c r="G50" t="s">
        <v>1130</v>
      </c>
      <c r="H50" t="str">
        <f>A66</f>
        <v>R05</v>
      </c>
    </row>
    <row r="51" spans="1:9" x14ac:dyDescent="0.25">
      <c r="A51" s="34" t="s">
        <v>1062</v>
      </c>
      <c r="B51" t="s">
        <v>1106</v>
      </c>
      <c r="C51" t="s">
        <v>1107</v>
      </c>
    </row>
    <row r="52" spans="1:9" x14ac:dyDescent="0.25">
      <c r="A52" s="35" t="s">
        <v>11</v>
      </c>
      <c r="B52" s="45">
        <v>189</v>
      </c>
      <c r="C52" s="49">
        <v>18415</v>
      </c>
      <c r="E52" t="s">
        <v>1127</v>
      </c>
      <c r="F52" t="s">
        <v>1128</v>
      </c>
      <c r="G52" t="s">
        <v>1129</v>
      </c>
      <c r="H52" t="s">
        <v>1131</v>
      </c>
      <c r="I52" t="s">
        <v>1132</v>
      </c>
    </row>
    <row r="53" spans="1:9" x14ac:dyDescent="0.25">
      <c r="A53" s="35" t="s">
        <v>9</v>
      </c>
      <c r="B53" s="45">
        <v>218</v>
      </c>
      <c r="C53" s="49">
        <v>20581</v>
      </c>
      <c r="E53" t="str" cm="1">
        <f t="array" ref="E53:G57">A52:C56</f>
        <v>R01</v>
      </c>
      <c r="F53">
        <v>189</v>
      </c>
      <c r="G53" s="38">
        <v>18415</v>
      </c>
      <c r="H53" t="e">
        <f>IF(E53= $H$50,F53,NA())</f>
        <v>#N/A</v>
      </c>
      <c r="I53" t="e">
        <f>IF(E53=$H$50,G53,NA())</f>
        <v>#N/A</v>
      </c>
    </row>
    <row r="54" spans="1:9" x14ac:dyDescent="0.25">
      <c r="A54" s="35" t="s">
        <v>6</v>
      </c>
      <c r="B54" s="45">
        <v>207</v>
      </c>
      <c r="C54" s="49">
        <v>20872</v>
      </c>
      <c r="E54" t="str">
        <v>R02</v>
      </c>
      <c r="F54">
        <v>218</v>
      </c>
      <c r="G54" s="38">
        <v>20581</v>
      </c>
      <c r="H54" t="e">
        <f t="shared" ref="H54:H57" si="0">IF(E54= $H$50,F54,NA())</f>
        <v>#N/A</v>
      </c>
      <c r="I54" t="e">
        <f t="shared" ref="I54:I57" si="1">IF(E54=$H$50,G54,NA())</f>
        <v>#N/A</v>
      </c>
    </row>
    <row r="55" spans="1:9" x14ac:dyDescent="0.25">
      <c r="A55" s="35" t="s">
        <v>13</v>
      </c>
      <c r="B55" s="45">
        <v>186</v>
      </c>
      <c r="C55" s="49">
        <v>16651</v>
      </c>
      <c r="E55" t="str">
        <v>R03</v>
      </c>
      <c r="F55">
        <v>207</v>
      </c>
      <c r="G55" s="38">
        <v>20872</v>
      </c>
      <c r="H55" t="e">
        <f t="shared" si="0"/>
        <v>#N/A</v>
      </c>
      <c r="I55" t="e">
        <f t="shared" si="1"/>
        <v>#N/A</v>
      </c>
    </row>
    <row r="56" spans="1:9" x14ac:dyDescent="0.25">
      <c r="A56" s="35" t="s">
        <v>10</v>
      </c>
      <c r="B56" s="45">
        <v>200</v>
      </c>
      <c r="C56" s="49">
        <v>20104</v>
      </c>
      <c r="E56" t="str">
        <v>R04</v>
      </c>
      <c r="F56">
        <v>186</v>
      </c>
      <c r="G56" s="38">
        <v>16651</v>
      </c>
      <c r="H56" t="e">
        <f t="shared" si="0"/>
        <v>#N/A</v>
      </c>
      <c r="I56" t="e">
        <f t="shared" si="1"/>
        <v>#N/A</v>
      </c>
    </row>
    <row r="57" spans="1:9" x14ac:dyDescent="0.25">
      <c r="A57" s="35" t="s">
        <v>1063</v>
      </c>
      <c r="B57" s="45">
        <v>1000</v>
      </c>
      <c r="C57" s="49">
        <v>96623</v>
      </c>
      <c r="E57" t="str">
        <v>R05</v>
      </c>
      <c r="F57">
        <v>200</v>
      </c>
      <c r="G57" s="38">
        <v>20104</v>
      </c>
      <c r="H57">
        <f t="shared" si="0"/>
        <v>200</v>
      </c>
      <c r="I57">
        <f t="shared" si="1"/>
        <v>20104</v>
      </c>
    </row>
    <row r="65" spans="1:4" x14ac:dyDescent="0.25">
      <c r="A65" s="34" t="s">
        <v>1062</v>
      </c>
    </row>
    <row r="66" spans="1:4" x14ac:dyDescent="0.25">
      <c r="A66" s="48" t="s">
        <v>10</v>
      </c>
    </row>
    <row r="75" spans="1:4" x14ac:dyDescent="0.25">
      <c r="A75" s="34" t="s">
        <v>1106</v>
      </c>
      <c r="B75" s="34" t="s">
        <v>1089</v>
      </c>
    </row>
    <row r="76" spans="1:4" x14ac:dyDescent="0.25">
      <c r="A76" s="34" t="s">
        <v>1062</v>
      </c>
      <c r="B76" t="s">
        <v>999</v>
      </c>
      <c r="C76" t="s">
        <v>998</v>
      </c>
      <c r="D76" t="s">
        <v>1063</v>
      </c>
    </row>
    <row r="77" spans="1:4" x14ac:dyDescent="0.25">
      <c r="A77" s="35" t="s">
        <v>1002</v>
      </c>
      <c r="B77" s="45">
        <v>144</v>
      </c>
      <c r="C77" s="45">
        <v>132</v>
      </c>
      <c r="D77" s="45">
        <v>276</v>
      </c>
    </row>
    <row r="78" spans="1:4" x14ac:dyDescent="0.25">
      <c r="A78" s="35" t="s">
        <v>1001</v>
      </c>
      <c r="B78" s="45">
        <v>326</v>
      </c>
      <c r="C78" s="45">
        <v>63</v>
      </c>
      <c r="D78" s="45">
        <v>389</v>
      </c>
    </row>
    <row r="79" spans="1:4" x14ac:dyDescent="0.25">
      <c r="A79" s="35" t="s">
        <v>1000</v>
      </c>
      <c r="B79" s="45">
        <v>129</v>
      </c>
      <c r="C79" s="45">
        <v>206</v>
      </c>
      <c r="D79" s="45">
        <v>335</v>
      </c>
    </row>
    <row r="80" spans="1:4" x14ac:dyDescent="0.25">
      <c r="A80" s="35" t="s">
        <v>1063</v>
      </c>
      <c r="B80" s="45">
        <v>599</v>
      </c>
      <c r="C80" s="45">
        <v>401</v>
      </c>
      <c r="D80" s="45">
        <v>1000</v>
      </c>
    </row>
    <row r="87" spans="1:2" x14ac:dyDescent="0.25">
      <c r="A87" s="34" t="s">
        <v>1062</v>
      </c>
      <c r="B87" t="s">
        <v>1106</v>
      </c>
    </row>
    <row r="88" spans="1:2" x14ac:dyDescent="0.25">
      <c r="A88" s="35">
        <v>2</v>
      </c>
      <c r="B88" s="45">
        <v>10</v>
      </c>
    </row>
    <row r="89" spans="1:2" x14ac:dyDescent="0.25">
      <c r="A89" s="35">
        <v>3</v>
      </c>
      <c r="B89" s="45">
        <v>44</v>
      </c>
    </row>
    <row r="90" spans="1:2" x14ac:dyDescent="0.25">
      <c r="A90" s="35">
        <v>4</v>
      </c>
      <c r="B90" s="45">
        <v>95</v>
      </c>
    </row>
    <row r="91" spans="1:2" x14ac:dyDescent="0.25">
      <c r="A91" s="35">
        <v>5</v>
      </c>
      <c r="B91" s="45">
        <v>51</v>
      </c>
    </row>
    <row r="92" spans="1:2" x14ac:dyDescent="0.25">
      <c r="A92" s="35" t="s">
        <v>1063</v>
      </c>
      <c r="B92" s="45">
        <v>200</v>
      </c>
    </row>
    <row r="101" spans="1:7" x14ac:dyDescent="0.25">
      <c r="A101" s="34" t="s">
        <v>1107</v>
      </c>
      <c r="B101" s="34" t="s">
        <v>1089</v>
      </c>
    </row>
    <row r="102" spans="1:7" x14ac:dyDescent="0.25">
      <c r="A102" s="34" t="s">
        <v>1062</v>
      </c>
      <c r="B102" t="s">
        <v>11</v>
      </c>
      <c r="C102" t="s">
        <v>9</v>
      </c>
      <c r="D102" t="s">
        <v>6</v>
      </c>
      <c r="E102" t="s">
        <v>13</v>
      </c>
      <c r="F102" t="s">
        <v>10</v>
      </c>
      <c r="G102" t="s">
        <v>1063</v>
      </c>
    </row>
    <row r="103" spans="1:7" x14ac:dyDescent="0.25">
      <c r="A103" s="35" t="s">
        <v>1002</v>
      </c>
    </row>
    <row r="104" spans="1:7" x14ac:dyDescent="0.25">
      <c r="A104" s="41" t="s">
        <v>20</v>
      </c>
      <c r="B104" s="49">
        <v>891</v>
      </c>
      <c r="C104" s="49">
        <v>1332</v>
      </c>
      <c r="D104" s="49">
        <v>1282</v>
      </c>
      <c r="E104" s="49">
        <v>739</v>
      </c>
      <c r="F104" s="49">
        <v>560</v>
      </c>
      <c r="G104" s="49">
        <v>4804</v>
      </c>
    </row>
    <row r="105" spans="1:7" x14ac:dyDescent="0.25">
      <c r="A105" s="41" t="s">
        <v>12</v>
      </c>
      <c r="B105" s="49">
        <v>1991</v>
      </c>
      <c r="C105" s="49">
        <v>1886</v>
      </c>
      <c r="D105" s="49">
        <v>1206</v>
      </c>
      <c r="E105" s="49">
        <v>884</v>
      </c>
      <c r="F105" s="49">
        <v>1722</v>
      </c>
      <c r="G105" s="49">
        <v>7689</v>
      </c>
    </row>
    <row r="106" spans="1:7" x14ac:dyDescent="0.25">
      <c r="A106" s="41" t="s">
        <v>8</v>
      </c>
      <c r="B106" s="49">
        <v>1163</v>
      </c>
      <c r="C106" s="49">
        <v>1180</v>
      </c>
      <c r="D106" s="49">
        <v>1616</v>
      </c>
      <c r="E106" s="49">
        <v>1043</v>
      </c>
      <c r="F106" s="49">
        <v>1747</v>
      </c>
      <c r="G106" s="49">
        <v>6749</v>
      </c>
    </row>
    <row r="107" spans="1:7" x14ac:dyDescent="0.25">
      <c r="A107" s="41" t="s">
        <v>16</v>
      </c>
      <c r="B107" s="49">
        <v>1438</v>
      </c>
      <c r="C107" s="49">
        <v>1616</v>
      </c>
      <c r="D107" s="49">
        <v>866</v>
      </c>
      <c r="E107" s="49">
        <v>829</v>
      </c>
      <c r="F107" s="49">
        <v>2070</v>
      </c>
      <c r="G107" s="49">
        <v>6819</v>
      </c>
    </row>
    <row r="108" spans="1:7" x14ac:dyDescent="0.25">
      <c r="A108" s="35" t="s">
        <v>1001</v>
      </c>
    </row>
    <row r="109" spans="1:7" x14ac:dyDescent="0.25">
      <c r="A109" s="41" t="s">
        <v>24</v>
      </c>
      <c r="B109" s="49">
        <v>1233</v>
      </c>
      <c r="C109" s="49">
        <v>223</v>
      </c>
      <c r="D109" s="49">
        <v>1680</v>
      </c>
      <c r="E109" s="49">
        <v>990</v>
      </c>
      <c r="F109" s="49">
        <v>1508</v>
      </c>
      <c r="G109" s="49">
        <v>5634</v>
      </c>
    </row>
    <row r="110" spans="1:7" x14ac:dyDescent="0.25">
      <c r="A110" s="41" t="s">
        <v>15</v>
      </c>
      <c r="B110" s="49">
        <v>1598</v>
      </c>
      <c r="C110" s="49">
        <v>1907</v>
      </c>
      <c r="D110" s="49">
        <v>869</v>
      </c>
      <c r="E110" s="49">
        <v>1426</v>
      </c>
      <c r="F110" s="49">
        <v>1416</v>
      </c>
      <c r="G110" s="49">
        <v>7216</v>
      </c>
    </row>
    <row r="111" spans="1:7" x14ac:dyDescent="0.25">
      <c r="A111" s="41" t="s">
        <v>5</v>
      </c>
      <c r="B111" s="49">
        <v>900</v>
      </c>
      <c r="C111" s="49">
        <v>1016</v>
      </c>
      <c r="D111" s="49">
        <v>960</v>
      </c>
      <c r="E111" s="49">
        <v>940</v>
      </c>
      <c r="F111" s="49">
        <v>1193</v>
      </c>
      <c r="G111" s="49">
        <v>5009</v>
      </c>
    </row>
    <row r="112" spans="1:7" x14ac:dyDescent="0.25">
      <c r="A112" s="41" t="s">
        <v>18</v>
      </c>
      <c r="B112" s="49">
        <v>900</v>
      </c>
      <c r="C112" s="49">
        <v>1470</v>
      </c>
      <c r="D112" s="49">
        <v>1617</v>
      </c>
      <c r="E112" s="49">
        <v>1314</v>
      </c>
      <c r="F112" s="49">
        <v>941</v>
      </c>
      <c r="G112" s="49">
        <v>6242</v>
      </c>
    </row>
    <row r="113" spans="1:7" x14ac:dyDescent="0.25">
      <c r="A113" s="41" t="s">
        <v>14</v>
      </c>
      <c r="B113" s="49">
        <v>1255</v>
      </c>
      <c r="C113" s="49">
        <v>516</v>
      </c>
      <c r="D113" s="49">
        <v>1874</v>
      </c>
      <c r="E113" s="49">
        <v>1863</v>
      </c>
      <c r="F113" s="49">
        <v>1722</v>
      </c>
      <c r="G113" s="49">
        <v>7230</v>
      </c>
    </row>
    <row r="114" spans="1:7" x14ac:dyDescent="0.25">
      <c r="A114" s="41" t="s">
        <v>19</v>
      </c>
      <c r="B114" s="49">
        <v>1138</v>
      </c>
      <c r="C114" s="49">
        <v>1898</v>
      </c>
      <c r="D114" s="49">
        <v>1482</v>
      </c>
      <c r="E114" s="49">
        <v>846</v>
      </c>
      <c r="F114" s="49">
        <v>1154</v>
      </c>
      <c r="G114" s="49">
        <v>6518</v>
      </c>
    </row>
    <row r="115" spans="1:7" x14ac:dyDescent="0.25">
      <c r="A115" s="35" t="s">
        <v>1000</v>
      </c>
    </row>
    <row r="116" spans="1:7" x14ac:dyDescent="0.25">
      <c r="A116" s="41" t="s">
        <v>17</v>
      </c>
      <c r="B116" s="49">
        <v>1655</v>
      </c>
      <c r="C116" s="49">
        <v>805</v>
      </c>
      <c r="D116" s="49">
        <v>2263</v>
      </c>
      <c r="E116" s="49">
        <v>987</v>
      </c>
      <c r="F116" s="49">
        <v>1075</v>
      </c>
      <c r="G116" s="49">
        <v>6785</v>
      </c>
    </row>
    <row r="117" spans="1:7" x14ac:dyDescent="0.25">
      <c r="A117" s="41" t="s">
        <v>23</v>
      </c>
      <c r="B117" s="49">
        <v>1104</v>
      </c>
      <c r="C117" s="49">
        <v>2280</v>
      </c>
      <c r="D117" s="49">
        <v>1445</v>
      </c>
      <c r="E117" s="49">
        <v>1722</v>
      </c>
      <c r="F117" s="49">
        <v>1196</v>
      </c>
      <c r="G117" s="49">
        <v>7747</v>
      </c>
    </row>
    <row r="118" spans="1:7" x14ac:dyDescent="0.25">
      <c r="A118" s="41" t="s">
        <v>7</v>
      </c>
      <c r="B118" s="49">
        <v>372</v>
      </c>
      <c r="C118" s="49">
        <v>1818</v>
      </c>
      <c r="D118" s="49">
        <v>1346</v>
      </c>
      <c r="E118" s="49">
        <v>1156</v>
      </c>
      <c r="F118" s="49">
        <v>1484</v>
      </c>
      <c r="G118" s="49">
        <v>6176</v>
      </c>
    </row>
    <row r="119" spans="1:7" x14ac:dyDescent="0.25">
      <c r="A119" s="41" t="s">
        <v>22</v>
      </c>
      <c r="B119" s="49">
        <v>1415</v>
      </c>
      <c r="C119" s="49">
        <v>1271</v>
      </c>
      <c r="D119" s="49">
        <v>1214</v>
      </c>
      <c r="E119" s="49">
        <v>1135</v>
      </c>
      <c r="F119" s="49">
        <v>1566</v>
      </c>
      <c r="G119" s="49">
        <v>6601</v>
      </c>
    </row>
    <row r="120" spans="1:7" x14ac:dyDescent="0.25">
      <c r="A120" s="41" t="s">
        <v>21</v>
      </c>
      <c r="B120" s="49">
        <v>1362</v>
      </c>
      <c r="C120" s="49">
        <v>1363</v>
      </c>
      <c r="D120" s="49">
        <v>1152</v>
      </c>
      <c r="E120" s="49">
        <v>777</v>
      </c>
      <c r="F120" s="49">
        <v>750</v>
      </c>
      <c r="G120" s="49">
        <v>5404</v>
      </c>
    </row>
    <row r="121" spans="1:7" x14ac:dyDescent="0.25">
      <c r="A121" s="35" t="s">
        <v>1063</v>
      </c>
      <c r="B121" s="49">
        <v>18415</v>
      </c>
      <c r="C121" s="49">
        <v>20581</v>
      </c>
      <c r="D121" s="49">
        <v>20872</v>
      </c>
      <c r="E121" s="49">
        <v>16651</v>
      </c>
      <c r="F121" s="49">
        <v>20104</v>
      </c>
      <c r="G121" s="49">
        <v>96623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R1003"/>
  <sheetViews>
    <sheetView topLeftCell="J1" zoomScale="66" zoomScaleNormal="87" workbookViewId="0">
      <selection activeCell="N1" sqref="N1"/>
    </sheetView>
  </sheetViews>
  <sheetFormatPr defaultRowHeight="13.8" x14ac:dyDescent="0.25"/>
  <cols>
    <col min="1" max="1" width="3.19921875" customWidth="1"/>
    <col min="2" max="2" width="14.59765625" customWidth="1"/>
    <col min="3" max="3" width="13.09765625" customWidth="1"/>
    <col min="4" max="4" width="16.59765625" customWidth="1"/>
    <col min="5" max="5" width="15.09765625" customWidth="1"/>
    <col min="6" max="6" width="16.09765625" customWidth="1"/>
    <col min="7" max="7" width="17.296875" customWidth="1"/>
    <col min="8" max="8" width="18.19921875" customWidth="1"/>
    <col min="9" max="9" width="21.69921875" customWidth="1"/>
    <col min="10" max="10" width="14.5" customWidth="1"/>
    <col min="11" max="15" width="30.19921875" customWidth="1"/>
    <col min="16" max="16" width="14.59765625" customWidth="1"/>
    <col min="19" max="19" width="10.59765625" customWidth="1"/>
  </cols>
  <sheetData>
    <row r="1" spans="2:18" s="7" customFormat="1" ht="48" customHeight="1" x14ac:dyDescent="0.25">
      <c r="B1" s="10" t="s">
        <v>1003</v>
      </c>
    </row>
    <row r="2" spans="2:18" x14ac:dyDescent="0.25">
      <c r="Q2" s="3"/>
    </row>
    <row r="3" spans="2:18" x14ac:dyDescent="0.25">
      <c r="B3" s="24" t="s">
        <v>25</v>
      </c>
      <c r="C3" s="25" t="s">
        <v>0</v>
      </c>
      <c r="D3" s="26" t="s">
        <v>1</v>
      </c>
      <c r="E3" s="27" t="s">
        <v>3</v>
      </c>
      <c r="F3" s="27" t="s">
        <v>4</v>
      </c>
      <c r="G3" s="25" t="s">
        <v>2</v>
      </c>
      <c r="H3" s="28" t="s">
        <v>994</v>
      </c>
      <c r="I3" s="42" t="s">
        <v>1086</v>
      </c>
      <c r="J3" s="42" t="s">
        <v>1088</v>
      </c>
      <c r="K3" s="42" t="s">
        <v>1097</v>
      </c>
      <c r="L3" s="42" t="s">
        <v>1098</v>
      </c>
      <c r="M3" s="42" t="s">
        <v>1102</v>
      </c>
      <c r="N3" s="42" t="s">
        <v>1104</v>
      </c>
      <c r="O3" s="24" t="s">
        <v>0</v>
      </c>
      <c r="P3" s="25" t="s">
        <v>995</v>
      </c>
      <c r="Q3" s="25" t="s">
        <v>996</v>
      </c>
      <c r="R3" s="28" t="s">
        <v>997</v>
      </c>
    </row>
    <row r="4" spans="2:18" x14ac:dyDescent="0.25">
      <c r="B4" s="22" t="s">
        <v>26</v>
      </c>
      <c r="C4" s="4" t="s">
        <v>20</v>
      </c>
      <c r="D4" s="4">
        <v>116</v>
      </c>
      <c r="E4" s="5" t="s">
        <v>10</v>
      </c>
      <c r="F4" s="9">
        <v>44927</v>
      </c>
      <c r="G4" s="4">
        <v>128</v>
      </c>
      <c r="H4" s="23">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Row],[Duration]]&lt;=30,"10 TO 30 MINS",
     CALLS[[#This Row],[Duration]]&lt;=120,"1 TO 2 HOURS",
     TRUE,"&gt; 2 HOURS")</f>
        <v>1 TO 2 HOURS</v>
      </c>
      <c r="L4">
        <f>ROUND(CALLS[[#This Row],[Satisfaction Rating]],0)</f>
        <v>5</v>
      </c>
      <c r="M4" cm="1">
        <f t="array" ref="M4">_xlfn.IFS(CALLS[[#This Row],[DURATION BACKET]]="UNDER 10 MINS",1,
     CALLS[[#This Row],[DURATION BACKET]]="10 TO 30 MINS",2,
     CALLS[[#This Row],[DURATION BACKET]]="1 TO 2 HOURS",3,
     CALLS[[#This Row],[DURATION BACKET]]="&gt; 2 HOURS",4)</f>
        <v>3</v>
      </c>
      <c r="N4">
        <f>(CALLS[[#This Row],[Purchase Amount]]/ 1)</f>
        <v>128</v>
      </c>
      <c r="O4" s="22" t="s">
        <v>17</v>
      </c>
      <c r="P4" s="6" t="s">
        <v>998</v>
      </c>
      <c r="Q4" s="4">
        <v>41</v>
      </c>
      <c r="R4" s="23" t="s">
        <v>1000</v>
      </c>
    </row>
    <row r="5" spans="2:18" x14ac:dyDescent="0.25">
      <c r="B5" s="22" t="s">
        <v>27</v>
      </c>
      <c r="C5" s="4" t="s">
        <v>12</v>
      </c>
      <c r="D5" s="4">
        <v>119</v>
      </c>
      <c r="E5" s="5" t="s">
        <v>10</v>
      </c>
      <c r="F5" s="9">
        <v>44927</v>
      </c>
      <c r="G5" s="4">
        <v>135</v>
      </c>
      <c r="H5" s="23">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Row],[Duration]]&lt;=30,"10 TO 30 MINS",
     CALLS[[#This Row],[Duration]]&lt;=120,"1 TO 2 HOURS",
     TRUE,"&gt; 2 HOURS")</f>
        <v>1 TO 2 HOURS</v>
      </c>
      <c r="L5">
        <f>ROUND(CALLS[[#This Row],[Satisfaction Rating]],0)</f>
        <v>3</v>
      </c>
      <c r="M5" cm="1">
        <f t="array" ref="M5">_xlfn.IFS(CALLS[[#This Row],[DURATION BACKET]]="UNDER 10 MINS",1,
     CALLS[[#This Row],[DURATION BACKET]]="10 TO 30 MINS",2,
     CALLS[[#This Row],[DURATION BACKET]]="1 TO 2 HOURS",3,
     CALLS[[#This Row],[DURATION BACKET]]="&gt; 2 HOURS",4)</f>
        <v>3</v>
      </c>
      <c r="N5">
        <f>(CALLS[[#This Row],[Purchase Amount]]/ 1)</f>
        <v>135</v>
      </c>
      <c r="O5" s="22" t="s">
        <v>24</v>
      </c>
      <c r="P5" s="6" t="s">
        <v>998</v>
      </c>
      <c r="Q5" s="4">
        <v>31</v>
      </c>
      <c r="R5" s="23" t="s">
        <v>1001</v>
      </c>
    </row>
    <row r="6" spans="2:18" x14ac:dyDescent="0.25">
      <c r="B6" s="22" t="s">
        <v>28</v>
      </c>
      <c r="C6" s="4" t="s">
        <v>23</v>
      </c>
      <c r="D6" s="4">
        <v>68</v>
      </c>
      <c r="E6" s="5" t="s">
        <v>9</v>
      </c>
      <c r="F6" s="9">
        <v>44927</v>
      </c>
      <c r="G6" s="4">
        <v>66</v>
      </c>
      <c r="H6" s="23">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Row],[Duration]]&lt;=30,"10 TO 30 MINS",
     CALLS[[#This Row],[Duration]]&lt;=120,"1 TO 2 HOURS",
     TRUE,"&gt; 2 HOURS")</f>
        <v>1 TO 2 HOURS</v>
      </c>
      <c r="L6">
        <f>ROUND(CALLS[[#This Row],[Satisfaction Rating]],0)</f>
        <v>5</v>
      </c>
      <c r="M6" cm="1">
        <f t="array" ref="M6">_xlfn.IFS(CALLS[[#This Row],[DURATION BACKET]]="UNDER 10 MINS",1,
     CALLS[[#This Row],[DURATION BACKET]]="10 TO 30 MINS",2,
     CALLS[[#This Row],[DURATION BACKET]]="1 TO 2 HOURS",3,
     CALLS[[#This Row],[DURATION BACKET]]="&gt; 2 HOURS",4)</f>
        <v>3</v>
      </c>
      <c r="N6">
        <f>(CALLS[[#This Row],[Purchase Amount]]/ 1)</f>
        <v>66</v>
      </c>
      <c r="O6" s="22" t="s">
        <v>20</v>
      </c>
      <c r="P6" s="6" t="s">
        <v>998</v>
      </c>
      <c r="Q6" s="4">
        <v>26</v>
      </c>
      <c r="R6" s="23" t="s">
        <v>1002</v>
      </c>
    </row>
    <row r="7" spans="2:18" x14ac:dyDescent="0.25">
      <c r="B7" s="22" t="s">
        <v>29</v>
      </c>
      <c r="C7" s="4" t="s">
        <v>21</v>
      </c>
      <c r="D7" s="4">
        <v>119</v>
      </c>
      <c r="E7" s="5" t="s">
        <v>9</v>
      </c>
      <c r="F7" s="9">
        <v>44927</v>
      </c>
      <c r="G7" s="4">
        <v>22</v>
      </c>
      <c r="H7" s="23">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Row],[Duration]]&lt;=30,"10 TO 30 MINS",
     CALLS[[#This Row],[Duration]]&lt;=120,"1 TO 2 HOURS",
     TRUE,"&gt; 2 HOURS")</f>
        <v>1 TO 2 HOURS</v>
      </c>
      <c r="L7">
        <f>ROUND(CALLS[[#This Row],[Satisfaction Rating]],0)</f>
        <v>3</v>
      </c>
      <c r="M7" cm="1">
        <f t="array" ref="M7">_xlfn.IFS(CALLS[[#This Row],[DURATION BACKET]]="UNDER 10 MINS",1,
     CALLS[[#This Row],[DURATION BACKET]]="10 TO 30 MINS",2,
     CALLS[[#This Row],[DURATION BACKET]]="1 TO 2 HOURS",3,
     CALLS[[#This Row],[DURATION BACKET]]="&gt; 2 HOURS",4)</f>
        <v>3</v>
      </c>
      <c r="N7">
        <f>(CALLS[[#This Row],[Purchase Amount]]/ 1)</f>
        <v>22</v>
      </c>
      <c r="O7" s="22" t="s">
        <v>12</v>
      </c>
      <c r="P7" s="6" t="s">
        <v>998</v>
      </c>
      <c r="Q7" s="4">
        <v>36</v>
      </c>
      <c r="R7" s="23" t="s">
        <v>1002</v>
      </c>
    </row>
    <row r="8" spans="2:18" x14ac:dyDescent="0.25">
      <c r="B8" s="22" t="s">
        <v>30</v>
      </c>
      <c r="C8" s="4" t="s">
        <v>8</v>
      </c>
      <c r="D8" s="4">
        <v>128</v>
      </c>
      <c r="E8" s="5" t="s">
        <v>11</v>
      </c>
      <c r="F8" s="9">
        <v>44928</v>
      </c>
      <c r="G8" s="4">
        <v>31</v>
      </c>
      <c r="H8" s="23">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Row],[Duration]]&lt;=30,"10 TO 30 MINS",
     CALLS[[#This Row],[Duration]]&lt;=120,"1 TO 2 HOURS",
     TRUE,"&gt; 2 HOURS")</f>
        <v>&gt; 2 HOURS</v>
      </c>
      <c r="L8">
        <f>ROUND(CALLS[[#This Row],[Satisfaction Rating]],0)</f>
        <v>3</v>
      </c>
      <c r="M8" cm="1">
        <f t="array" ref="M8">_xlfn.IFS(CALLS[[#This Row],[DURATION BACKET]]="UNDER 10 MINS",1,
     CALLS[[#This Row],[DURATION BACKET]]="10 TO 30 MINS",2,
     CALLS[[#This Row],[DURATION BACKET]]="1 TO 2 HOURS",3,
     CALLS[[#This Row],[DURATION BACKET]]="&gt; 2 HOURS",4)</f>
        <v>4</v>
      </c>
      <c r="N8">
        <f>(CALLS[[#This Row],[Purchase Amount]]/ 1)</f>
        <v>31</v>
      </c>
      <c r="O8" s="22" t="s">
        <v>23</v>
      </c>
      <c r="P8" s="6" t="s">
        <v>998</v>
      </c>
      <c r="Q8" s="4">
        <v>37</v>
      </c>
      <c r="R8" s="23" t="s">
        <v>1000</v>
      </c>
    </row>
    <row r="9" spans="2:18" x14ac:dyDescent="0.25">
      <c r="B9" s="22" t="s">
        <v>31</v>
      </c>
      <c r="C9" s="4" t="s">
        <v>8</v>
      </c>
      <c r="D9" s="4">
        <v>49</v>
      </c>
      <c r="E9" s="5" t="s">
        <v>9</v>
      </c>
      <c r="F9" s="9">
        <v>44929</v>
      </c>
      <c r="G9" s="4">
        <v>135</v>
      </c>
      <c r="H9" s="23">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Row],[Duration]]&lt;=30,"10 TO 30 MINS",
     CALLS[[#This Row],[Duration]]&lt;=120,"1 TO 2 HOURS",
     TRUE,"&gt; 2 HOURS")</f>
        <v>1 TO 2 HOURS</v>
      </c>
      <c r="L9">
        <f>ROUND(CALLS[[#This Row],[Satisfaction Rating]],0)</f>
        <v>5</v>
      </c>
      <c r="M9" cm="1">
        <f t="array" ref="M9">_xlfn.IFS(CALLS[[#This Row],[DURATION BACKET]]="UNDER 10 MINS",1,
     CALLS[[#This Row],[DURATION BACKET]]="10 TO 30 MINS",2,
     CALLS[[#This Row],[DURATION BACKET]]="1 TO 2 HOURS",3,
     CALLS[[#This Row],[DURATION BACKET]]="&gt; 2 HOURS",4)</f>
        <v>3</v>
      </c>
      <c r="N9">
        <f>(CALLS[[#This Row],[Purchase Amount]]/ 1)</f>
        <v>135</v>
      </c>
      <c r="O9" s="22" t="s">
        <v>7</v>
      </c>
      <c r="P9" s="6" t="s">
        <v>998</v>
      </c>
      <c r="Q9" s="4">
        <v>23</v>
      </c>
      <c r="R9" s="23" t="s">
        <v>1000</v>
      </c>
    </row>
    <row r="10" spans="2:18" x14ac:dyDescent="0.25">
      <c r="B10" s="22" t="s">
        <v>32</v>
      </c>
      <c r="C10" s="4" t="s">
        <v>15</v>
      </c>
      <c r="D10" s="4">
        <v>84</v>
      </c>
      <c r="E10" s="5" t="s">
        <v>10</v>
      </c>
      <c r="F10" s="9">
        <v>44929</v>
      </c>
      <c r="G10" s="4">
        <v>60</v>
      </c>
      <c r="H10" s="23">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Row],[Duration]]&lt;=30,"10 TO 30 MINS",
     CALLS[[#This Row],[Duration]]&lt;=120,"1 TO 2 HOURS",
     TRUE,"&gt; 2 HOURS")</f>
        <v>1 TO 2 HOURS</v>
      </c>
      <c r="L10">
        <f>ROUND(CALLS[[#This Row],[Satisfaction Rating]],0)</f>
        <v>5</v>
      </c>
      <c r="M10" cm="1">
        <f t="array" ref="M10">_xlfn.IFS(CALLS[[#This Row],[DURATION BACKET]]="UNDER 10 MINS",1,
     CALLS[[#This Row],[DURATION BACKET]]="10 TO 30 MINS",2,
     CALLS[[#This Row],[DURATION BACKET]]="1 TO 2 HOURS",3,
     CALLS[[#This Row],[DURATION BACKET]]="&gt; 2 HOURS",4)</f>
        <v>3</v>
      </c>
      <c r="N10">
        <f>(CALLS[[#This Row],[Purchase Amount]]/ 1)</f>
        <v>60</v>
      </c>
      <c r="O10" s="22" t="s">
        <v>15</v>
      </c>
      <c r="P10" s="6" t="s">
        <v>999</v>
      </c>
      <c r="Q10" s="4">
        <v>22</v>
      </c>
      <c r="R10" s="23" t="s">
        <v>1001</v>
      </c>
    </row>
    <row r="11" spans="2:18" x14ac:dyDescent="0.25">
      <c r="B11" s="22" t="s">
        <v>33</v>
      </c>
      <c r="C11" s="4" t="s">
        <v>20</v>
      </c>
      <c r="D11" s="4">
        <v>103</v>
      </c>
      <c r="E11" s="5" t="s">
        <v>13</v>
      </c>
      <c r="F11" s="9">
        <v>44929</v>
      </c>
      <c r="G11" s="4">
        <v>148</v>
      </c>
      <c r="H11" s="23">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Row],[Duration]]&lt;=30,"10 TO 30 MINS",
     CALLS[[#This Row],[Duration]]&lt;=120,"1 TO 2 HOURS",
     TRUE,"&gt; 2 HOURS")</f>
        <v>1 TO 2 HOURS</v>
      </c>
      <c r="L11">
        <f>ROUND(CALLS[[#This Row],[Satisfaction Rating]],0)</f>
        <v>4</v>
      </c>
      <c r="M11" cm="1">
        <f t="array" ref="M11">_xlfn.IFS(CALLS[[#This Row],[DURATION BACKET]]="UNDER 10 MINS",1,
     CALLS[[#This Row],[DURATION BACKET]]="10 TO 30 MINS",2,
     CALLS[[#This Row],[DURATION BACKET]]="1 TO 2 HOURS",3,
     CALLS[[#This Row],[DURATION BACKET]]="&gt; 2 HOURS",4)</f>
        <v>3</v>
      </c>
      <c r="N11">
        <f>(CALLS[[#This Row],[Purchase Amount]]/ 1)</f>
        <v>148</v>
      </c>
      <c r="O11" s="22" t="s">
        <v>5</v>
      </c>
      <c r="P11" s="6" t="s">
        <v>999</v>
      </c>
      <c r="Q11" s="4">
        <v>42</v>
      </c>
      <c r="R11" s="23" t="s">
        <v>1001</v>
      </c>
    </row>
    <row r="12" spans="2:18" x14ac:dyDescent="0.25">
      <c r="B12" s="22" t="s">
        <v>34</v>
      </c>
      <c r="C12" s="4" t="s">
        <v>23</v>
      </c>
      <c r="D12" s="4">
        <v>31</v>
      </c>
      <c r="E12" s="5" t="s">
        <v>9</v>
      </c>
      <c r="F12" s="9">
        <v>44929</v>
      </c>
      <c r="G12" s="4">
        <v>135</v>
      </c>
      <c r="H12" s="23">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Row],[Duration]]&lt;=30,"10 TO 30 MINS",
     CALLS[[#This Row],[Duration]]&lt;=120,"1 TO 2 HOURS",
     TRUE,"&gt; 2 HOURS")</f>
        <v>1 TO 2 HOURS</v>
      </c>
      <c r="L12">
        <f>ROUND(CALLS[[#This Row],[Satisfaction Rating]],0)</f>
        <v>4</v>
      </c>
      <c r="M12" cm="1">
        <f t="array" ref="M12">_xlfn.IFS(CALLS[[#This Row],[DURATION BACKET]]="UNDER 10 MINS",1,
     CALLS[[#This Row],[DURATION BACKET]]="10 TO 30 MINS",2,
     CALLS[[#This Row],[DURATION BACKET]]="1 TO 2 HOURS",3,
     CALLS[[#This Row],[DURATION BACKET]]="&gt; 2 HOURS",4)</f>
        <v>3</v>
      </c>
      <c r="N12">
        <f>(CALLS[[#This Row],[Purchase Amount]]/ 1)</f>
        <v>135</v>
      </c>
      <c r="O12" s="22" t="s">
        <v>22</v>
      </c>
      <c r="P12" s="6" t="s">
        <v>999</v>
      </c>
      <c r="Q12" s="4">
        <v>25</v>
      </c>
      <c r="R12" s="23" t="s">
        <v>1000</v>
      </c>
    </row>
    <row r="13" spans="2:18" x14ac:dyDescent="0.25">
      <c r="B13" s="22" t="s">
        <v>35</v>
      </c>
      <c r="C13" s="4" t="s">
        <v>18</v>
      </c>
      <c r="D13" s="4">
        <v>44</v>
      </c>
      <c r="E13" s="5" t="s">
        <v>6</v>
      </c>
      <c r="F13" s="9">
        <v>44929</v>
      </c>
      <c r="G13" s="4">
        <v>105</v>
      </c>
      <c r="H13" s="2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Row],[Duration]]&lt;=30,"10 TO 30 MINS",
     CALLS[[#This Row],[Duration]]&lt;=120,"1 TO 2 HOURS",
     TRUE,"&gt; 2 HOURS")</f>
        <v>1 TO 2 HOURS</v>
      </c>
      <c r="L13">
        <f>ROUND(CALLS[[#This Row],[Satisfaction Rating]],0)</f>
        <v>3</v>
      </c>
      <c r="M13" cm="1">
        <f t="array" ref="M13">_xlfn.IFS(CALLS[[#This Row],[DURATION BACKET]]="UNDER 10 MINS",1,
     CALLS[[#This Row],[DURATION BACKET]]="10 TO 30 MINS",2,
     CALLS[[#This Row],[DURATION BACKET]]="1 TO 2 HOURS",3,
     CALLS[[#This Row],[DURATION BACKET]]="&gt; 2 HOURS",4)</f>
        <v>3</v>
      </c>
      <c r="N13">
        <f>(CALLS[[#This Row],[Purchase Amount]]/ 1)</f>
        <v>105</v>
      </c>
      <c r="O13" s="22" t="s">
        <v>18</v>
      </c>
      <c r="P13" s="6" t="s">
        <v>999</v>
      </c>
      <c r="Q13" s="4">
        <v>30</v>
      </c>
      <c r="R13" s="23" t="s">
        <v>1001</v>
      </c>
    </row>
    <row r="14" spans="2:18" x14ac:dyDescent="0.25">
      <c r="B14" s="22" t="s">
        <v>36</v>
      </c>
      <c r="C14" s="4" t="s">
        <v>8</v>
      </c>
      <c r="D14" s="4">
        <v>102</v>
      </c>
      <c r="E14" s="5" t="s">
        <v>9</v>
      </c>
      <c r="F14" s="9">
        <v>44929</v>
      </c>
      <c r="G14" s="4">
        <v>69</v>
      </c>
      <c r="H14" s="23">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Row],[Duration]]&lt;=30,"10 TO 30 MINS",
     CALLS[[#This Row],[Duration]]&lt;=120,"1 TO 2 HOURS",
     TRUE,"&gt; 2 HOURS")</f>
        <v>1 TO 2 HOURS</v>
      </c>
      <c r="L14">
        <f>ROUND(CALLS[[#This Row],[Satisfaction Rating]],0)</f>
        <v>5</v>
      </c>
      <c r="M14" cm="1">
        <f t="array" ref="M14">_xlfn.IFS(CALLS[[#This Row],[DURATION BACKET]]="UNDER 10 MINS",1,
     CALLS[[#This Row],[DURATION BACKET]]="10 TO 30 MINS",2,
     CALLS[[#This Row],[DURATION BACKET]]="1 TO 2 HOURS",3,
     CALLS[[#This Row],[DURATION BACKET]]="&gt; 2 HOURS",4)</f>
        <v>3</v>
      </c>
      <c r="N14">
        <f>(CALLS[[#This Row],[Purchase Amount]]/ 1)</f>
        <v>69</v>
      </c>
      <c r="O14" s="22" t="s">
        <v>8</v>
      </c>
      <c r="P14" s="6" t="s">
        <v>999</v>
      </c>
      <c r="Q14" s="4">
        <v>30</v>
      </c>
      <c r="R14" s="23" t="s">
        <v>1002</v>
      </c>
    </row>
    <row r="15" spans="2:18" x14ac:dyDescent="0.25">
      <c r="B15" s="22" t="s">
        <v>37</v>
      </c>
      <c r="C15" s="4" t="s">
        <v>14</v>
      </c>
      <c r="D15" s="4">
        <v>135</v>
      </c>
      <c r="E15" s="5" t="s">
        <v>10</v>
      </c>
      <c r="F15" s="9">
        <v>44929</v>
      </c>
      <c r="G15" s="4">
        <v>46</v>
      </c>
      <c r="H15" s="23">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Row],[Duration]]&lt;=30,"10 TO 30 MINS",
     CALLS[[#This Row],[Duration]]&lt;=120,"1 TO 2 HOURS",
     TRUE,"&gt; 2 HOURS")</f>
        <v>&gt; 2 HOURS</v>
      </c>
      <c r="L15">
        <f>ROUND(CALLS[[#This Row],[Satisfaction Rating]],0)</f>
        <v>3</v>
      </c>
      <c r="M15" cm="1">
        <f t="array" ref="M15">_xlfn.IFS(CALLS[[#This Row],[DURATION BACKET]]="UNDER 10 MINS",1,
     CALLS[[#This Row],[DURATION BACKET]]="10 TO 30 MINS",2,
     CALLS[[#This Row],[DURATION BACKET]]="1 TO 2 HOURS",3,
     CALLS[[#This Row],[DURATION BACKET]]="&gt; 2 HOURS",4)</f>
        <v>4</v>
      </c>
      <c r="N15">
        <f>(CALLS[[#This Row],[Purchase Amount]]/ 1)</f>
        <v>46</v>
      </c>
      <c r="O15" s="22" t="s">
        <v>16</v>
      </c>
      <c r="P15" s="6" t="s">
        <v>999</v>
      </c>
      <c r="Q15" s="4">
        <v>28</v>
      </c>
      <c r="R15" s="23" t="s">
        <v>1002</v>
      </c>
    </row>
    <row r="16" spans="2:18" x14ac:dyDescent="0.25">
      <c r="B16" s="22" t="s">
        <v>38</v>
      </c>
      <c r="C16" s="4" t="s">
        <v>24</v>
      </c>
      <c r="D16" s="4">
        <v>98</v>
      </c>
      <c r="E16" s="5" t="s">
        <v>9</v>
      </c>
      <c r="F16" s="9">
        <v>44930</v>
      </c>
      <c r="G16" s="4">
        <v>108</v>
      </c>
      <c r="H16" s="23">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Row],[Duration]]&lt;=30,"10 TO 30 MINS",
     CALLS[[#This Row],[Duration]]&lt;=120,"1 TO 2 HOURS",
     TRUE,"&gt; 2 HOURS")</f>
        <v>1 TO 2 HOURS</v>
      </c>
      <c r="L16">
        <f>ROUND(CALLS[[#This Row],[Satisfaction Rating]],0)</f>
        <v>4</v>
      </c>
      <c r="M16" cm="1">
        <f t="array" ref="M16">_xlfn.IFS(CALLS[[#This Row],[DURATION BACKET]]="UNDER 10 MINS",1,
     CALLS[[#This Row],[DURATION BACKET]]="10 TO 30 MINS",2,
     CALLS[[#This Row],[DURATION BACKET]]="1 TO 2 HOURS",3,
     CALLS[[#This Row],[DURATION BACKET]]="&gt; 2 HOURS",4)</f>
        <v>3</v>
      </c>
      <c r="N16">
        <f>(CALLS[[#This Row],[Purchase Amount]]/ 1)</f>
        <v>108</v>
      </c>
      <c r="O16" s="22" t="s">
        <v>14</v>
      </c>
      <c r="P16" s="6" t="s">
        <v>999</v>
      </c>
      <c r="Q16" s="4">
        <v>37</v>
      </c>
      <c r="R16" s="23" t="s">
        <v>1001</v>
      </c>
    </row>
    <row r="17" spans="2:18" x14ac:dyDescent="0.25">
      <c r="B17" s="22" t="s">
        <v>39</v>
      </c>
      <c r="C17" s="4" t="s">
        <v>18</v>
      </c>
      <c r="D17" s="4">
        <v>139</v>
      </c>
      <c r="E17" s="5" t="s">
        <v>9</v>
      </c>
      <c r="F17" s="9">
        <v>44930</v>
      </c>
      <c r="G17" s="4">
        <v>96</v>
      </c>
      <c r="H17" s="23">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Row],[Duration]]&lt;=30,"10 TO 30 MINS",
     CALLS[[#This Row],[Duration]]&lt;=120,"1 TO 2 HOURS",
     TRUE,"&gt; 2 HOURS")</f>
        <v>&gt; 2 HOURS</v>
      </c>
      <c r="L17">
        <f>ROUND(CALLS[[#This Row],[Satisfaction Rating]],0)</f>
        <v>4</v>
      </c>
      <c r="M17" cm="1">
        <f t="array" ref="M17">_xlfn.IFS(CALLS[[#This Row],[DURATION BACKET]]="UNDER 10 MINS",1,
     CALLS[[#This Row],[DURATION BACKET]]="10 TO 30 MINS",2,
     CALLS[[#This Row],[DURATION BACKET]]="1 TO 2 HOURS",3,
     CALLS[[#This Row],[DURATION BACKET]]="&gt; 2 HOURS",4)</f>
        <v>4</v>
      </c>
      <c r="N17">
        <f>(CALLS[[#This Row],[Purchase Amount]]/ 1)</f>
        <v>96</v>
      </c>
      <c r="O17" s="22" t="s">
        <v>21</v>
      </c>
      <c r="P17" s="6" t="s">
        <v>999</v>
      </c>
      <c r="Q17" s="4">
        <v>38</v>
      </c>
      <c r="R17" s="23" t="s">
        <v>1000</v>
      </c>
    </row>
    <row r="18" spans="2:18" x14ac:dyDescent="0.25">
      <c r="B18" s="22" t="s">
        <v>40</v>
      </c>
      <c r="C18" s="4" t="s">
        <v>14</v>
      </c>
      <c r="D18" s="4">
        <v>48</v>
      </c>
      <c r="E18" s="5" t="s">
        <v>11</v>
      </c>
      <c r="F18" s="9">
        <v>44930</v>
      </c>
      <c r="G18" s="4">
        <v>68</v>
      </c>
      <c r="H18" s="23">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Row],[Duration]]&lt;=30,"10 TO 30 MINS",
     CALLS[[#This Row],[Duration]]&lt;=120,"1 TO 2 HOURS",
     TRUE,"&gt; 2 HOURS")</f>
        <v>1 TO 2 HOURS</v>
      </c>
      <c r="L18">
        <f>ROUND(CALLS[[#This Row],[Satisfaction Rating]],0)</f>
        <v>5</v>
      </c>
      <c r="M18" cm="1">
        <f t="array" ref="M18">_xlfn.IFS(CALLS[[#This Row],[DURATION BACKET]]="UNDER 10 MINS",1,
     CALLS[[#This Row],[DURATION BACKET]]="10 TO 30 MINS",2,
     CALLS[[#This Row],[DURATION BACKET]]="1 TO 2 HOURS",3,
     CALLS[[#This Row],[DURATION BACKET]]="&gt; 2 HOURS",4)</f>
        <v>3</v>
      </c>
      <c r="N18">
        <f>(CALLS[[#This Row],[Purchase Amount]]/ 1)</f>
        <v>68</v>
      </c>
      <c r="O18" s="29" t="s">
        <v>19</v>
      </c>
      <c r="P18" s="50" t="s">
        <v>999</v>
      </c>
      <c r="Q18" s="30">
        <v>43</v>
      </c>
      <c r="R18" s="33" t="s">
        <v>1001</v>
      </c>
    </row>
    <row r="19" spans="2:18" x14ac:dyDescent="0.25">
      <c r="B19" s="22" t="s">
        <v>41</v>
      </c>
      <c r="C19" s="4" t="s">
        <v>18</v>
      </c>
      <c r="D19" s="4">
        <v>176</v>
      </c>
      <c r="E19" s="5" t="s">
        <v>10</v>
      </c>
      <c r="F19" s="9">
        <v>44931</v>
      </c>
      <c r="G19" s="4">
        <v>24</v>
      </c>
      <c r="H19" s="23">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Row],[Duration]]&lt;=30,"10 TO 30 MINS",
     CALLS[[#This Row],[Duration]]&lt;=120,"1 TO 2 HOURS",
     TRUE,"&gt; 2 HOURS")</f>
        <v>&gt; 2 HOURS</v>
      </c>
      <c r="L19">
        <f>ROUND(CALLS[[#This Row],[Satisfaction Rating]],0)</f>
        <v>5</v>
      </c>
      <c r="M19" cm="1">
        <f t="array" ref="M19">_xlfn.IFS(CALLS[[#This Row],[DURATION BACKET]]="UNDER 10 MINS",1,
     CALLS[[#This Row],[DURATION BACKET]]="10 TO 30 MINS",2,
     CALLS[[#This Row],[DURATION BACKET]]="1 TO 2 HOURS",3,
     CALLS[[#This Row],[DURATION BACKET]]="&gt; 2 HOURS",4)</f>
        <v>4</v>
      </c>
      <c r="N19">
        <f>(CALLS[[#This Row],[Purchase Amount]]/ 1)</f>
        <v>24</v>
      </c>
    </row>
    <row r="20" spans="2:18" x14ac:dyDescent="0.25">
      <c r="B20" s="22" t="s">
        <v>42</v>
      </c>
      <c r="C20" s="4" t="s">
        <v>18</v>
      </c>
      <c r="D20" s="4">
        <v>99</v>
      </c>
      <c r="E20" s="5" t="s">
        <v>11</v>
      </c>
      <c r="F20" s="9">
        <v>44931</v>
      </c>
      <c r="G20" s="4">
        <v>195</v>
      </c>
      <c r="H20" s="23">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Row],[Duration]]&lt;=30,"10 TO 30 MINS",
     CALLS[[#This Row],[Duration]]&lt;=120,"1 TO 2 HOURS",
     TRUE,"&gt; 2 HOURS")</f>
        <v>1 TO 2 HOURS</v>
      </c>
      <c r="L20">
        <f>ROUND(CALLS[[#This Row],[Satisfaction Rating]],0)</f>
        <v>4</v>
      </c>
      <c r="M20" cm="1">
        <f t="array" ref="M20">_xlfn.IFS(CALLS[[#This Row],[DURATION BACKET]]="UNDER 10 MINS",1,
     CALLS[[#This Row],[DURATION BACKET]]="10 TO 30 MINS",2,
     CALLS[[#This Row],[DURATION BACKET]]="1 TO 2 HOURS",3,
     CALLS[[#This Row],[DURATION BACKET]]="&gt; 2 HOURS",4)</f>
        <v>3</v>
      </c>
      <c r="N20">
        <f>(CALLS[[#This Row],[Purchase Amount]]/ 1)</f>
        <v>195</v>
      </c>
    </row>
    <row r="21" spans="2:18" x14ac:dyDescent="0.25">
      <c r="B21" s="22" t="s">
        <v>43</v>
      </c>
      <c r="C21" s="4" t="s">
        <v>22</v>
      </c>
      <c r="D21" s="4">
        <v>28</v>
      </c>
      <c r="E21" s="5" t="s">
        <v>6</v>
      </c>
      <c r="F21" s="9">
        <v>44931</v>
      </c>
      <c r="G21" s="4">
        <v>28</v>
      </c>
      <c r="H21" s="23">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Row],[Duration]]&lt;=30,"10 TO 30 MINS",
     CALLS[[#This Row],[Duration]]&lt;=120,"1 TO 2 HOURS",
     TRUE,"&gt; 2 HOURS")</f>
        <v>10 TO 30 MINS</v>
      </c>
      <c r="L21">
        <f>ROUND(CALLS[[#This Row],[Satisfaction Rating]],0)</f>
        <v>4</v>
      </c>
      <c r="M21" cm="1">
        <f t="array" ref="M21">_xlfn.IFS(CALLS[[#This Row],[DURATION BACKET]]="UNDER 10 MINS",1,
     CALLS[[#This Row],[DURATION BACKET]]="10 TO 30 MINS",2,
     CALLS[[#This Row],[DURATION BACKET]]="1 TO 2 HOURS",3,
     CALLS[[#This Row],[DURATION BACKET]]="&gt; 2 HOURS",4)</f>
        <v>2</v>
      </c>
      <c r="N21">
        <f>(CALLS[[#This Row],[Purchase Amount]]/ 1)</f>
        <v>28</v>
      </c>
    </row>
    <row r="22" spans="2:18" x14ac:dyDescent="0.25">
      <c r="B22" s="22" t="s">
        <v>44</v>
      </c>
      <c r="C22" s="4" t="s">
        <v>15</v>
      </c>
      <c r="D22" s="4">
        <v>54</v>
      </c>
      <c r="E22" s="5" t="s">
        <v>9</v>
      </c>
      <c r="F22" s="9">
        <v>44931</v>
      </c>
      <c r="G22" s="4">
        <v>170</v>
      </c>
      <c r="H22" s="23">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Row],[Duration]]&lt;=30,"10 TO 30 MINS",
     CALLS[[#This Row],[Duration]]&lt;=120,"1 TO 2 HOURS",
     TRUE,"&gt; 2 HOURS")</f>
        <v>1 TO 2 HOURS</v>
      </c>
      <c r="L22">
        <f>ROUND(CALLS[[#This Row],[Satisfaction Rating]],0)</f>
        <v>4</v>
      </c>
      <c r="M22" cm="1">
        <f t="array" ref="M22">_xlfn.IFS(CALLS[[#This Row],[DURATION BACKET]]="UNDER 10 MINS",1,
     CALLS[[#This Row],[DURATION BACKET]]="10 TO 30 MINS",2,
     CALLS[[#This Row],[DURATION BACKET]]="1 TO 2 HOURS",3,
     CALLS[[#This Row],[DURATION BACKET]]="&gt; 2 HOURS",4)</f>
        <v>3</v>
      </c>
      <c r="N22">
        <f>(CALLS[[#This Row],[Purchase Amount]]/ 1)</f>
        <v>170</v>
      </c>
    </row>
    <row r="23" spans="2:18" x14ac:dyDescent="0.25">
      <c r="B23" s="22" t="s">
        <v>45</v>
      </c>
      <c r="C23" s="4" t="s">
        <v>7</v>
      </c>
      <c r="D23" s="4">
        <v>48</v>
      </c>
      <c r="E23" s="5" t="s">
        <v>10</v>
      </c>
      <c r="F23" s="9">
        <v>44932</v>
      </c>
      <c r="G23" s="4">
        <v>30</v>
      </c>
      <c r="H23" s="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Row],[Duration]]&lt;=30,"10 TO 30 MINS",
     CALLS[[#This Row],[Duration]]&lt;=120,"1 TO 2 HOURS",
     TRUE,"&gt; 2 HOURS")</f>
        <v>1 TO 2 HOURS</v>
      </c>
      <c r="L23">
        <f>ROUND(CALLS[[#This Row],[Satisfaction Rating]],0)</f>
        <v>4</v>
      </c>
      <c r="M23" cm="1">
        <f t="array" ref="M23">_xlfn.IFS(CALLS[[#This Row],[DURATION BACKET]]="UNDER 10 MINS",1,
     CALLS[[#This Row],[DURATION BACKET]]="10 TO 30 MINS",2,
     CALLS[[#This Row],[DURATION BACKET]]="1 TO 2 HOURS",3,
     CALLS[[#This Row],[DURATION BACKET]]="&gt; 2 HOURS",4)</f>
        <v>3</v>
      </c>
      <c r="N23">
        <f>(CALLS[[#This Row],[Purchase Amount]]/ 1)</f>
        <v>30</v>
      </c>
    </row>
    <row r="24" spans="2:18" x14ac:dyDescent="0.25">
      <c r="B24" s="22" t="s">
        <v>46</v>
      </c>
      <c r="C24" s="4" t="s">
        <v>12</v>
      </c>
      <c r="D24" s="4">
        <v>128</v>
      </c>
      <c r="E24" s="5" t="s">
        <v>10</v>
      </c>
      <c r="F24" s="9">
        <v>44932</v>
      </c>
      <c r="G24" s="4">
        <v>72</v>
      </c>
      <c r="H24" s="23">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Row],[Duration]]&lt;=30,"10 TO 30 MINS",
     CALLS[[#This Row],[Duration]]&lt;=120,"1 TO 2 HOURS",
     TRUE,"&gt; 2 HOURS")</f>
        <v>&gt; 2 HOURS</v>
      </c>
      <c r="L24">
        <f>ROUND(CALLS[[#This Row],[Satisfaction Rating]],0)</f>
        <v>5</v>
      </c>
      <c r="M24" cm="1">
        <f t="array" ref="M24">_xlfn.IFS(CALLS[[#This Row],[DURATION BACKET]]="UNDER 10 MINS",1,
     CALLS[[#This Row],[DURATION BACKET]]="10 TO 30 MINS",2,
     CALLS[[#This Row],[DURATION BACKET]]="1 TO 2 HOURS",3,
     CALLS[[#This Row],[DURATION BACKET]]="&gt; 2 HOURS",4)</f>
        <v>4</v>
      </c>
      <c r="N24">
        <f>(CALLS[[#This Row],[Purchase Amount]]/ 1)</f>
        <v>72</v>
      </c>
    </row>
    <row r="25" spans="2:18" x14ac:dyDescent="0.25">
      <c r="B25" s="22" t="s">
        <v>47</v>
      </c>
      <c r="C25" s="4" t="s">
        <v>12</v>
      </c>
      <c r="D25" s="4">
        <v>38</v>
      </c>
      <c r="E25" s="5" t="s">
        <v>13</v>
      </c>
      <c r="F25" s="9">
        <v>44933</v>
      </c>
      <c r="G25" s="4">
        <v>92</v>
      </c>
      <c r="H25" s="23">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Row],[Duration]]&lt;=30,"10 TO 30 MINS",
     CALLS[[#This Row],[Duration]]&lt;=120,"1 TO 2 HOURS",
     TRUE,"&gt; 2 HOURS")</f>
        <v>1 TO 2 HOURS</v>
      </c>
      <c r="L25">
        <f>ROUND(CALLS[[#This Row],[Satisfaction Rating]],0)</f>
        <v>5</v>
      </c>
      <c r="M25" cm="1">
        <f t="array" ref="M25">_xlfn.IFS(CALLS[[#This Row],[DURATION BACKET]]="UNDER 10 MINS",1,
     CALLS[[#This Row],[DURATION BACKET]]="10 TO 30 MINS",2,
     CALLS[[#This Row],[DURATION BACKET]]="1 TO 2 HOURS",3,
     CALLS[[#This Row],[DURATION BACKET]]="&gt; 2 HOURS",4)</f>
        <v>3</v>
      </c>
      <c r="N25">
        <f>(CALLS[[#This Row],[Purchase Amount]]/ 1)</f>
        <v>92</v>
      </c>
    </row>
    <row r="26" spans="2:18" x14ac:dyDescent="0.25">
      <c r="B26" s="22" t="s">
        <v>48</v>
      </c>
      <c r="C26" s="4" t="s">
        <v>20</v>
      </c>
      <c r="D26" s="4">
        <v>67</v>
      </c>
      <c r="E26" s="5" t="s">
        <v>13</v>
      </c>
      <c r="F26" s="9">
        <v>44934</v>
      </c>
      <c r="G26" s="4">
        <v>165</v>
      </c>
      <c r="H26" s="23">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Row],[Duration]]&lt;=30,"10 TO 30 MINS",
     CALLS[[#This Row],[Duration]]&lt;=120,"1 TO 2 HOURS",
     TRUE,"&gt; 2 HOURS")</f>
        <v>1 TO 2 HOURS</v>
      </c>
      <c r="L26">
        <f>ROUND(CALLS[[#This Row],[Satisfaction Rating]],0)</f>
        <v>5</v>
      </c>
      <c r="M26" cm="1">
        <f t="array" ref="M26">_xlfn.IFS(CALLS[[#This Row],[DURATION BACKET]]="UNDER 10 MINS",1,
     CALLS[[#This Row],[DURATION BACKET]]="10 TO 30 MINS",2,
     CALLS[[#This Row],[DURATION BACKET]]="1 TO 2 HOURS",3,
     CALLS[[#This Row],[DURATION BACKET]]="&gt; 2 HOURS",4)</f>
        <v>3</v>
      </c>
      <c r="N26">
        <f>(CALLS[[#This Row],[Purchase Amount]]/ 1)</f>
        <v>165</v>
      </c>
    </row>
    <row r="27" spans="2:18" x14ac:dyDescent="0.25">
      <c r="B27" s="22" t="s">
        <v>49</v>
      </c>
      <c r="C27" s="4" t="s">
        <v>19</v>
      </c>
      <c r="D27" s="4">
        <v>58</v>
      </c>
      <c r="E27" s="5" t="s">
        <v>9</v>
      </c>
      <c r="F27" s="9">
        <v>44934</v>
      </c>
      <c r="G27" s="4">
        <v>140</v>
      </c>
      <c r="H27" s="23">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Row],[Duration]]&lt;=30,"10 TO 30 MINS",
     CALLS[[#This Row],[Duration]]&lt;=120,"1 TO 2 HOURS",
     TRUE,"&gt; 2 HOURS")</f>
        <v>1 TO 2 HOURS</v>
      </c>
      <c r="L27">
        <f>ROUND(CALLS[[#This Row],[Satisfaction Rating]],0)</f>
        <v>2</v>
      </c>
      <c r="M27" cm="1">
        <f t="array" ref="M27">_xlfn.IFS(CALLS[[#This Row],[DURATION BACKET]]="UNDER 10 MINS",1,
     CALLS[[#This Row],[DURATION BACKET]]="10 TO 30 MINS",2,
     CALLS[[#This Row],[DURATION BACKET]]="1 TO 2 HOURS",3,
     CALLS[[#This Row],[DURATION BACKET]]="&gt; 2 HOURS",4)</f>
        <v>3</v>
      </c>
      <c r="N27">
        <f>(CALLS[[#This Row],[Purchase Amount]]/ 1)</f>
        <v>140</v>
      </c>
    </row>
    <row r="28" spans="2:18" x14ac:dyDescent="0.25">
      <c r="B28" s="22" t="s">
        <v>50</v>
      </c>
      <c r="C28" s="4" t="s">
        <v>18</v>
      </c>
      <c r="D28" s="4">
        <v>54</v>
      </c>
      <c r="E28" s="5" t="s">
        <v>11</v>
      </c>
      <c r="F28" s="9">
        <v>44934</v>
      </c>
      <c r="G28" s="4">
        <v>111</v>
      </c>
      <c r="H28" s="23">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Row],[Duration]]&lt;=30,"10 TO 30 MINS",
     CALLS[[#This Row],[Duration]]&lt;=120,"1 TO 2 HOURS",
     TRUE,"&gt; 2 HOURS")</f>
        <v>1 TO 2 HOURS</v>
      </c>
      <c r="L28">
        <f>ROUND(CALLS[[#This Row],[Satisfaction Rating]],0)</f>
        <v>3</v>
      </c>
      <c r="M28" cm="1">
        <f t="array" ref="M28">_xlfn.IFS(CALLS[[#This Row],[DURATION BACKET]]="UNDER 10 MINS",1,
     CALLS[[#This Row],[DURATION BACKET]]="10 TO 30 MINS",2,
     CALLS[[#This Row],[DURATION BACKET]]="1 TO 2 HOURS",3,
     CALLS[[#This Row],[DURATION BACKET]]="&gt; 2 HOURS",4)</f>
        <v>3</v>
      </c>
      <c r="N28">
        <f>(CALLS[[#This Row],[Purchase Amount]]/ 1)</f>
        <v>111</v>
      </c>
    </row>
    <row r="29" spans="2:18" x14ac:dyDescent="0.25">
      <c r="B29" s="22" t="s">
        <v>51</v>
      </c>
      <c r="C29" s="4" t="s">
        <v>16</v>
      </c>
      <c r="D29" s="4">
        <v>28</v>
      </c>
      <c r="E29" s="5" t="s">
        <v>10</v>
      </c>
      <c r="F29" s="9">
        <v>44935</v>
      </c>
      <c r="G29" s="4">
        <v>63</v>
      </c>
      <c r="H29" s="23">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Row],[Duration]]&lt;=30,"10 TO 30 MINS",
     CALLS[[#This Row],[Duration]]&lt;=120,"1 TO 2 HOURS",
     TRUE,"&gt; 2 HOURS")</f>
        <v>10 TO 30 MINS</v>
      </c>
      <c r="L29">
        <f>ROUND(CALLS[[#This Row],[Satisfaction Rating]],0)</f>
        <v>4</v>
      </c>
      <c r="M29" cm="1">
        <f t="array" ref="M29">_xlfn.IFS(CALLS[[#This Row],[DURATION BACKET]]="UNDER 10 MINS",1,
     CALLS[[#This Row],[DURATION BACKET]]="10 TO 30 MINS",2,
     CALLS[[#This Row],[DURATION BACKET]]="1 TO 2 HOURS",3,
     CALLS[[#This Row],[DURATION BACKET]]="&gt; 2 HOURS",4)</f>
        <v>2</v>
      </c>
      <c r="N29">
        <f>(CALLS[[#This Row],[Purchase Amount]]/ 1)</f>
        <v>63</v>
      </c>
    </row>
    <row r="30" spans="2:18" x14ac:dyDescent="0.25">
      <c r="B30" s="22" t="s">
        <v>52</v>
      </c>
      <c r="C30" s="4" t="s">
        <v>24</v>
      </c>
      <c r="D30" s="4">
        <v>73</v>
      </c>
      <c r="E30" s="5" t="s">
        <v>10</v>
      </c>
      <c r="F30" s="9">
        <v>44935</v>
      </c>
      <c r="G30" s="4">
        <v>80</v>
      </c>
      <c r="H30" s="23">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Row],[Duration]]&lt;=30,"10 TO 30 MINS",
     CALLS[[#This Row],[Duration]]&lt;=120,"1 TO 2 HOURS",
     TRUE,"&gt; 2 HOURS")</f>
        <v>1 TO 2 HOURS</v>
      </c>
      <c r="L30">
        <f>ROUND(CALLS[[#This Row],[Satisfaction Rating]],0)</f>
        <v>4</v>
      </c>
      <c r="M30" cm="1">
        <f t="array" ref="M30">_xlfn.IFS(CALLS[[#This Row],[DURATION BACKET]]="UNDER 10 MINS",1,
     CALLS[[#This Row],[DURATION BACKET]]="10 TO 30 MINS",2,
     CALLS[[#This Row],[DURATION BACKET]]="1 TO 2 HOURS",3,
     CALLS[[#This Row],[DURATION BACKET]]="&gt; 2 HOURS",4)</f>
        <v>3</v>
      </c>
      <c r="N30">
        <f>(CALLS[[#This Row],[Purchase Amount]]/ 1)</f>
        <v>80</v>
      </c>
    </row>
    <row r="31" spans="2:18" x14ac:dyDescent="0.25">
      <c r="B31" s="22" t="s">
        <v>53</v>
      </c>
      <c r="C31" s="4" t="s">
        <v>8</v>
      </c>
      <c r="D31" s="4">
        <v>81</v>
      </c>
      <c r="E31" s="5" t="s">
        <v>10</v>
      </c>
      <c r="F31" s="9">
        <v>44936</v>
      </c>
      <c r="G31" s="4">
        <v>50</v>
      </c>
      <c r="H31" s="23">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Row],[Duration]]&lt;=30,"10 TO 30 MINS",
     CALLS[[#This Row],[Duration]]&lt;=120,"1 TO 2 HOURS",
     TRUE,"&gt; 2 HOURS")</f>
        <v>1 TO 2 HOURS</v>
      </c>
      <c r="L31">
        <f>ROUND(CALLS[[#This Row],[Satisfaction Rating]],0)</f>
        <v>5</v>
      </c>
      <c r="M31" cm="1">
        <f t="array" ref="M31">_xlfn.IFS(CALLS[[#This Row],[DURATION BACKET]]="UNDER 10 MINS",1,
     CALLS[[#This Row],[DURATION BACKET]]="10 TO 30 MINS",2,
     CALLS[[#This Row],[DURATION BACKET]]="1 TO 2 HOURS",3,
     CALLS[[#This Row],[DURATION BACKET]]="&gt; 2 HOURS",4)</f>
        <v>3</v>
      </c>
      <c r="N31">
        <f>(CALLS[[#This Row],[Purchase Amount]]/ 1)</f>
        <v>50</v>
      </c>
    </row>
    <row r="32" spans="2:18" x14ac:dyDescent="0.25">
      <c r="B32" s="22" t="s">
        <v>54</v>
      </c>
      <c r="C32" s="4" t="s">
        <v>22</v>
      </c>
      <c r="D32" s="4">
        <v>31</v>
      </c>
      <c r="E32" s="5" t="s">
        <v>13</v>
      </c>
      <c r="F32" s="9">
        <v>44936</v>
      </c>
      <c r="G32" s="4">
        <v>123</v>
      </c>
      <c r="H32" s="23">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Row],[Duration]]&lt;=30,"10 TO 30 MINS",
     CALLS[[#This Row],[Duration]]&lt;=120,"1 TO 2 HOURS",
     TRUE,"&gt; 2 HOURS")</f>
        <v>1 TO 2 HOURS</v>
      </c>
      <c r="L32">
        <f>ROUND(CALLS[[#This Row],[Satisfaction Rating]],0)</f>
        <v>3</v>
      </c>
      <c r="M32" cm="1">
        <f t="array" ref="M32">_xlfn.IFS(CALLS[[#This Row],[DURATION BACKET]]="UNDER 10 MINS",1,
     CALLS[[#This Row],[DURATION BACKET]]="10 TO 30 MINS",2,
     CALLS[[#This Row],[DURATION BACKET]]="1 TO 2 HOURS",3,
     CALLS[[#This Row],[DURATION BACKET]]="&gt; 2 HOURS",4)</f>
        <v>3</v>
      </c>
      <c r="N32">
        <f>(CALLS[[#This Row],[Purchase Amount]]/ 1)</f>
        <v>123</v>
      </c>
    </row>
    <row r="33" spans="2:14" x14ac:dyDescent="0.25">
      <c r="B33" s="22" t="s">
        <v>55</v>
      </c>
      <c r="C33" s="4" t="s">
        <v>19</v>
      </c>
      <c r="D33" s="4">
        <v>155</v>
      </c>
      <c r="E33" s="5" t="s">
        <v>11</v>
      </c>
      <c r="F33" s="9">
        <v>44936</v>
      </c>
      <c r="G33" s="4">
        <v>110</v>
      </c>
      <c r="H33" s="2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Row],[Duration]]&lt;=30,"10 TO 30 MINS",
     CALLS[[#This Row],[Duration]]&lt;=120,"1 TO 2 HOURS",
     TRUE,"&gt; 2 HOURS")</f>
        <v>&gt; 2 HOURS</v>
      </c>
      <c r="L33">
        <f>ROUND(CALLS[[#This Row],[Satisfaction Rating]],0)</f>
        <v>5</v>
      </c>
      <c r="M33" cm="1">
        <f t="array" ref="M33">_xlfn.IFS(CALLS[[#This Row],[DURATION BACKET]]="UNDER 10 MINS",1,
     CALLS[[#This Row],[DURATION BACKET]]="10 TO 30 MINS",2,
     CALLS[[#This Row],[DURATION BACKET]]="1 TO 2 HOURS",3,
     CALLS[[#This Row],[DURATION BACKET]]="&gt; 2 HOURS",4)</f>
        <v>4</v>
      </c>
      <c r="N33">
        <f>(CALLS[[#This Row],[Purchase Amount]]/ 1)</f>
        <v>110</v>
      </c>
    </row>
    <row r="34" spans="2:14" x14ac:dyDescent="0.25">
      <c r="B34" s="22" t="s">
        <v>56</v>
      </c>
      <c r="C34" s="4" t="s">
        <v>22</v>
      </c>
      <c r="D34" s="4">
        <v>80</v>
      </c>
      <c r="E34" s="5" t="s">
        <v>10</v>
      </c>
      <c r="F34" s="9">
        <v>44936</v>
      </c>
      <c r="G34" s="4">
        <v>140</v>
      </c>
      <c r="H34" s="23">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Row],[Duration]]&lt;=30,"10 TO 30 MINS",
     CALLS[[#This Row],[Duration]]&lt;=120,"1 TO 2 HOURS",
     TRUE,"&gt; 2 HOURS")</f>
        <v>1 TO 2 HOURS</v>
      </c>
      <c r="L34">
        <f>ROUND(CALLS[[#This Row],[Satisfaction Rating]],0)</f>
        <v>4</v>
      </c>
      <c r="M34" cm="1">
        <f t="array" ref="M34">_xlfn.IFS(CALLS[[#This Row],[DURATION BACKET]]="UNDER 10 MINS",1,
     CALLS[[#This Row],[DURATION BACKET]]="10 TO 30 MINS",2,
     CALLS[[#This Row],[DURATION BACKET]]="1 TO 2 HOURS",3,
     CALLS[[#This Row],[DURATION BACKET]]="&gt; 2 HOURS",4)</f>
        <v>3</v>
      </c>
      <c r="N34">
        <f>(CALLS[[#This Row],[Purchase Amount]]/ 1)</f>
        <v>140</v>
      </c>
    </row>
    <row r="35" spans="2:14" x14ac:dyDescent="0.25">
      <c r="B35" s="22" t="s">
        <v>57</v>
      </c>
      <c r="C35" s="4" t="s">
        <v>8</v>
      </c>
      <c r="D35" s="4">
        <v>82</v>
      </c>
      <c r="E35" s="5" t="s">
        <v>10</v>
      </c>
      <c r="F35" s="9">
        <v>44938</v>
      </c>
      <c r="G35" s="4">
        <v>42</v>
      </c>
      <c r="H35" s="23">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Row],[Duration]]&lt;=30,"10 TO 30 MINS",
     CALLS[[#This Row],[Duration]]&lt;=120,"1 TO 2 HOURS",
     TRUE,"&gt; 2 HOURS")</f>
        <v>1 TO 2 HOURS</v>
      </c>
      <c r="L35">
        <f>ROUND(CALLS[[#This Row],[Satisfaction Rating]],0)</f>
        <v>4</v>
      </c>
      <c r="M35" cm="1">
        <f t="array" ref="M35">_xlfn.IFS(CALLS[[#This Row],[DURATION BACKET]]="UNDER 10 MINS",1,
     CALLS[[#This Row],[DURATION BACKET]]="10 TO 30 MINS",2,
     CALLS[[#This Row],[DURATION BACKET]]="1 TO 2 HOURS",3,
     CALLS[[#This Row],[DURATION BACKET]]="&gt; 2 HOURS",4)</f>
        <v>3</v>
      </c>
      <c r="N35">
        <f>(CALLS[[#This Row],[Purchase Amount]]/ 1)</f>
        <v>42</v>
      </c>
    </row>
    <row r="36" spans="2:14" x14ac:dyDescent="0.25">
      <c r="B36" s="22" t="s">
        <v>58</v>
      </c>
      <c r="C36" s="4" t="s">
        <v>8</v>
      </c>
      <c r="D36" s="4">
        <v>29</v>
      </c>
      <c r="E36" s="5" t="s">
        <v>11</v>
      </c>
      <c r="F36" s="9">
        <v>44938</v>
      </c>
      <c r="G36" s="4">
        <v>170</v>
      </c>
      <c r="H36" s="23">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Row],[Duration]]&lt;=30,"10 TO 30 MINS",
     CALLS[[#This Row],[Duration]]&lt;=120,"1 TO 2 HOURS",
     TRUE,"&gt; 2 HOURS")</f>
        <v>10 TO 30 MINS</v>
      </c>
      <c r="L36">
        <f>ROUND(CALLS[[#This Row],[Satisfaction Rating]],0)</f>
        <v>5</v>
      </c>
      <c r="M36" cm="1">
        <f t="array" ref="M36">_xlfn.IFS(CALLS[[#This Row],[DURATION BACKET]]="UNDER 10 MINS",1,
     CALLS[[#This Row],[DURATION BACKET]]="10 TO 30 MINS",2,
     CALLS[[#This Row],[DURATION BACKET]]="1 TO 2 HOURS",3,
     CALLS[[#This Row],[DURATION BACKET]]="&gt; 2 HOURS",4)</f>
        <v>2</v>
      </c>
      <c r="N36">
        <f>(CALLS[[#This Row],[Purchase Amount]]/ 1)</f>
        <v>170</v>
      </c>
    </row>
    <row r="37" spans="2:14" x14ac:dyDescent="0.25">
      <c r="B37" s="22" t="s">
        <v>59</v>
      </c>
      <c r="C37" s="4" t="s">
        <v>7</v>
      </c>
      <c r="D37" s="4">
        <v>160</v>
      </c>
      <c r="E37" s="5" t="s">
        <v>9</v>
      </c>
      <c r="F37" s="9">
        <v>44940</v>
      </c>
      <c r="G37" s="4">
        <v>105</v>
      </c>
      <c r="H37" s="23">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Row],[Duration]]&lt;=30,"10 TO 30 MINS",
     CALLS[[#This Row],[Duration]]&lt;=120,"1 TO 2 HOURS",
     TRUE,"&gt; 2 HOURS")</f>
        <v>&gt; 2 HOURS</v>
      </c>
      <c r="L37">
        <f>ROUND(CALLS[[#This Row],[Satisfaction Rating]],0)</f>
        <v>5</v>
      </c>
      <c r="M37" cm="1">
        <f t="array" ref="M37">_xlfn.IFS(CALLS[[#This Row],[DURATION BACKET]]="UNDER 10 MINS",1,
     CALLS[[#This Row],[DURATION BACKET]]="10 TO 30 MINS",2,
     CALLS[[#This Row],[DURATION BACKET]]="1 TO 2 HOURS",3,
     CALLS[[#This Row],[DURATION BACKET]]="&gt; 2 HOURS",4)</f>
        <v>4</v>
      </c>
      <c r="N37">
        <f>(CALLS[[#This Row],[Purchase Amount]]/ 1)</f>
        <v>105</v>
      </c>
    </row>
    <row r="38" spans="2:14" x14ac:dyDescent="0.25">
      <c r="B38" s="22" t="s">
        <v>60</v>
      </c>
      <c r="C38" s="4" t="s">
        <v>17</v>
      </c>
      <c r="D38" s="4">
        <v>105</v>
      </c>
      <c r="E38" s="5" t="s">
        <v>10</v>
      </c>
      <c r="F38" s="9">
        <v>44941</v>
      </c>
      <c r="G38" s="4">
        <v>125</v>
      </c>
      <c r="H38" s="23">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Row],[Duration]]&lt;=30,"10 TO 30 MINS",
     CALLS[[#This Row],[Duration]]&lt;=120,"1 TO 2 HOURS",
     TRUE,"&gt; 2 HOURS")</f>
        <v>1 TO 2 HOURS</v>
      </c>
      <c r="L38">
        <f>ROUND(CALLS[[#This Row],[Satisfaction Rating]],0)</f>
        <v>5</v>
      </c>
      <c r="M38" cm="1">
        <f t="array" ref="M38">_xlfn.IFS(CALLS[[#This Row],[DURATION BACKET]]="UNDER 10 MINS",1,
     CALLS[[#This Row],[DURATION BACKET]]="10 TO 30 MINS",2,
     CALLS[[#This Row],[DURATION BACKET]]="1 TO 2 HOURS",3,
     CALLS[[#This Row],[DURATION BACKET]]="&gt; 2 HOURS",4)</f>
        <v>3</v>
      </c>
      <c r="N38">
        <f>(CALLS[[#This Row],[Purchase Amount]]/ 1)</f>
        <v>125</v>
      </c>
    </row>
    <row r="39" spans="2:14" x14ac:dyDescent="0.25">
      <c r="B39" s="22" t="s">
        <v>61</v>
      </c>
      <c r="C39" s="4" t="s">
        <v>22</v>
      </c>
      <c r="D39" s="4">
        <v>75</v>
      </c>
      <c r="E39" s="5" t="s">
        <v>6</v>
      </c>
      <c r="F39" s="9">
        <v>44941</v>
      </c>
      <c r="G39" s="4">
        <v>26</v>
      </c>
      <c r="H39" s="23">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Row],[Duration]]&lt;=30,"10 TO 30 MINS",
     CALLS[[#This Row],[Duration]]&lt;=120,"1 TO 2 HOURS",
     TRUE,"&gt; 2 HOURS")</f>
        <v>1 TO 2 HOURS</v>
      </c>
      <c r="L39">
        <f>ROUND(CALLS[[#This Row],[Satisfaction Rating]],0)</f>
        <v>2</v>
      </c>
      <c r="M39" cm="1">
        <f t="array" ref="M39">_xlfn.IFS(CALLS[[#This Row],[DURATION BACKET]]="UNDER 10 MINS",1,
     CALLS[[#This Row],[DURATION BACKET]]="10 TO 30 MINS",2,
     CALLS[[#This Row],[DURATION BACKET]]="1 TO 2 HOURS",3,
     CALLS[[#This Row],[DURATION BACKET]]="&gt; 2 HOURS",4)</f>
        <v>3</v>
      </c>
      <c r="N39">
        <f>(CALLS[[#This Row],[Purchase Amount]]/ 1)</f>
        <v>26</v>
      </c>
    </row>
    <row r="40" spans="2:14" x14ac:dyDescent="0.25">
      <c r="B40" s="22" t="s">
        <v>62</v>
      </c>
      <c r="C40" s="4" t="s">
        <v>19</v>
      </c>
      <c r="D40" s="4">
        <v>94</v>
      </c>
      <c r="E40" s="5" t="s">
        <v>6</v>
      </c>
      <c r="F40" s="9">
        <v>44942</v>
      </c>
      <c r="G40" s="4">
        <v>120</v>
      </c>
      <c r="H40" s="23">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Row],[Duration]]&lt;=30,"10 TO 30 MINS",
     CALLS[[#This Row],[Duration]]&lt;=120,"1 TO 2 HOURS",
     TRUE,"&gt; 2 HOURS")</f>
        <v>1 TO 2 HOURS</v>
      </c>
      <c r="L40">
        <f>ROUND(CALLS[[#This Row],[Satisfaction Rating]],0)</f>
        <v>3</v>
      </c>
      <c r="M40" cm="1">
        <f t="array" ref="M40">_xlfn.IFS(CALLS[[#This Row],[DURATION BACKET]]="UNDER 10 MINS",1,
     CALLS[[#This Row],[DURATION BACKET]]="10 TO 30 MINS",2,
     CALLS[[#This Row],[DURATION BACKET]]="1 TO 2 HOURS",3,
     CALLS[[#This Row],[DURATION BACKET]]="&gt; 2 HOURS",4)</f>
        <v>3</v>
      </c>
      <c r="N40">
        <f>(CALLS[[#This Row],[Purchase Amount]]/ 1)</f>
        <v>120</v>
      </c>
    </row>
    <row r="41" spans="2:14" x14ac:dyDescent="0.25">
      <c r="B41" s="22" t="s">
        <v>63</v>
      </c>
      <c r="C41" s="4" t="s">
        <v>12</v>
      </c>
      <c r="D41" s="4">
        <v>90</v>
      </c>
      <c r="E41" s="5" t="s">
        <v>9</v>
      </c>
      <c r="F41" s="9">
        <v>44942</v>
      </c>
      <c r="G41" s="4">
        <v>132</v>
      </c>
      <c r="H41" s="23">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Row],[Duration]]&lt;=30,"10 TO 30 MINS",
     CALLS[[#This Row],[Duration]]&lt;=120,"1 TO 2 HOURS",
     TRUE,"&gt; 2 HOURS")</f>
        <v>1 TO 2 HOURS</v>
      </c>
      <c r="L41">
        <f>ROUND(CALLS[[#This Row],[Satisfaction Rating]],0)</f>
        <v>3</v>
      </c>
      <c r="M41" cm="1">
        <f t="array" ref="M41">_xlfn.IFS(CALLS[[#This Row],[DURATION BACKET]]="UNDER 10 MINS",1,
     CALLS[[#This Row],[DURATION BACKET]]="10 TO 30 MINS",2,
     CALLS[[#This Row],[DURATION BACKET]]="1 TO 2 HOURS",3,
     CALLS[[#This Row],[DURATION BACKET]]="&gt; 2 HOURS",4)</f>
        <v>3</v>
      </c>
      <c r="N41">
        <f>(CALLS[[#This Row],[Purchase Amount]]/ 1)</f>
        <v>132</v>
      </c>
    </row>
    <row r="42" spans="2:14" x14ac:dyDescent="0.25">
      <c r="B42" s="22" t="s">
        <v>64</v>
      </c>
      <c r="C42" s="4" t="s">
        <v>19</v>
      </c>
      <c r="D42" s="4">
        <v>81</v>
      </c>
      <c r="E42" s="5" t="s">
        <v>13</v>
      </c>
      <c r="F42" s="9">
        <v>44943</v>
      </c>
      <c r="G42" s="4">
        <v>86</v>
      </c>
      <c r="H42" s="23">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Row],[Duration]]&lt;=30,"10 TO 30 MINS",
     CALLS[[#This Row],[Duration]]&lt;=120,"1 TO 2 HOURS",
     TRUE,"&gt; 2 HOURS")</f>
        <v>1 TO 2 HOURS</v>
      </c>
      <c r="L42">
        <f>ROUND(CALLS[[#This Row],[Satisfaction Rating]],0)</f>
        <v>2</v>
      </c>
      <c r="M42" cm="1">
        <f t="array" ref="M42">_xlfn.IFS(CALLS[[#This Row],[DURATION BACKET]]="UNDER 10 MINS",1,
     CALLS[[#This Row],[DURATION BACKET]]="10 TO 30 MINS",2,
     CALLS[[#This Row],[DURATION BACKET]]="1 TO 2 HOURS",3,
     CALLS[[#This Row],[DURATION BACKET]]="&gt; 2 HOURS",4)</f>
        <v>3</v>
      </c>
      <c r="N42">
        <f>(CALLS[[#This Row],[Purchase Amount]]/ 1)</f>
        <v>86</v>
      </c>
    </row>
    <row r="43" spans="2:14" x14ac:dyDescent="0.25">
      <c r="B43" s="22" t="s">
        <v>65</v>
      </c>
      <c r="C43" s="4" t="s">
        <v>22</v>
      </c>
      <c r="D43" s="4">
        <v>106</v>
      </c>
      <c r="E43" s="5" t="s">
        <v>10</v>
      </c>
      <c r="F43" s="9">
        <v>44943</v>
      </c>
      <c r="G43" s="4">
        <v>108</v>
      </c>
      <c r="H43" s="2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Row],[Duration]]&lt;=30,"10 TO 30 MINS",
     CALLS[[#This Row],[Duration]]&lt;=120,"1 TO 2 HOURS",
     TRUE,"&gt; 2 HOURS")</f>
        <v>1 TO 2 HOURS</v>
      </c>
      <c r="L43">
        <f>ROUND(CALLS[[#This Row],[Satisfaction Rating]],0)</f>
        <v>5</v>
      </c>
      <c r="M43" cm="1">
        <f t="array" ref="M43">_xlfn.IFS(CALLS[[#This Row],[DURATION BACKET]]="UNDER 10 MINS",1,
     CALLS[[#This Row],[DURATION BACKET]]="10 TO 30 MINS",2,
     CALLS[[#This Row],[DURATION BACKET]]="1 TO 2 HOURS",3,
     CALLS[[#This Row],[DURATION BACKET]]="&gt; 2 HOURS",4)</f>
        <v>3</v>
      </c>
      <c r="N43">
        <f>(CALLS[[#This Row],[Purchase Amount]]/ 1)</f>
        <v>108</v>
      </c>
    </row>
    <row r="44" spans="2:14" x14ac:dyDescent="0.25">
      <c r="B44" s="22" t="s">
        <v>66</v>
      </c>
      <c r="C44" s="4" t="s">
        <v>12</v>
      </c>
      <c r="D44" s="4">
        <v>74</v>
      </c>
      <c r="E44" s="5" t="s">
        <v>13</v>
      </c>
      <c r="F44" s="9">
        <v>44943</v>
      </c>
      <c r="G44" s="4">
        <v>96</v>
      </c>
      <c r="H44" s="23">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Row],[Duration]]&lt;=30,"10 TO 30 MINS",
     CALLS[[#This Row],[Duration]]&lt;=120,"1 TO 2 HOURS",
     TRUE,"&gt; 2 HOURS")</f>
        <v>1 TO 2 HOURS</v>
      </c>
      <c r="L44">
        <f>ROUND(CALLS[[#This Row],[Satisfaction Rating]],0)</f>
        <v>5</v>
      </c>
      <c r="M44" cm="1">
        <f t="array" ref="M44">_xlfn.IFS(CALLS[[#This Row],[DURATION BACKET]]="UNDER 10 MINS",1,
     CALLS[[#This Row],[DURATION BACKET]]="10 TO 30 MINS",2,
     CALLS[[#This Row],[DURATION BACKET]]="1 TO 2 HOURS",3,
     CALLS[[#This Row],[DURATION BACKET]]="&gt; 2 HOURS",4)</f>
        <v>3</v>
      </c>
      <c r="N44">
        <f>(CALLS[[#This Row],[Purchase Amount]]/ 1)</f>
        <v>96</v>
      </c>
    </row>
    <row r="45" spans="2:14" x14ac:dyDescent="0.25">
      <c r="B45" s="22" t="s">
        <v>67</v>
      </c>
      <c r="C45" s="4" t="s">
        <v>18</v>
      </c>
      <c r="D45" s="4">
        <v>105</v>
      </c>
      <c r="E45" s="5" t="s">
        <v>9</v>
      </c>
      <c r="F45" s="9">
        <v>44944</v>
      </c>
      <c r="G45" s="4">
        <v>80</v>
      </c>
      <c r="H45" s="23">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Row],[Duration]]&lt;=30,"10 TO 30 MINS",
     CALLS[[#This Row],[Duration]]&lt;=120,"1 TO 2 HOURS",
     TRUE,"&gt; 2 HOURS")</f>
        <v>1 TO 2 HOURS</v>
      </c>
      <c r="L45">
        <f>ROUND(CALLS[[#This Row],[Satisfaction Rating]],0)</f>
        <v>5</v>
      </c>
      <c r="M45" cm="1">
        <f t="array" ref="M45">_xlfn.IFS(CALLS[[#This Row],[DURATION BACKET]]="UNDER 10 MINS",1,
     CALLS[[#This Row],[DURATION BACKET]]="10 TO 30 MINS",2,
     CALLS[[#This Row],[DURATION BACKET]]="1 TO 2 HOURS",3,
     CALLS[[#This Row],[DURATION BACKET]]="&gt; 2 HOURS",4)</f>
        <v>3</v>
      </c>
      <c r="N45">
        <f>(CALLS[[#This Row],[Purchase Amount]]/ 1)</f>
        <v>80</v>
      </c>
    </row>
    <row r="46" spans="2:14" x14ac:dyDescent="0.25">
      <c r="B46" s="22" t="s">
        <v>68</v>
      </c>
      <c r="C46" s="4" t="s">
        <v>22</v>
      </c>
      <c r="D46" s="4">
        <v>89</v>
      </c>
      <c r="E46" s="5" t="s">
        <v>10</v>
      </c>
      <c r="F46" s="9">
        <v>44944</v>
      </c>
      <c r="G46" s="4">
        <v>155</v>
      </c>
      <c r="H46" s="23">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Row],[Duration]]&lt;=30,"10 TO 30 MINS",
     CALLS[[#This Row],[Duration]]&lt;=120,"1 TO 2 HOURS",
     TRUE,"&gt; 2 HOURS")</f>
        <v>1 TO 2 HOURS</v>
      </c>
      <c r="L46">
        <f>ROUND(CALLS[[#This Row],[Satisfaction Rating]],0)</f>
        <v>4</v>
      </c>
      <c r="M46" cm="1">
        <f t="array" ref="M46">_xlfn.IFS(CALLS[[#This Row],[DURATION BACKET]]="UNDER 10 MINS",1,
     CALLS[[#This Row],[DURATION BACKET]]="10 TO 30 MINS",2,
     CALLS[[#This Row],[DURATION BACKET]]="1 TO 2 HOURS",3,
     CALLS[[#This Row],[DURATION BACKET]]="&gt; 2 HOURS",4)</f>
        <v>3</v>
      </c>
      <c r="N46">
        <f>(CALLS[[#This Row],[Purchase Amount]]/ 1)</f>
        <v>155</v>
      </c>
    </row>
    <row r="47" spans="2:14" x14ac:dyDescent="0.25">
      <c r="B47" s="22" t="s">
        <v>69</v>
      </c>
      <c r="C47" s="4" t="s">
        <v>14</v>
      </c>
      <c r="D47" s="4">
        <v>132</v>
      </c>
      <c r="E47" s="5" t="s">
        <v>6</v>
      </c>
      <c r="F47" s="9">
        <v>44944</v>
      </c>
      <c r="G47" s="4">
        <v>168</v>
      </c>
      <c r="H47" s="23">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Row],[Duration]]&lt;=30,"10 TO 30 MINS",
     CALLS[[#This Row],[Duration]]&lt;=120,"1 TO 2 HOURS",
     TRUE,"&gt; 2 HOURS")</f>
        <v>&gt; 2 HOURS</v>
      </c>
      <c r="L47">
        <f>ROUND(CALLS[[#This Row],[Satisfaction Rating]],0)</f>
        <v>4</v>
      </c>
      <c r="M47" cm="1">
        <f t="array" ref="M47">_xlfn.IFS(CALLS[[#This Row],[DURATION BACKET]]="UNDER 10 MINS",1,
     CALLS[[#This Row],[DURATION BACKET]]="10 TO 30 MINS",2,
     CALLS[[#This Row],[DURATION BACKET]]="1 TO 2 HOURS",3,
     CALLS[[#This Row],[DURATION BACKET]]="&gt; 2 HOURS",4)</f>
        <v>4</v>
      </c>
      <c r="N47">
        <f>(CALLS[[#This Row],[Purchase Amount]]/ 1)</f>
        <v>168</v>
      </c>
    </row>
    <row r="48" spans="2:14" x14ac:dyDescent="0.25">
      <c r="B48" s="22" t="s">
        <v>70</v>
      </c>
      <c r="C48" s="4" t="s">
        <v>17</v>
      </c>
      <c r="D48" s="4">
        <v>105</v>
      </c>
      <c r="E48" s="5" t="s">
        <v>11</v>
      </c>
      <c r="F48" s="9">
        <v>44944</v>
      </c>
      <c r="G48" s="4">
        <v>56</v>
      </c>
      <c r="H48" s="23">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Row],[Duration]]&lt;=30,"10 TO 30 MINS",
     CALLS[[#This Row],[Duration]]&lt;=120,"1 TO 2 HOURS",
     TRUE,"&gt; 2 HOURS")</f>
        <v>1 TO 2 HOURS</v>
      </c>
      <c r="L48">
        <f>ROUND(CALLS[[#This Row],[Satisfaction Rating]],0)</f>
        <v>4</v>
      </c>
      <c r="M48" cm="1">
        <f t="array" ref="M48">_xlfn.IFS(CALLS[[#This Row],[DURATION BACKET]]="UNDER 10 MINS",1,
     CALLS[[#This Row],[DURATION BACKET]]="10 TO 30 MINS",2,
     CALLS[[#This Row],[DURATION BACKET]]="1 TO 2 HOURS",3,
     CALLS[[#This Row],[DURATION BACKET]]="&gt; 2 HOURS",4)</f>
        <v>3</v>
      </c>
      <c r="N48">
        <f>(CALLS[[#This Row],[Purchase Amount]]/ 1)</f>
        <v>56</v>
      </c>
    </row>
    <row r="49" spans="2:14" x14ac:dyDescent="0.25">
      <c r="B49" s="22" t="s">
        <v>71</v>
      </c>
      <c r="C49" s="4" t="s">
        <v>8</v>
      </c>
      <c r="D49" s="4">
        <v>13</v>
      </c>
      <c r="E49" s="5" t="s">
        <v>6</v>
      </c>
      <c r="F49" s="9">
        <v>44945</v>
      </c>
      <c r="G49" s="4">
        <v>32</v>
      </c>
      <c r="H49" s="23">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Row],[Duration]]&lt;=30,"10 TO 30 MINS",
     CALLS[[#This Row],[Duration]]&lt;=120,"1 TO 2 HOURS",
     TRUE,"&gt; 2 HOURS")</f>
        <v>10 TO 30 MINS</v>
      </c>
      <c r="L49">
        <f>ROUND(CALLS[[#This Row],[Satisfaction Rating]],0)</f>
        <v>4</v>
      </c>
      <c r="M49" cm="1">
        <f t="array" ref="M49">_xlfn.IFS(CALLS[[#This Row],[DURATION BACKET]]="UNDER 10 MINS",1,
     CALLS[[#This Row],[DURATION BACKET]]="10 TO 30 MINS",2,
     CALLS[[#This Row],[DURATION BACKET]]="1 TO 2 HOURS",3,
     CALLS[[#This Row],[DURATION BACKET]]="&gt; 2 HOURS",4)</f>
        <v>2</v>
      </c>
      <c r="N49">
        <f>(CALLS[[#This Row],[Purchase Amount]]/ 1)</f>
        <v>32</v>
      </c>
    </row>
    <row r="50" spans="2:14" x14ac:dyDescent="0.25">
      <c r="B50" s="22" t="s">
        <v>72</v>
      </c>
      <c r="C50" s="4" t="s">
        <v>21</v>
      </c>
      <c r="D50" s="4">
        <v>131</v>
      </c>
      <c r="E50" s="5" t="s">
        <v>11</v>
      </c>
      <c r="F50" s="9">
        <v>44945</v>
      </c>
      <c r="G50" s="4">
        <v>78</v>
      </c>
      <c r="H50" s="23">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Row],[Duration]]&lt;=30,"10 TO 30 MINS",
     CALLS[[#This Row],[Duration]]&lt;=120,"1 TO 2 HOURS",
     TRUE,"&gt; 2 HOURS")</f>
        <v>&gt; 2 HOURS</v>
      </c>
      <c r="L50">
        <f>ROUND(CALLS[[#This Row],[Satisfaction Rating]],0)</f>
        <v>4</v>
      </c>
      <c r="M50" cm="1">
        <f t="array" ref="M50">_xlfn.IFS(CALLS[[#This Row],[DURATION BACKET]]="UNDER 10 MINS",1,
     CALLS[[#This Row],[DURATION BACKET]]="10 TO 30 MINS",2,
     CALLS[[#This Row],[DURATION BACKET]]="1 TO 2 HOURS",3,
     CALLS[[#This Row],[DURATION BACKET]]="&gt; 2 HOURS",4)</f>
        <v>4</v>
      </c>
      <c r="N50">
        <f>(CALLS[[#This Row],[Purchase Amount]]/ 1)</f>
        <v>78</v>
      </c>
    </row>
    <row r="51" spans="2:14" x14ac:dyDescent="0.25">
      <c r="B51" s="22" t="s">
        <v>73</v>
      </c>
      <c r="C51" s="4" t="s">
        <v>12</v>
      </c>
      <c r="D51" s="4">
        <v>104</v>
      </c>
      <c r="E51" s="5" t="s">
        <v>10</v>
      </c>
      <c r="F51" s="9">
        <v>44945</v>
      </c>
      <c r="G51" s="4">
        <v>86</v>
      </c>
      <c r="H51" s="23">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Row],[Duration]]&lt;=30,"10 TO 30 MINS",
     CALLS[[#This Row],[Duration]]&lt;=120,"1 TO 2 HOURS",
     TRUE,"&gt; 2 HOURS")</f>
        <v>1 TO 2 HOURS</v>
      </c>
      <c r="L51">
        <f>ROUND(CALLS[[#This Row],[Satisfaction Rating]],0)</f>
        <v>4</v>
      </c>
      <c r="M51" cm="1">
        <f t="array" ref="M51">_xlfn.IFS(CALLS[[#This Row],[DURATION BACKET]]="UNDER 10 MINS",1,
     CALLS[[#This Row],[DURATION BACKET]]="10 TO 30 MINS",2,
     CALLS[[#This Row],[DURATION BACKET]]="1 TO 2 HOURS",3,
     CALLS[[#This Row],[DURATION BACKET]]="&gt; 2 HOURS",4)</f>
        <v>3</v>
      </c>
      <c r="N51">
        <f>(CALLS[[#This Row],[Purchase Amount]]/ 1)</f>
        <v>86</v>
      </c>
    </row>
    <row r="52" spans="2:14" x14ac:dyDescent="0.25">
      <c r="B52" s="22" t="s">
        <v>74</v>
      </c>
      <c r="C52" s="4" t="s">
        <v>20</v>
      </c>
      <c r="D52" s="4">
        <v>90</v>
      </c>
      <c r="E52" s="5" t="s">
        <v>9</v>
      </c>
      <c r="F52" s="9">
        <v>44946</v>
      </c>
      <c r="G52" s="4">
        <v>64</v>
      </c>
      <c r="H52" s="23">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Row],[Duration]]&lt;=30,"10 TO 30 MINS",
     CALLS[[#This Row],[Duration]]&lt;=120,"1 TO 2 HOURS",
     TRUE,"&gt; 2 HOURS")</f>
        <v>1 TO 2 HOURS</v>
      </c>
      <c r="L52">
        <f>ROUND(CALLS[[#This Row],[Satisfaction Rating]],0)</f>
        <v>4</v>
      </c>
      <c r="M52" cm="1">
        <f t="array" ref="M52">_xlfn.IFS(CALLS[[#This Row],[DURATION BACKET]]="UNDER 10 MINS",1,
     CALLS[[#This Row],[DURATION BACKET]]="10 TO 30 MINS",2,
     CALLS[[#This Row],[DURATION BACKET]]="1 TO 2 HOURS",3,
     CALLS[[#This Row],[DURATION BACKET]]="&gt; 2 HOURS",4)</f>
        <v>3</v>
      </c>
      <c r="N52">
        <f>(CALLS[[#This Row],[Purchase Amount]]/ 1)</f>
        <v>64</v>
      </c>
    </row>
    <row r="53" spans="2:14" x14ac:dyDescent="0.25">
      <c r="B53" s="22" t="s">
        <v>75</v>
      </c>
      <c r="C53" s="4" t="s">
        <v>16</v>
      </c>
      <c r="D53" s="4">
        <v>37</v>
      </c>
      <c r="E53" s="5" t="s">
        <v>9</v>
      </c>
      <c r="F53" s="9">
        <v>44946</v>
      </c>
      <c r="G53" s="4">
        <v>96</v>
      </c>
      <c r="H53" s="2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Row],[Duration]]&lt;=30,"10 TO 30 MINS",
     CALLS[[#This Row],[Duration]]&lt;=120,"1 TO 2 HOURS",
     TRUE,"&gt; 2 HOURS")</f>
        <v>1 TO 2 HOURS</v>
      </c>
      <c r="L53">
        <f>ROUND(CALLS[[#This Row],[Satisfaction Rating]],0)</f>
        <v>4</v>
      </c>
      <c r="M53" cm="1">
        <f t="array" ref="M53">_xlfn.IFS(CALLS[[#This Row],[DURATION BACKET]]="UNDER 10 MINS",1,
     CALLS[[#This Row],[DURATION BACKET]]="10 TO 30 MINS",2,
     CALLS[[#This Row],[DURATION BACKET]]="1 TO 2 HOURS",3,
     CALLS[[#This Row],[DURATION BACKET]]="&gt; 2 HOURS",4)</f>
        <v>3</v>
      </c>
      <c r="N53">
        <f>(CALLS[[#This Row],[Purchase Amount]]/ 1)</f>
        <v>96</v>
      </c>
    </row>
    <row r="54" spans="2:14" x14ac:dyDescent="0.25">
      <c r="B54" s="22" t="s">
        <v>76</v>
      </c>
      <c r="C54" s="4" t="s">
        <v>24</v>
      </c>
      <c r="D54" s="4">
        <v>149</v>
      </c>
      <c r="E54" s="5" t="s">
        <v>11</v>
      </c>
      <c r="F54" s="9">
        <v>44946</v>
      </c>
      <c r="G54" s="4">
        <v>72</v>
      </c>
      <c r="H54" s="23">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Row],[Duration]]&lt;=30,"10 TO 30 MINS",
     CALLS[[#This Row],[Duration]]&lt;=120,"1 TO 2 HOURS",
     TRUE,"&gt; 2 HOURS")</f>
        <v>&gt; 2 HOURS</v>
      </c>
      <c r="L54">
        <f>ROUND(CALLS[[#This Row],[Satisfaction Rating]],0)</f>
        <v>4</v>
      </c>
      <c r="M54" cm="1">
        <f t="array" ref="M54">_xlfn.IFS(CALLS[[#This Row],[DURATION BACKET]]="UNDER 10 MINS",1,
     CALLS[[#This Row],[DURATION BACKET]]="10 TO 30 MINS",2,
     CALLS[[#This Row],[DURATION BACKET]]="1 TO 2 HOURS",3,
     CALLS[[#This Row],[DURATION BACKET]]="&gt; 2 HOURS",4)</f>
        <v>4</v>
      </c>
      <c r="N54">
        <f>(CALLS[[#This Row],[Purchase Amount]]/ 1)</f>
        <v>72</v>
      </c>
    </row>
    <row r="55" spans="2:14" x14ac:dyDescent="0.25">
      <c r="B55" s="22" t="s">
        <v>77</v>
      </c>
      <c r="C55" s="4" t="s">
        <v>14</v>
      </c>
      <c r="D55" s="4">
        <v>100</v>
      </c>
      <c r="E55" s="5" t="s">
        <v>13</v>
      </c>
      <c r="F55" s="9">
        <v>44947</v>
      </c>
      <c r="G55" s="4">
        <v>135</v>
      </c>
      <c r="H55" s="23">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Row],[Duration]]&lt;=30,"10 TO 30 MINS",
     CALLS[[#This Row],[Duration]]&lt;=120,"1 TO 2 HOURS",
     TRUE,"&gt; 2 HOURS")</f>
        <v>1 TO 2 HOURS</v>
      </c>
      <c r="L55">
        <f>ROUND(CALLS[[#This Row],[Satisfaction Rating]],0)</f>
        <v>4</v>
      </c>
      <c r="M55" cm="1">
        <f t="array" ref="M55">_xlfn.IFS(CALLS[[#This Row],[DURATION BACKET]]="UNDER 10 MINS",1,
     CALLS[[#This Row],[DURATION BACKET]]="10 TO 30 MINS",2,
     CALLS[[#This Row],[DURATION BACKET]]="1 TO 2 HOURS",3,
     CALLS[[#This Row],[DURATION BACKET]]="&gt; 2 HOURS",4)</f>
        <v>3</v>
      </c>
      <c r="N55">
        <f>(CALLS[[#This Row],[Purchase Amount]]/ 1)</f>
        <v>135</v>
      </c>
    </row>
    <row r="56" spans="2:14" x14ac:dyDescent="0.25">
      <c r="B56" s="22" t="s">
        <v>78</v>
      </c>
      <c r="C56" s="4" t="s">
        <v>14</v>
      </c>
      <c r="D56" s="4">
        <v>79</v>
      </c>
      <c r="E56" s="5" t="s">
        <v>6</v>
      </c>
      <c r="F56" s="9">
        <v>44947</v>
      </c>
      <c r="G56" s="4">
        <v>140</v>
      </c>
      <c r="H56" s="23">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Row],[Duration]]&lt;=30,"10 TO 30 MINS",
     CALLS[[#This Row],[Duration]]&lt;=120,"1 TO 2 HOURS",
     TRUE,"&gt; 2 HOURS")</f>
        <v>1 TO 2 HOURS</v>
      </c>
      <c r="L56">
        <f>ROUND(CALLS[[#This Row],[Satisfaction Rating]],0)</f>
        <v>5</v>
      </c>
      <c r="M56" cm="1">
        <f t="array" ref="M56">_xlfn.IFS(CALLS[[#This Row],[DURATION BACKET]]="UNDER 10 MINS",1,
     CALLS[[#This Row],[DURATION BACKET]]="10 TO 30 MINS",2,
     CALLS[[#This Row],[DURATION BACKET]]="1 TO 2 HOURS",3,
     CALLS[[#This Row],[DURATION BACKET]]="&gt; 2 HOURS",4)</f>
        <v>3</v>
      </c>
      <c r="N56">
        <f>(CALLS[[#This Row],[Purchase Amount]]/ 1)</f>
        <v>140</v>
      </c>
    </row>
    <row r="57" spans="2:14" x14ac:dyDescent="0.25">
      <c r="B57" s="22" t="s">
        <v>79</v>
      </c>
      <c r="C57" s="4" t="s">
        <v>5</v>
      </c>
      <c r="D57" s="4">
        <v>157</v>
      </c>
      <c r="E57" s="5" t="s">
        <v>11</v>
      </c>
      <c r="F57" s="9">
        <v>44947</v>
      </c>
      <c r="G57" s="4">
        <v>69</v>
      </c>
      <c r="H57" s="23">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Row],[Duration]]&lt;=30,"10 TO 30 MINS",
     CALLS[[#This Row],[Duration]]&lt;=120,"1 TO 2 HOURS",
     TRUE,"&gt; 2 HOURS")</f>
        <v>&gt; 2 HOURS</v>
      </c>
      <c r="L57">
        <f>ROUND(CALLS[[#This Row],[Satisfaction Rating]],0)</f>
        <v>5</v>
      </c>
      <c r="M57" cm="1">
        <f t="array" ref="M57">_xlfn.IFS(CALLS[[#This Row],[DURATION BACKET]]="UNDER 10 MINS",1,
     CALLS[[#This Row],[DURATION BACKET]]="10 TO 30 MINS",2,
     CALLS[[#This Row],[DURATION BACKET]]="1 TO 2 HOURS",3,
     CALLS[[#This Row],[DURATION BACKET]]="&gt; 2 HOURS",4)</f>
        <v>4</v>
      </c>
      <c r="N57">
        <f>(CALLS[[#This Row],[Purchase Amount]]/ 1)</f>
        <v>69</v>
      </c>
    </row>
    <row r="58" spans="2:14" x14ac:dyDescent="0.25">
      <c r="B58" s="22" t="s">
        <v>80</v>
      </c>
      <c r="C58" s="4" t="s">
        <v>14</v>
      </c>
      <c r="D58" s="4">
        <v>59</v>
      </c>
      <c r="E58" s="5" t="s">
        <v>10</v>
      </c>
      <c r="F58" s="9">
        <v>44948</v>
      </c>
      <c r="G58" s="4">
        <v>136</v>
      </c>
      <c r="H58" s="23">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Row],[Duration]]&lt;=30,"10 TO 30 MINS",
     CALLS[[#This Row],[Duration]]&lt;=120,"1 TO 2 HOURS",
     TRUE,"&gt; 2 HOURS")</f>
        <v>1 TO 2 HOURS</v>
      </c>
      <c r="L58">
        <f>ROUND(CALLS[[#This Row],[Satisfaction Rating]],0)</f>
        <v>5</v>
      </c>
      <c r="M58" cm="1">
        <f t="array" ref="M58">_xlfn.IFS(CALLS[[#This Row],[DURATION BACKET]]="UNDER 10 MINS",1,
     CALLS[[#This Row],[DURATION BACKET]]="10 TO 30 MINS",2,
     CALLS[[#This Row],[DURATION BACKET]]="1 TO 2 HOURS",3,
     CALLS[[#This Row],[DURATION BACKET]]="&gt; 2 HOURS",4)</f>
        <v>3</v>
      </c>
      <c r="N58">
        <f>(CALLS[[#This Row],[Purchase Amount]]/ 1)</f>
        <v>136</v>
      </c>
    </row>
    <row r="59" spans="2:14" x14ac:dyDescent="0.25">
      <c r="B59" s="22" t="s">
        <v>81</v>
      </c>
      <c r="C59" s="4" t="s">
        <v>16</v>
      </c>
      <c r="D59" s="4">
        <v>83</v>
      </c>
      <c r="E59" s="5" t="s">
        <v>11</v>
      </c>
      <c r="F59" s="9">
        <v>44948</v>
      </c>
      <c r="G59" s="4">
        <v>28</v>
      </c>
      <c r="H59" s="23">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Row],[Duration]]&lt;=30,"10 TO 30 MINS",
     CALLS[[#This Row],[Duration]]&lt;=120,"1 TO 2 HOURS",
     TRUE,"&gt; 2 HOURS")</f>
        <v>1 TO 2 HOURS</v>
      </c>
      <c r="L59">
        <f>ROUND(CALLS[[#This Row],[Satisfaction Rating]],0)</f>
        <v>5</v>
      </c>
      <c r="M59" cm="1">
        <f t="array" ref="M59">_xlfn.IFS(CALLS[[#This Row],[DURATION BACKET]]="UNDER 10 MINS",1,
     CALLS[[#This Row],[DURATION BACKET]]="10 TO 30 MINS",2,
     CALLS[[#This Row],[DURATION BACKET]]="1 TO 2 HOURS",3,
     CALLS[[#This Row],[DURATION BACKET]]="&gt; 2 HOURS",4)</f>
        <v>3</v>
      </c>
      <c r="N59">
        <f>(CALLS[[#This Row],[Purchase Amount]]/ 1)</f>
        <v>28</v>
      </c>
    </row>
    <row r="60" spans="2:14" x14ac:dyDescent="0.25">
      <c r="B60" s="22" t="s">
        <v>82</v>
      </c>
      <c r="C60" s="4" t="s">
        <v>5</v>
      </c>
      <c r="D60" s="4">
        <v>58</v>
      </c>
      <c r="E60" s="5" t="s">
        <v>9</v>
      </c>
      <c r="F60" s="9">
        <v>44949</v>
      </c>
      <c r="G60" s="4">
        <v>135</v>
      </c>
      <c r="H60" s="23">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Row],[Duration]]&lt;=30,"10 TO 30 MINS",
     CALLS[[#This Row],[Duration]]&lt;=120,"1 TO 2 HOURS",
     TRUE,"&gt; 2 HOURS")</f>
        <v>1 TO 2 HOURS</v>
      </c>
      <c r="L60">
        <f>ROUND(CALLS[[#This Row],[Satisfaction Rating]],0)</f>
        <v>3</v>
      </c>
      <c r="M60" cm="1">
        <f t="array" ref="M60">_xlfn.IFS(CALLS[[#This Row],[DURATION BACKET]]="UNDER 10 MINS",1,
     CALLS[[#This Row],[DURATION BACKET]]="10 TO 30 MINS",2,
     CALLS[[#This Row],[DURATION BACKET]]="1 TO 2 HOURS",3,
     CALLS[[#This Row],[DURATION BACKET]]="&gt; 2 HOURS",4)</f>
        <v>3</v>
      </c>
      <c r="N60">
        <f>(CALLS[[#This Row],[Purchase Amount]]/ 1)</f>
        <v>135</v>
      </c>
    </row>
    <row r="61" spans="2:14" x14ac:dyDescent="0.25">
      <c r="B61" s="22" t="s">
        <v>83</v>
      </c>
      <c r="C61" s="4" t="s">
        <v>19</v>
      </c>
      <c r="D61" s="4">
        <v>118</v>
      </c>
      <c r="E61" s="5" t="s">
        <v>9</v>
      </c>
      <c r="F61" s="9">
        <v>44949</v>
      </c>
      <c r="G61" s="4">
        <v>126</v>
      </c>
      <c r="H61" s="23">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Row],[Duration]]&lt;=30,"10 TO 30 MINS",
     CALLS[[#This Row],[Duration]]&lt;=120,"1 TO 2 HOURS",
     TRUE,"&gt; 2 HOURS")</f>
        <v>1 TO 2 HOURS</v>
      </c>
      <c r="L61">
        <f>ROUND(CALLS[[#This Row],[Satisfaction Rating]],0)</f>
        <v>2</v>
      </c>
      <c r="M61" cm="1">
        <f t="array" ref="M61">_xlfn.IFS(CALLS[[#This Row],[DURATION BACKET]]="UNDER 10 MINS",1,
     CALLS[[#This Row],[DURATION BACKET]]="10 TO 30 MINS",2,
     CALLS[[#This Row],[DURATION BACKET]]="1 TO 2 HOURS",3,
     CALLS[[#This Row],[DURATION BACKET]]="&gt; 2 HOURS",4)</f>
        <v>3</v>
      </c>
      <c r="N61">
        <f>(CALLS[[#This Row],[Purchase Amount]]/ 1)</f>
        <v>126</v>
      </c>
    </row>
    <row r="62" spans="2:14" x14ac:dyDescent="0.25">
      <c r="B62" s="22" t="s">
        <v>84</v>
      </c>
      <c r="C62" s="4" t="s">
        <v>8</v>
      </c>
      <c r="D62" s="4">
        <v>63</v>
      </c>
      <c r="E62" s="5" t="s">
        <v>10</v>
      </c>
      <c r="F62" s="9">
        <v>44949</v>
      </c>
      <c r="G62" s="4">
        <v>160</v>
      </c>
      <c r="H62" s="23">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Row],[Duration]]&lt;=30,"10 TO 30 MINS",
     CALLS[[#This Row],[Duration]]&lt;=120,"1 TO 2 HOURS",
     TRUE,"&gt; 2 HOURS")</f>
        <v>1 TO 2 HOURS</v>
      </c>
      <c r="L62">
        <f>ROUND(CALLS[[#This Row],[Satisfaction Rating]],0)</f>
        <v>4</v>
      </c>
      <c r="M62" cm="1">
        <f t="array" ref="M62">_xlfn.IFS(CALLS[[#This Row],[DURATION BACKET]]="UNDER 10 MINS",1,
     CALLS[[#This Row],[DURATION BACKET]]="10 TO 30 MINS",2,
     CALLS[[#This Row],[DURATION BACKET]]="1 TO 2 HOURS",3,
     CALLS[[#This Row],[DURATION BACKET]]="&gt; 2 HOURS",4)</f>
        <v>3</v>
      </c>
      <c r="N62">
        <f>(CALLS[[#This Row],[Purchase Amount]]/ 1)</f>
        <v>160</v>
      </c>
    </row>
    <row r="63" spans="2:14" x14ac:dyDescent="0.25">
      <c r="B63" s="22" t="s">
        <v>85</v>
      </c>
      <c r="C63" s="4" t="s">
        <v>5</v>
      </c>
      <c r="D63" s="4">
        <v>95</v>
      </c>
      <c r="E63" s="5" t="s">
        <v>9</v>
      </c>
      <c r="F63" s="9">
        <v>44950</v>
      </c>
      <c r="G63" s="4">
        <v>48</v>
      </c>
      <c r="H63" s="2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Row],[Duration]]&lt;=30,"10 TO 30 MINS",
     CALLS[[#This Row],[Duration]]&lt;=120,"1 TO 2 HOURS",
     TRUE,"&gt; 2 HOURS")</f>
        <v>1 TO 2 HOURS</v>
      </c>
      <c r="L63">
        <f>ROUND(CALLS[[#This Row],[Satisfaction Rating]],0)</f>
        <v>5</v>
      </c>
      <c r="M63" cm="1">
        <f t="array" ref="M63">_xlfn.IFS(CALLS[[#This Row],[DURATION BACKET]]="UNDER 10 MINS",1,
     CALLS[[#This Row],[DURATION BACKET]]="10 TO 30 MINS",2,
     CALLS[[#This Row],[DURATION BACKET]]="1 TO 2 HOURS",3,
     CALLS[[#This Row],[DURATION BACKET]]="&gt; 2 HOURS",4)</f>
        <v>3</v>
      </c>
      <c r="N63">
        <f>(CALLS[[#This Row],[Purchase Amount]]/ 1)</f>
        <v>48</v>
      </c>
    </row>
    <row r="64" spans="2:14" x14ac:dyDescent="0.25">
      <c r="B64" s="22" t="s">
        <v>86</v>
      </c>
      <c r="C64" s="4" t="s">
        <v>14</v>
      </c>
      <c r="D64" s="4">
        <v>74</v>
      </c>
      <c r="E64" s="5" t="s">
        <v>11</v>
      </c>
      <c r="F64" s="9">
        <v>44950</v>
      </c>
      <c r="G64" s="4">
        <v>66</v>
      </c>
      <c r="H64" s="23">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Row],[Duration]]&lt;=30,"10 TO 30 MINS",
     CALLS[[#This Row],[Duration]]&lt;=120,"1 TO 2 HOURS",
     TRUE,"&gt; 2 HOURS")</f>
        <v>1 TO 2 HOURS</v>
      </c>
      <c r="L64">
        <f>ROUND(CALLS[[#This Row],[Satisfaction Rating]],0)</f>
        <v>4</v>
      </c>
      <c r="M64" cm="1">
        <f t="array" ref="M64">_xlfn.IFS(CALLS[[#This Row],[DURATION BACKET]]="UNDER 10 MINS",1,
     CALLS[[#This Row],[DURATION BACKET]]="10 TO 30 MINS",2,
     CALLS[[#This Row],[DURATION BACKET]]="1 TO 2 HOURS",3,
     CALLS[[#This Row],[DURATION BACKET]]="&gt; 2 HOURS",4)</f>
        <v>3</v>
      </c>
      <c r="N64">
        <f>(CALLS[[#This Row],[Purchase Amount]]/ 1)</f>
        <v>66</v>
      </c>
    </row>
    <row r="65" spans="2:14" x14ac:dyDescent="0.25">
      <c r="B65" s="22" t="s">
        <v>87</v>
      </c>
      <c r="C65" s="4" t="s">
        <v>18</v>
      </c>
      <c r="D65" s="4">
        <v>130</v>
      </c>
      <c r="E65" s="5" t="s">
        <v>13</v>
      </c>
      <c r="F65" s="9">
        <v>44950</v>
      </c>
      <c r="G65" s="4">
        <v>126</v>
      </c>
      <c r="H65" s="23">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Row],[Duration]]&lt;=30,"10 TO 30 MINS",
     CALLS[[#This Row],[Duration]]&lt;=120,"1 TO 2 HOURS",
     TRUE,"&gt; 2 HOURS")</f>
        <v>&gt; 2 HOURS</v>
      </c>
      <c r="L65">
        <f>ROUND(CALLS[[#This Row],[Satisfaction Rating]],0)</f>
        <v>3</v>
      </c>
      <c r="M65" cm="1">
        <f t="array" ref="M65">_xlfn.IFS(CALLS[[#This Row],[DURATION BACKET]]="UNDER 10 MINS",1,
     CALLS[[#This Row],[DURATION BACKET]]="10 TO 30 MINS",2,
     CALLS[[#This Row],[DURATION BACKET]]="1 TO 2 HOURS",3,
     CALLS[[#This Row],[DURATION BACKET]]="&gt; 2 HOURS",4)</f>
        <v>4</v>
      </c>
      <c r="N65">
        <f>(CALLS[[#This Row],[Purchase Amount]]/ 1)</f>
        <v>126</v>
      </c>
    </row>
    <row r="66" spans="2:14" x14ac:dyDescent="0.25">
      <c r="B66" s="22" t="s">
        <v>88</v>
      </c>
      <c r="C66" s="4" t="s">
        <v>19</v>
      </c>
      <c r="D66" s="4">
        <v>110</v>
      </c>
      <c r="E66" s="5" t="s">
        <v>6</v>
      </c>
      <c r="F66" s="9">
        <v>44950</v>
      </c>
      <c r="G66" s="4">
        <v>96</v>
      </c>
      <c r="H66" s="23">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Row],[Duration]]&lt;=30,"10 TO 30 MINS",
     CALLS[[#This Row],[Duration]]&lt;=120,"1 TO 2 HOURS",
     TRUE,"&gt; 2 HOURS")</f>
        <v>1 TO 2 HOURS</v>
      </c>
      <c r="L66">
        <f>ROUND(CALLS[[#This Row],[Satisfaction Rating]],0)</f>
        <v>5</v>
      </c>
      <c r="M66" cm="1">
        <f t="array" ref="M66">_xlfn.IFS(CALLS[[#This Row],[DURATION BACKET]]="UNDER 10 MINS",1,
     CALLS[[#This Row],[DURATION BACKET]]="10 TO 30 MINS",2,
     CALLS[[#This Row],[DURATION BACKET]]="1 TO 2 HOURS",3,
     CALLS[[#This Row],[DURATION BACKET]]="&gt; 2 HOURS",4)</f>
        <v>3</v>
      </c>
      <c r="N66">
        <f>(CALLS[[#This Row],[Purchase Amount]]/ 1)</f>
        <v>96</v>
      </c>
    </row>
    <row r="67" spans="2:14" x14ac:dyDescent="0.25">
      <c r="B67" s="22" t="s">
        <v>89</v>
      </c>
      <c r="C67" s="4" t="s">
        <v>14</v>
      </c>
      <c r="D67" s="4">
        <v>71</v>
      </c>
      <c r="E67" s="5" t="s">
        <v>10</v>
      </c>
      <c r="F67" s="9">
        <v>44951</v>
      </c>
      <c r="G67" s="4">
        <v>90</v>
      </c>
      <c r="H67" s="23">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Row],[Duration]]&lt;=30,"10 TO 30 MINS",
     CALLS[[#This Row],[Duration]]&lt;=120,"1 TO 2 HOURS",
     TRUE,"&gt; 2 HOURS")</f>
        <v>1 TO 2 HOURS</v>
      </c>
      <c r="L67">
        <f>ROUND(CALLS[[#This Row],[Satisfaction Rating]],0)</f>
        <v>4</v>
      </c>
      <c r="M67" cm="1">
        <f t="array" ref="M67">_xlfn.IFS(CALLS[[#This Row],[DURATION BACKET]]="UNDER 10 MINS",1,
     CALLS[[#This Row],[DURATION BACKET]]="10 TO 30 MINS",2,
     CALLS[[#This Row],[DURATION BACKET]]="1 TO 2 HOURS",3,
     CALLS[[#This Row],[DURATION BACKET]]="&gt; 2 HOURS",4)</f>
        <v>3</v>
      </c>
      <c r="N67">
        <f>(CALLS[[#This Row],[Purchase Amount]]/ 1)</f>
        <v>90</v>
      </c>
    </row>
    <row r="68" spans="2:14" x14ac:dyDescent="0.25">
      <c r="B68" s="22" t="s">
        <v>90</v>
      </c>
      <c r="C68" s="4" t="s">
        <v>17</v>
      </c>
      <c r="D68" s="4">
        <v>147</v>
      </c>
      <c r="E68" s="5" t="s">
        <v>13</v>
      </c>
      <c r="F68" s="9">
        <v>44951</v>
      </c>
      <c r="G68" s="4">
        <v>105</v>
      </c>
      <c r="H68" s="23">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Row],[Duration]]&lt;=30,"10 TO 30 MINS",
     CALLS[[#This Row],[Duration]]&lt;=120,"1 TO 2 HOURS",
     TRUE,"&gt; 2 HOURS")</f>
        <v>&gt; 2 HOURS</v>
      </c>
      <c r="L68">
        <f>ROUND(CALLS[[#This Row],[Satisfaction Rating]],0)</f>
        <v>4</v>
      </c>
      <c r="M68" cm="1">
        <f t="array" ref="M68">_xlfn.IFS(CALLS[[#This Row],[DURATION BACKET]]="UNDER 10 MINS",1,
     CALLS[[#This Row],[DURATION BACKET]]="10 TO 30 MINS",2,
     CALLS[[#This Row],[DURATION BACKET]]="1 TO 2 HOURS",3,
     CALLS[[#This Row],[DURATION BACKET]]="&gt; 2 HOURS",4)</f>
        <v>4</v>
      </c>
      <c r="N68">
        <f>(CALLS[[#This Row],[Purchase Amount]]/ 1)</f>
        <v>105</v>
      </c>
    </row>
    <row r="69" spans="2:14" x14ac:dyDescent="0.25">
      <c r="B69" s="22" t="s">
        <v>91</v>
      </c>
      <c r="C69" s="4" t="s">
        <v>12</v>
      </c>
      <c r="D69" s="4">
        <v>69</v>
      </c>
      <c r="E69" s="5" t="s">
        <v>9</v>
      </c>
      <c r="F69" s="9">
        <v>44952</v>
      </c>
      <c r="G69" s="4">
        <v>40</v>
      </c>
      <c r="H69" s="23">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Row],[Duration]]&lt;=30,"10 TO 30 MINS",
     CALLS[[#This Row],[Duration]]&lt;=120,"1 TO 2 HOURS",
     TRUE,"&gt; 2 HOURS")</f>
        <v>1 TO 2 HOURS</v>
      </c>
      <c r="L69">
        <f>ROUND(CALLS[[#This Row],[Satisfaction Rating]],0)</f>
        <v>4</v>
      </c>
      <c r="M69" cm="1">
        <f t="array" ref="M69">_xlfn.IFS(CALLS[[#This Row],[DURATION BACKET]]="UNDER 10 MINS",1,
     CALLS[[#This Row],[DURATION BACKET]]="10 TO 30 MINS",2,
     CALLS[[#This Row],[DURATION BACKET]]="1 TO 2 HOURS",3,
     CALLS[[#This Row],[DURATION BACKET]]="&gt; 2 HOURS",4)</f>
        <v>3</v>
      </c>
      <c r="N69">
        <f>(CALLS[[#This Row],[Purchase Amount]]/ 1)</f>
        <v>40</v>
      </c>
    </row>
    <row r="70" spans="2:14" x14ac:dyDescent="0.25">
      <c r="B70" s="22" t="s">
        <v>92</v>
      </c>
      <c r="C70" s="4" t="s">
        <v>19</v>
      </c>
      <c r="D70" s="4">
        <v>50</v>
      </c>
      <c r="E70" s="5" t="s">
        <v>10</v>
      </c>
      <c r="F70" s="9">
        <v>44952</v>
      </c>
      <c r="G70" s="4">
        <v>60</v>
      </c>
      <c r="H70" s="23">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Row],[Duration]]&lt;=30,"10 TO 30 MINS",
     CALLS[[#This Row],[Duration]]&lt;=120,"1 TO 2 HOURS",
     TRUE,"&gt; 2 HOURS")</f>
        <v>1 TO 2 HOURS</v>
      </c>
      <c r="L70">
        <f>ROUND(CALLS[[#This Row],[Satisfaction Rating]],0)</f>
        <v>2</v>
      </c>
      <c r="M70" cm="1">
        <f t="array" ref="M70">_xlfn.IFS(CALLS[[#This Row],[DURATION BACKET]]="UNDER 10 MINS",1,
     CALLS[[#This Row],[DURATION BACKET]]="10 TO 30 MINS",2,
     CALLS[[#This Row],[DURATION BACKET]]="1 TO 2 HOURS",3,
     CALLS[[#This Row],[DURATION BACKET]]="&gt; 2 HOURS",4)</f>
        <v>3</v>
      </c>
      <c r="N70">
        <f>(CALLS[[#This Row],[Purchase Amount]]/ 1)</f>
        <v>60</v>
      </c>
    </row>
    <row r="71" spans="2:14" x14ac:dyDescent="0.25">
      <c r="B71" s="22" t="s">
        <v>93</v>
      </c>
      <c r="C71" s="4" t="s">
        <v>18</v>
      </c>
      <c r="D71" s="4">
        <v>124</v>
      </c>
      <c r="E71" s="5" t="s">
        <v>13</v>
      </c>
      <c r="F71" s="9">
        <v>44953</v>
      </c>
      <c r="G71" s="4">
        <v>215</v>
      </c>
      <c r="H71" s="23">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Row],[Duration]]&lt;=30,"10 TO 30 MINS",
     CALLS[[#This Row],[Duration]]&lt;=120,"1 TO 2 HOURS",
     TRUE,"&gt; 2 HOURS")</f>
        <v>&gt; 2 HOURS</v>
      </c>
      <c r="L71">
        <f>ROUND(CALLS[[#This Row],[Satisfaction Rating]],0)</f>
        <v>4</v>
      </c>
      <c r="M71" cm="1">
        <f t="array" ref="M71">_xlfn.IFS(CALLS[[#This Row],[DURATION BACKET]]="UNDER 10 MINS",1,
     CALLS[[#This Row],[DURATION BACKET]]="10 TO 30 MINS",2,
     CALLS[[#This Row],[DURATION BACKET]]="1 TO 2 HOURS",3,
     CALLS[[#This Row],[DURATION BACKET]]="&gt; 2 HOURS",4)</f>
        <v>4</v>
      </c>
      <c r="N71">
        <f>(CALLS[[#This Row],[Purchase Amount]]/ 1)</f>
        <v>215</v>
      </c>
    </row>
    <row r="72" spans="2:14" x14ac:dyDescent="0.25">
      <c r="B72" s="22" t="s">
        <v>94</v>
      </c>
      <c r="C72" s="4" t="s">
        <v>23</v>
      </c>
      <c r="D72" s="4">
        <v>81</v>
      </c>
      <c r="E72" s="5" t="s">
        <v>11</v>
      </c>
      <c r="F72" s="9">
        <v>44953</v>
      </c>
      <c r="G72" s="4">
        <v>156</v>
      </c>
      <c r="H72" s="23">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Row],[Duration]]&lt;=30,"10 TO 30 MINS",
     CALLS[[#This Row],[Duration]]&lt;=120,"1 TO 2 HOURS",
     TRUE,"&gt; 2 HOURS")</f>
        <v>1 TO 2 HOURS</v>
      </c>
      <c r="L72">
        <f>ROUND(CALLS[[#This Row],[Satisfaction Rating]],0)</f>
        <v>3</v>
      </c>
      <c r="M72" cm="1">
        <f t="array" ref="M72">_xlfn.IFS(CALLS[[#This Row],[DURATION BACKET]]="UNDER 10 MINS",1,
     CALLS[[#This Row],[DURATION BACKET]]="10 TO 30 MINS",2,
     CALLS[[#This Row],[DURATION BACKET]]="1 TO 2 HOURS",3,
     CALLS[[#This Row],[DURATION BACKET]]="&gt; 2 HOURS",4)</f>
        <v>3</v>
      </c>
      <c r="N72">
        <f>(CALLS[[#This Row],[Purchase Amount]]/ 1)</f>
        <v>156</v>
      </c>
    </row>
    <row r="73" spans="2:14" x14ac:dyDescent="0.25">
      <c r="B73" s="22" t="s">
        <v>95</v>
      </c>
      <c r="C73" s="4" t="s">
        <v>7</v>
      </c>
      <c r="D73" s="4">
        <v>141</v>
      </c>
      <c r="E73" s="5" t="s">
        <v>6</v>
      </c>
      <c r="F73" s="9">
        <v>44953</v>
      </c>
      <c r="G73" s="4">
        <v>54</v>
      </c>
      <c r="H73" s="2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Row],[Duration]]&lt;=30,"10 TO 30 MINS",
     CALLS[[#This Row],[Duration]]&lt;=120,"1 TO 2 HOURS",
     TRUE,"&gt; 2 HOURS")</f>
        <v>&gt; 2 HOURS</v>
      </c>
      <c r="L73">
        <f>ROUND(CALLS[[#This Row],[Satisfaction Rating]],0)</f>
        <v>0</v>
      </c>
      <c r="M73" cm="1">
        <f t="array" ref="M73">_xlfn.IFS(CALLS[[#This Row],[DURATION BACKET]]="UNDER 10 MINS",1,
     CALLS[[#This Row],[DURATION BACKET]]="10 TO 30 MINS",2,
     CALLS[[#This Row],[DURATION BACKET]]="1 TO 2 HOURS",3,
     CALLS[[#This Row],[DURATION BACKET]]="&gt; 2 HOURS",4)</f>
        <v>4</v>
      </c>
      <c r="N73">
        <f>(CALLS[[#This Row],[Purchase Amount]]/ 1)</f>
        <v>54</v>
      </c>
    </row>
    <row r="74" spans="2:14" x14ac:dyDescent="0.25">
      <c r="B74" s="22" t="s">
        <v>96</v>
      </c>
      <c r="C74" s="4" t="s">
        <v>7</v>
      </c>
      <c r="D74" s="4">
        <v>168</v>
      </c>
      <c r="E74" s="5" t="s">
        <v>6</v>
      </c>
      <c r="F74" s="9">
        <v>44954</v>
      </c>
      <c r="G74" s="4">
        <v>160</v>
      </c>
      <c r="H74" s="23">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Row],[Duration]]&lt;=30,"10 TO 30 MINS",
     CALLS[[#This Row],[Duration]]&lt;=120,"1 TO 2 HOURS",
     TRUE,"&gt; 2 HOURS")</f>
        <v>&gt; 2 HOURS</v>
      </c>
      <c r="L74">
        <f>ROUND(CALLS[[#This Row],[Satisfaction Rating]],0)</f>
        <v>4</v>
      </c>
      <c r="M74" cm="1">
        <f t="array" ref="M74">_xlfn.IFS(CALLS[[#This Row],[DURATION BACKET]]="UNDER 10 MINS",1,
     CALLS[[#This Row],[DURATION BACKET]]="10 TO 30 MINS",2,
     CALLS[[#This Row],[DURATION BACKET]]="1 TO 2 HOURS",3,
     CALLS[[#This Row],[DURATION BACKET]]="&gt; 2 HOURS",4)</f>
        <v>4</v>
      </c>
      <c r="N74">
        <f>(CALLS[[#This Row],[Purchase Amount]]/ 1)</f>
        <v>160</v>
      </c>
    </row>
    <row r="75" spans="2:14" x14ac:dyDescent="0.25">
      <c r="B75" s="22" t="s">
        <v>97</v>
      </c>
      <c r="C75" s="4" t="s">
        <v>17</v>
      </c>
      <c r="D75" s="4">
        <v>101</v>
      </c>
      <c r="E75" s="5" t="s">
        <v>11</v>
      </c>
      <c r="F75" s="9">
        <v>44954</v>
      </c>
      <c r="G75" s="4">
        <v>80</v>
      </c>
      <c r="H75" s="23">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Row],[Duration]]&lt;=30,"10 TO 30 MINS",
     CALLS[[#This Row],[Duration]]&lt;=120,"1 TO 2 HOURS",
     TRUE,"&gt; 2 HOURS")</f>
        <v>1 TO 2 HOURS</v>
      </c>
      <c r="L75">
        <f>ROUND(CALLS[[#This Row],[Satisfaction Rating]],0)</f>
        <v>5</v>
      </c>
      <c r="M75" cm="1">
        <f t="array" ref="M75">_xlfn.IFS(CALLS[[#This Row],[DURATION BACKET]]="UNDER 10 MINS",1,
     CALLS[[#This Row],[DURATION BACKET]]="10 TO 30 MINS",2,
     CALLS[[#This Row],[DURATION BACKET]]="1 TO 2 HOURS",3,
     CALLS[[#This Row],[DURATION BACKET]]="&gt; 2 HOURS",4)</f>
        <v>3</v>
      </c>
      <c r="N75">
        <f>(CALLS[[#This Row],[Purchase Amount]]/ 1)</f>
        <v>80</v>
      </c>
    </row>
    <row r="76" spans="2:14" x14ac:dyDescent="0.25">
      <c r="B76" s="22" t="s">
        <v>98</v>
      </c>
      <c r="C76" s="4" t="s">
        <v>14</v>
      </c>
      <c r="D76" s="4">
        <v>67</v>
      </c>
      <c r="E76" s="5" t="s">
        <v>11</v>
      </c>
      <c r="F76" s="9">
        <v>44954</v>
      </c>
      <c r="G76" s="4">
        <v>168</v>
      </c>
      <c r="H76" s="23">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Row],[Duration]]&lt;=30,"10 TO 30 MINS",
     CALLS[[#This Row],[Duration]]&lt;=120,"1 TO 2 HOURS",
     TRUE,"&gt; 2 HOURS")</f>
        <v>1 TO 2 HOURS</v>
      </c>
      <c r="L76">
        <f>ROUND(CALLS[[#This Row],[Satisfaction Rating]],0)</f>
        <v>3</v>
      </c>
      <c r="M76" cm="1">
        <f t="array" ref="M76">_xlfn.IFS(CALLS[[#This Row],[DURATION BACKET]]="UNDER 10 MINS",1,
     CALLS[[#This Row],[DURATION BACKET]]="10 TO 30 MINS",2,
     CALLS[[#This Row],[DURATION BACKET]]="1 TO 2 HOURS",3,
     CALLS[[#This Row],[DURATION BACKET]]="&gt; 2 HOURS",4)</f>
        <v>3</v>
      </c>
      <c r="N76">
        <f>(CALLS[[#This Row],[Purchase Amount]]/ 1)</f>
        <v>168</v>
      </c>
    </row>
    <row r="77" spans="2:14" x14ac:dyDescent="0.25">
      <c r="B77" s="22" t="s">
        <v>99</v>
      </c>
      <c r="C77" s="4" t="s">
        <v>5</v>
      </c>
      <c r="D77" s="4">
        <v>114</v>
      </c>
      <c r="E77" s="5" t="s">
        <v>6</v>
      </c>
      <c r="F77" s="9">
        <v>44956</v>
      </c>
      <c r="G77" s="4">
        <v>42</v>
      </c>
      <c r="H77" s="23">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Row],[Duration]]&lt;=30,"10 TO 30 MINS",
     CALLS[[#This Row],[Duration]]&lt;=120,"1 TO 2 HOURS",
     TRUE,"&gt; 2 HOURS")</f>
        <v>1 TO 2 HOURS</v>
      </c>
      <c r="L77">
        <f>ROUND(CALLS[[#This Row],[Satisfaction Rating]],0)</f>
        <v>3</v>
      </c>
      <c r="M77" cm="1">
        <f t="array" ref="M77">_xlfn.IFS(CALLS[[#This Row],[DURATION BACKET]]="UNDER 10 MINS",1,
     CALLS[[#This Row],[DURATION BACKET]]="10 TO 30 MINS",2,
     CALLS[[#This Row],[DURATION BACKET]]="1 TO 2 HOURS",3,
     CALLS[[#This Row],[DURATION BACKET]]="&gt; 2 HOURS",4)</f>
        <v>3</v>
      </c>
      <c r="N77">
        <f>(CALLS[[#This Row],[Purchase Amount]]/ 1)</f>
        <v>42</v>
      </c>
    </row>
    <row r="78" spans="2:14" x14ac:dyDescent="0.25">
      <c r="B78" s="22" t="s">
        <v>100</v>
      </c>
      <c r="C78" s="4" t="s">
        <v>23</v>
      </c>
      <c r="D78" s="4">
        <v>42</v>
      </c>
      <c r="E78" s="5" t="s">
        <v>11</v>
      </c>
      <c r="F78" s="9">
        <v>44956</v>
      </c>
      <c r="G78" s="4">
        <v>205</v>
      </c>
      <c r="H78" s="23">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Row],[Duration]]&lt;=30,"10 TO 30 MINS",
     CALLS[[#This Row],[Duration]]&lt;=120,"1 TO 2 HOURS",
     TRUE,"&gt; 2 HOURS")</f>
        <v>1 TO 2 HOURS</v>
      </c>
      <c r="L78">
        <f>ROUND(CALLS[[#This Row],[Satisfaction Rating]],0)</f>
        <v>4</v>
      </c>
      <c r="M78" cm="1">
        <f t="array" ref="M78">_xlfn.IFS(CALLS[[#This Row],[DURATION BACKET]]="UNDER 10 MINS",1,
     CALLS[[#This Row],[DURATION BACKET]]="10 TO 30 MINS",2,
     CALLS[[#This Row],[DURATION BACKET]]="1 TO 2 HOURS",3,
     CALLS[[#This Row],[DURATION BACKET]]="&gt; 2 HOURS",4)</f>
        <v>3</v>
      </c>
      <c r="N78">
        <f>(CALLS[[#This Row],[Purchase Amount]]/ 1)</f>
        <v>205</v>
      </c>
    </row>
    <row r="79" spans="2:14" x14ac:dyDescent="0.25">
      <c r="B79" s="22" t="s">
        <v>101</v>
      </c>
      <c r="C79" s="4" t="s">
        <v>8</v>
      </c>
      <c r="D79" s="4">
        <v>69</v>
      </c>
      <c r="E79" s="5" t="s">
        <v>6</v>
      </c>
      <c r="F79" s="9">
        <v>44956</v>
      </c>
      <c r="G79" s="4">
        <v>108</v>
      </c>
      <c r="H79" s="23">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Row],[Duration]]&lt;=30,"10 TO 30 MINS",
     CALLS[[#This Row],[Duration]]&lt;=120,"1 TO 2 HOURS",
     TRUE,"&gt; 2 HOURS")</f>
        <v>1 TO 2 HOURS</v>
      </c>
      <c r="L79">
        <f>ROUND(CALLS[[#This Row],[Satisfaction Rating]],0)</f>
        <v>3</v>
      </c>
      <c r="M79" cm="1">
        <f t="array" ref="M79">_xlfn.IFS(CALLS[[#This Row],[DURATION BACKET]]="UNDER 10 MINS",1,
     CALLS[[#This Row],[DURATION BACKET]]="10 TO 30 MINS",2,
     CALLS[[#This Row],[DURATION BACKET]]="1 TO 2 HOURS",3,
     CALLS[[#This Row],[DURATION BACKET]]="&gt; 2 HOURS",4)</f>
        <v>3</v>
      </c>
      <c r="N79">
        <f>(CALLS[[#This Row],[Purchase Amount]]/ 1)</f>
        <v>108</v>
      </c>
    </row>
    <row r="80" spans="2:14" x14ac:dyDescent="0.25">
      <c r="B80" s="22" t="s">
        <v>102</v>
      </c>
      <c r="C80" s="4" t="s">
        <v>18</v>
      </c>
      <c r="D80" s="4">
        <v>145</v>
      </c>
      <c r="E80" s="5" t="s">
        <v>9</v>
      </c>
      <c r="F80" s="9">
        <v>44956</v>
      </c>
      <c r="G80" s="4">
        <v>78</v>
      </c>
      <c r="H80" s="23">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Row],[Duration]]&lt;=30,"10 TO 30 MINS",
     CALLS[[#This Row],[Duration]]&lt;=120,"1 TO 2 HOURS",
     TRUE,"&gt; 2 HOURS")</f>
        <v>&gt; 2 HOURS</v>
      </c>
      <c r="L80">
        <f>ROUND(CALLS[[#This Row],[Satisfaction Rating]],0)</f>
        <v>2</v>
      </c>
      <c r="M80" cm="1">
        <f t="array" ref="M80">_xlfn.IFS(CALLS[[#This Row],[DURATION BACKET]]="UNDER 10 MINS",1,
     CALLS[[#This Row],[DURATION BACKET]]="10 TO 30 MINS",2,
     CALLS[[#This Row],[DURATION BACKET]]="1 TO 2 HOURS",3,
     CALLS[[#This Row],[DURATION BACKET]]="&gt; 2 HOURS",4)</f>
        <v>4</v>
      </c>
      <c r="N80">
        <f>(CALLS[[#This Row],[Purchase Amount]]/ 1)</f>
        <v>78</v>
      </c>
    </row>
    <row r="81" spans="2:14" x14ac:dyDescent="0.25">
      <c r="B81" s="22" t="s">
        <v>103</v>
      </c>
      <c r="C81" s="4" t="s">
        <v>12</v>
      </c>
      <c r="D81" s="4">
        <v>43</v>
      </c>
      <c r="E81" s="5" t="s">
        <v>6</v>
      </c>
      <c r="F81" s="9">
        <v>44956</v>
      </c>
      <c r="G81" s="4">
        <v>23</v>
      </c>
      <c r="H81" s="23">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Row],[Duration]]&lt;=30,"10 TO 30 MINS",
     CALLS[[#This Row],[Duration]]&lt;=120,"1 TO 2 HOURS",
     TRUE,"&gt; 2 HOURS")</f>
        <v>1 TO 2 HOURS</v>
      </c>
      <c r="L81">
        <f>ROUND(CALLS[[#This Row],[Satisfaction Rating]],0)</f>
        <v>5</v>
      </c>
      <c r="M81" cm="1">
        <f t="array" ref="M81">_xlfn.IFS(CALLS[[#This Row],[DURATION BACKET]]="UNDER 10 MINS",1,
     CALLS[[#This Row],[DURATION BACKET]]="10 TO 30 MINS",2,
     CALLS[[#This Row],[DURATION BACKET]]="1 TO 2 HOURS",3,
     CALLS[[#This Row],[DURATION BACKET]]="&gt; 2 HOURS",4)</f>
        <v>3</v>
      </c>
      <c r="N81">
        <f>(CALLS[[#This Row],[Purchase Amount]]/ 1)</f>
        <v>23</v>
      </c>
    </row>
    <row r="82" spans="2:14" x14ac:dyDescent="0.25">
      <c r="B82" s="22" t="s">
        <v>104</v>
      </c>
      <c r="C82" s="4" t="s">
        <v>8</v>
      </c>
      <c r="D82" s="4">
        <v>62</v>
      </c>
      <c r="E82" s="5" t="s">
        <v>10</v>
      </c>
      <c r="F82" s="9">
        <v>44957</v>
      </c>
      <c r="G82" s="4">
        <v>99</v>
      </c>
      <c r="H82" s="23">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Row],[Duration]]&lt;=30,"10 TO 30 MINS",
     CALLS[[#This Row],[Duration]]&lt;=120,"1 TO 2 HOURS",
     TRUE,"&gt; 2 HOURS")</f>
        <v>1 TO 2 HOURS</v>
      </c>
      <c r="L82">
        <f>ROUND(CALLS[[#This Row],[Satisfaction Rating]],0)</f>
        <v>4</v>
      </c>
      <c r="M82" cm="1">
        <f t="array" ref="M82">_xlfn.IFS(CALLS[[#This Row],[DURATION BACKET]]="UNDER 10 MINS",1,
     CALLS[[#This Row],[DURATION BACKET]]="10 TO 30 MINS",2,
     CALLS[[#This Row],[DURATION BACKET]]="1 TO 2 HOURS",3,
     CALLS[[#This Row],[DURATION BACKET]]="&gt; 2 HOURS",4)</f>
        <v>3</v>
      </c>
      <c r="N82">
        <f>(CALLS[[#This Row],[Purchase Amount]]/ 1)</f>
        <v>99</v>
      </c>
    </row>
    <row r="83" spans="2:14" x14ac:dyDescent="0.25">
      <c r="B83" s="22" t="s">
        <v>105</v>
      </c>
      <c r="C83" s="4" t="s">
        <v>22</v>
      </c>
      <c r="D83" s="4">
        <v>79</v>
      </c>
      <c r="E83" s="5" t="s">
        <v>6</v>
      </c>
      <c r="F83" s="9">
        <v>44958</v>
      </c>
      <c r="G83" s="4">
        <v>148</v>
      </c>
      <c r="H83" s="2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Row],[Duration]]&lt;=30,"10 TO 30 MINS",
     CALLS[[#This Row],[Duration]]&lt;=120,"1 TO 2 HOURS",
     TRUE,"&gt; 2 HOURS")</f>
        <v>1 TO 2 HOURS</v>
      </c>
      <c r="L83">
        <f>ROUND(CALLS[[#This Row],[Satisfaction Rating]],0)</f>
        <v>5</v>
      </c>
      <c r="M83" cm="1">
        <f t="array" ref="M83">_xlfn.IFS(CALLS[[#This Row],[DURATION BACKET]]="UNDER 10 MINS",1,
     CALLS[[#This Row],[DURATION BACKET]]="10 TO 30 MINS",2,
     CALLS[[#This Row],[DURATION BACKET]]="1 TO 2 HOURS",3,
     CALLS[[#This Row],[DURATION BACKET]]="&gt; 2 HOURS",4)</f>
        <v>3</v>
      </c>
      <c r="N83">
        <f>(CALLS[[#This Row],[Purchase Amount]]/ 1)</f>
        <v>148</v>
      </c>
    </row>
    <row r="84" spans="2:14" x14ac:dyDescent="0.25">
      <c r="B84" s="22" t="s">
        <v>106</v>
      </c>
      <c r="C84" s="4" t="s">
        <v>18</v>
      </c>
      <c r="D84" s="4">
        <v>45</v>
      </c>
      <c r="E84" s="5" t="s">
        <v>13</v>
      </c>
      <c r="F84" s="9">
        <v>44958</v>
      </c>
      <c r="G84" s="4">
        <v>34</v>
      </c>
      <c r="H84" s="23">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Row],[Duration]]&lt;=30,"10 TO 30 MINS",
     CALLS[[#This Row],[Duration]]&lt;=120,"1 TO 2 HOURS",
     TRUE,"&gt; 2 HOURS")</f>
        <v>1 TO 2 HOURS</v>
      </c>
      <c r="L84">
        <f>ROUND(CALLS[[#This Row],[Satisfaction Rating]],0)</f>
        <v>4</v>
      </c>
      <c r="M84" cm="1">
        <f t="array" ref="M84">_xlfn.IFS(CALLS[[#This Row],[DURATION BACKET]]="UNDER 10 MINS",1,
     CALLS[[#This Row],[DURATION BACKET]]="10 TO 30 MINS",2,
     CALLS[[#This Row],[DURATION BACKET]]="1 TO 2 HOURS",3,
     CALLS[[#This Row],[DURATION BACKET]]="&gt; 2 HOURS",4)</f>
        <v>3</v>
      </c>
      <c r="N84">
        <f>(CALLS[[#This Row],[Purchase Amount]]/ 1)</f>
        <v>34</v>
      </c>
    </row>
    <row r="85" spans="2:14" x14ac:dyDescent="0.25">
      <c r="B85" s="22" t="s">
        <v>107</v>
      </c>
      <c r="C85" s="4" t="s">
        <v>8</v>
      </c>
      <c r="D85" s="4">
        <v>137</v>
      </c>
      <c r="E85" s="5" t="s">
        <v>6</v>
      </c>
      <c r="F85" s="9">
        <v>44958</v>
      </c>
      <c r="G85" s="4">
        <v>86</v>
      </c>
      <c r="H85" s="23">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Row],[Duration]]&lt;=30,"10 TO 30 MINS",
     CALLS[[#This Row],[Duration]]&lt;=120,"1 TO 2 HOURS",
     TRUE,"&gt; 2 HOURS")</f>
        <v>&gt; 2 HOURS</v>
      </c>
      <c r="L85">
        <f>ROUND(CALLS[[#This Row],[Satisfaction Rating]],0)</f>
        <v>5</v>
      </c>
      <c r="M85" cm="1">
        <f t="array" ref="M85">_xlfn.IFS(CALLS[[#This Row],[DURATION BACKET]]="UNDER 10 MINS",1,
     CALLS[[#This Row],[DURATION BACKET]]="10 TO 30 MINS",2,
     CALLS[[#This Row],[DURATION BACKET]]="1 TO 2 HOURS",3,
     CALLS[[#This Row],[DURATION BACKET]]="&gt; 2 HOURS",4)</f>
        <v>4</v>
      </c>
      <c r="N85">
        <f>(CALLS[[#This Row],[Purchase Amount]]/ 1)</f>
        <v>86</v>
      </c>
    </row>
    <row r="86" spans="2:14" x14ac:dyDescent="0.25">
      <c r="B86" s="22" t="s">
        <v>108</v>
      </c>
      <c r="C86" s="4" t="s">
        <v>5</v>
      </c>
      <c r="D86" s="4">
        <v>109</v>
      </c>
      <c r="E86" s="5" t="s">
        <v>10</v>
      </c>
      <c r="F86" s="9">
        <v>44958</v>
      </c>
      <c r="G86" s="4">
        <v>105</v>
      </c>
      <c r="H86" s="23">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Row],[Duration]]&lt;=30,"10 TO 30 MINS",
     CALLS[[#This Row],[Duration]]&lt;=120,"1 TO 2 HOURS",
     TRUE,"&gt; 2 HOURS")</f>
        <v>1 TO 2 HOURS</v>
      </c>
      <c r="L86">
        <f>ROUND(CALLS[[#This Row],[Satisfaction Rating]],0)</f>
        <v>3</v>
      </c>
      <c r="M86" cm="1">
        <f t="array" ref="M86">_xlfn.IFS(CALLS[[#This Row],[DURATION BACKET]]="UNDER 10 MINS",1,
     CALLS[[#This Row],[DURATION BACKET]]="10 TO 30 MINS",2,
     CALLS[[#This Row],[DURATION BACKET]]="1 TO 2 HOURS",3,
     CALLS[[#This Row],[DURATION BACKET]]="&gt; 2 HOURS",4)</f>
        <v>3</v>
      </c>
      <c r="N86">
        <f>(CALLS[[#This Row],[Purchase Amount]]/ 1)</f>
        <v>105</v>
      </c>
    </row>
    <row r="87" spans="2:14" x14ac:dyDescent="0.25">
      <c r="B87" s="22" t="s">
        <v>109</v>
      </c>
      <c r="C87" s="4" t="s">
        <v>12</v>
      </c>
      <c r="D87" s="4">
        <v>78</v>
      </c>
      <c r="E87" s="5" t="s">
        <v>10</v>
      </c>
      <c r="F87" s="9">
        <v>44958</v>
      </c>
      <c r="G87" s="4">
        <v>62</v>
      </c>
      <c r="H87" s="23">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Row],[Duration]]&lt;=30,"10 TO 30 MINS",
     CALLS[[#This Row],[Duration]]&lt;=120,"1 TO 2 HOURS",
     TRUE,"&gt; 2 HOURS")</f>
        <v>1 TO 2 HOURS</v>
      </c>
      <c r="L87">
        <f>ROUND(CALLS[[#This Row],[Satisfaction Rating]],0)</f>
        <v>3</v>
      </c>
      <c r="M87" cm="1">
        <f t="array" ref="M87">_xlfn.IFS(CALLS[[#This Row],[DURATION BACKET]]="UNDER 10 MINS",1,
     CALLS[[#This Row],[DURATION BACKET]]="10 TO 30 MINS",2,
     CALLS[[#This Row],[DURATION BACKET]]="1 TO 2 HOURS",3,
     CALLS[[#This Row],[DURATION BACKET]]="&gt; 2 HOURS",4)</f>
        <v>3</v>
      </c>
      <c r="N87">
        <f>(CALLS[[#This Row],[Purchase Amount]]/ 1)</f>
        <v>62</v>
      </c>
    </row>
    <row r="88" spans="2:14" x14ac:dyDescent="0.25">
      <c r="B88" s="22" t="s">
        <v>110</v>
      </c>
      <c r="C88" s="4" t="s">
        <v>8</v>
      </c>
      <c r="D88" s="4">
        <v>137</v>
      </c>
      <c r="E88" s="5" t="s">
        <v>13</v>
      </c>
      <c r="F88" s="9">
        <v>44958</v>
      </c>
      <c r="G88" s="4">
        <v>90</v>
      </c>
      <c r="H88" s="23">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Row],[Duration]]&lt;=30,"10 TO 30 MINS",
     CALLS[[#This Row],[Duration]]&lt;=120,"1 TO 2 HOURS",
     TRUE,"&gt; 2 HOURS")</f>
        <v>&gt; 2 HOURS</v>
      </c>
      <c r="L88">
        <f>ROUND(CALLS[[#This Row],[Satisfaction Rating]],0)</f>
        <v>4</v>
      </c>
      <c r="M88" cm="1">
        <f t="array" ref="M88">_xlfn.IFS(CALLS[[#This Row],[DURATION BACKET]]="UNDER 10 MINS",1,
     CALLS[[#This Row],[DURATION BACKET]]="10 TO 30 MINS",2,
     CALLS[[#This Row],[DURATION BACKET]]="1 TO 2 HOURS",3,
     CALLS[[#This Row],[DURATION BACKET]]="&gt; 2 HOURS",4)</f>
        <v>4</v>
      </c>
      <c r="N88">
        <f>(CALLS[[#This Row],[Purchase Amount]]/ 1)</f>
        <v>90</v>
      </c>
    </row>
    <row r="89" spans="2:14" x14ac:dyDescent="0.25">
      <c r="B89" s="22" t="s">
        <v>111</v>
      </c>
      <c r="C89" s="4" t="s">
        <v>21</v>
      </c>
      <c r="D89" s="4">
        <v>99</v>
      </c>
      <c r="E89" s="5" t="s">
        <v>10</v>
      </c>
      <c r="F89" s="9">
        <v>44959</v>
      </c>
      <c r="G89" s="4">
        <v>112</v>
      </c>
      <c r="H89" s="23">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Row],[Duration]]&lt;=30,"10 TO 30 MINS",
     CALLS[[#This Row],[Duration]]&lt;=120,"1 TO 2 HOURS",
     TRUE,"&gt; 2 HOURS")</f>
        <v>1 TO 2 HOURS</v>
      </c>
      <c r="L89">
        <f>ROUND(CALLS[[#This Row],[Satisfaction Rating]],0)</f>
        <v>5</v>
      </c>
      <c r="M89" cm="1">
        <f t="array" ref="M89">_xlfn.IFS(CALLS[[#This Row],[DURATION BACKET]]="UNDER 10 MINS",1,
     CALLS[[#This Row],[DURATION BACKET]]="10 TO 30 MINS",2,
     CALLS[[#This Row],[DURATION BACKET]]="1 TO 2 HOURS",3,
     CALLS[[#This Row],[DURATION BACKET]]="&gt; 2 HOURS",4)</f>
        <v>3</v>
      </c>
      <c r="N89">
        <f>(CALLS[[#This Row],[Purchase Amount]]/ 1)</f>
        <v>112</v>
      </c>
    </row>
    <row r="90" spans="2:14" x14ac:dyDescent="0.25">
      <c r="B90" s="22" t="s">
        <v>112</v>
      </c>
      <c r="C90" s="4" t="s">
        <v>19</v>
      </c>
      <c r="D90" s="4">
        <v>100</v>
      </c>
      <c r="E90" s="5" t="s">
        <v>10</v>
      </c>
      <c r="F90" s="9">
        <v>44959</v>
      </c>
      <c r="G90" s="4">
        <v>135</v>
      </c>
      <c r="H90" s="23">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Row],[Duration]]&lt;=30,"10 TO 30 MINS",
     CALLS[[#This Row],[Duration]]&lt;=120,"1 TO 2 HOURS",
     TRUE,"&gt; 2 HOURS")</f>
        <v>1 TO 2 HOURS</v>
      </c>
      <c r="L90">
        <f>ROUND(CALLS[[#This Row],[Satisfaction Rating]],0)</f>
        <v>4</v>
      </c>
      <c r="M90" cm="1">
        <f t="array" ref="M90">_xlfn.IFS(CALLS[[#This Row],[DURATION BACKET]]="UNDER 10 MINS",1,
     CALLS[[#This Row],[DURATION BACKET]]="10 TO 30 MINS",2,
     CALLS[[#This Row],[DURATION BACKET]]="1 TO 2 HOURS",3,
     CALLS[[#This Row],[DURATION BACKET]]="&gt; 2 HOURS",4)</f>
        <v>3</v>
      </c>
      <c r="N90">
        <f>(CALLS[[#This Row],[Purchase Amount]]/ 1)</f>
        <v>135</v>
      </c>
    </row>
    <row r="91" spans="2:14" x14ac:dyDescent="0.25">
      <c r="B91" s="22" t="s">
        <v>113</v>
      </c>
      <c r="C91" s="4" t="s">
        <v>12</v>
      </c>
      <c r="D91" s="4">
        <v>47</v>
      </c>
      <c r="E91" s="5" t="s">
        <v>9</v>
      </c>
      <c r="F91" s="9">
        <v>44959</v>
      </c>
      <c r="G91" s="4">
        <v>34</v>
      </c>
      <c r="H91" s="23">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Row],[Duration]]&lt;=30,"10 TO 30 MINS",
     CALLS[[#This Row],[Duration]]&lt;=120,"1 TO 2 HOURS",
     TRUE,"&gt; 2 HOURS")</f>
        <v>1 TO 2 HOURS</v>
      </c>
      <c r="L91">
        <f>ROUND(CALLS[[#This Row],[Satisfaction Rating]],0)</f>
        <v>2</v>
      </c>
      <c r="M91" cm="1">
        <f t="array" ref="M91">_xlfn.IFS(CALLS[[#This Row],[DURATION BACKET]]="UNDER 10 MINS",1,
     CALLS[[#This Row],[DURATION BACKET]]="10 TO 30 MINS",2,
     CALLS[[#This Row],[DURATION BACKET]]="1 TO 2 HOURS",3,
     CALLS[[#This Row],[DURATION BACKET]]="&gt; 2 HOURS",4)</f>
        <v>3</v>
      </c>
      <c r="N91">
        <f>(CALLS[[#This Row],[Purchase Amount]]/ 1)</f>
        <v>34</v>
      </c>
    </row>
    <row r="92" spans="2:14" x14ac:dyDescent="0.25">
      <c r="B92" s="22" t="s">
        <v>114</v>
      </c>
      <c r="C92" s="4" t="s">
        <v>5</v>
      </c>
      <c r="D92" s="4">
        <v>87</v>
      </c>
      <c r="E92" s="5" t="s">
        <v>11</v>
      </c>
      <c r="F92" s="9">
        <v>44959</v>
      </c>
      <c r="G92" s="4">
        <v>155</v>
      </c>
      <c r="H92" s="23">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Row],[Duration]]&lt;=30,"10 TO 30 MINS",
     CALLS[[#This Row],[Duration]]&lt;=120,"1 TO 2 HOURS",
     TRUE,"&gt; 2 HOURS")</f>
        <v>1 TO 2 HOURS</v>
      </c>
      <c r="L92">
        <f>ROUND(CALLS[[#This Row],[Satisfaction Rating]],0)</f>
        <v>5</v>
      </c>
      <c r="M92" cm="1">
        <f t="array" ref="M92">_xlfn.IFS(CALLS[[#This Row],[DURATION BACKET]]="UNDER 10 MINS",1,
     CALLS[[#This Row],[DURATION BACKET]]="10 TO 30 MINS",2,
     CALLS[[#This Row],[DURATION BACKET]]="1 TO 2 HOURS",3,
     CALLS[[#This Row],[DURATION BACKET]]="&gt; 2 HOURS",4)</f>
        <v>3</v>
      </c>
      <c r="N92">
        <f>(CALLS[[#This Row],[Purchase Amount]]/ 1)</f>
        <v>155</v>
      </c>
    </row>
    <row r="93" spans="2:14" x14ac:dyDescent="0.25">
      <c r="B93" s="22" t="s">
        <v>115</v>
      </c>
      <c r="C93" s="4" t="s">
        <v>21</v>
      </c>
      <c r="D93" s="4">
        <v>143</v>
      </c>
      <c r="E93" s="5" t="s">
        <v>11</v>
      </c>
      <c r="F93" s="9">
        <v>44961</v>
      </c>
      <c r="G93" s="4">
        <v>124</v>
      </c>
      <c r="H93" s="2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Row],[Duration]]&lt;=30,"10 TO 30 MINS",
     CALLS[[#This Row],[Duration]]&lt;=120,"1 TO 2 HOURS",
     TRUE,"&gt; 2 HOURS")</f>
        <v>&gt; 2 HOURS</v>
      </c>
      <c r="L93">
        <f>ROUND(CALLS[[#This Row],[Satisfaction Rating]],0)</f>
        <v>5</v>
      </c>
      <c r="M93" cm="1">
        <f t="array" ref="M93">_xlfn.IFS(CALLS[[#This Row],[DURATION BACKET]]="UNDER 10 MINS",1,
     CALLS[[#This Row],[DURATION BACKET]]="10 TO 30 MINS",2,
     CALLS[[#This Row],[DURATION BACKET]]="1 TO 2 HOURS",3,
     CALLS[[#This Row],[DURATION BACKET]]="&gt; 2 HOURS",4)</f>
        <v>4</v>
      </c>
      <c r="N93">
        <f>(CALLS[[#This Row],[Purchase Amount]]/ 1)</f>
        <v>124</v>
      </c>
    </row>
    <row r="94" spans="2:14" x14ac:dyDescent="0.25">
      <c r="B94" s="22" t="s">
        <v>116</v>
      </c>
      <c r="C94" s="4" t="s">
        <v>19</v>
      </c>
      <c r="D94" s="4">
        <v>84</v>
      </c>
      <c r="E94" s="5" t="s">
        <v>10</v>
      </c>
      <c r="F94" s="9">
        <v>44961</v>
      </c>
      <c r="G94" s="4">
        <v>195</v>
      </c>
      <c r="H94" s="23">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Row],[Duration]]&lt;=30,"10 TO 30 MINS",
     CALLS[[#This Row],[Duration]]&lt;=120,"1 TO 2 HOURS",
     TRUE,"&gt; 2 HOURS")</f>
        <v>1 TO 2 HOURS</v>
      </c>
      <c r="L94">
        <f>ROUND(CALLS[[#This Row],[Satisfaction Rating]],0)</f>
        <v>4</v>
      </c>
      <c r="M94" cm="1">
        <f t="array" ref="M94">_xlfn.IFS(CALLS[[#This Row],[DURATION BACKET]]="UNDER 10 MINS",1,
     CALLS[[#This Row],[DURATION BACKET]]="10 TO 30 MINS",2,
     CALLS[[#This Row],[DURATION BACKET]]="1 TO 2 HOURS",3,
     CALLS[[#This Row],[DURATION BACKET]]="&gt; 2 HOURS",4)</f>
        <v>3</v>
      </c>
      <c r="N94">
        <f>(CALLS[[#This Row],[Purchase Amount]]/ 1)</f>
        <v>195</v>
      </c>
    </row>
    <row r="95" spans="2:14" x14ac:dyDescent="0.25">
      <c r="B95" s="22" t="s">
        <v>117</v>
      </c>
      <c r="C95" s="4" t="s">
        <v>17</v>
      </c>
      <c r="D95" s="4">
        <v>55</v>
      </c>
      <c r="E95" s="5" t="s">
        <v>11</v>
      </c>
      <c r="F95" s="9">
        <v>44962</v>
      </c>
      <c r="G95" s="4">
        <v>78</v>
      </c>
      <c r="H95" s="23">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Row],[Duration]]&lt;=30,"10 TO 30 MINS",
     CALLS[[#This Row],[Duration]]&lt;=120,"1 TO 2 HOURS",
     TRUE,"&gt; 2 HOURS")</f>
        <v>1 TO 2 HOURS</v>
      </c>
      <c r="L95">
        <f>ROUND(CALLS[[#This Row],[Satisfaction Rating]],0)</f>
        <v>5</v>
      </c>
      <c r="M95" cm="1">
        <f t="array" ref="M95">_xlfn.IFS(CALLS[[#This Row],[DURATION BACKET]]="UNDER 10 MINS",1,
     CALLS[[#This Row],[DURATION BACKET]]="10 TO 30 MINS",2,
     CALLS[[#This Row],[DURATION BACKET]]="1 TO 2 HOURS",3,
     CALLS[[#This Row],[DURATION BACKET]]="&gt; 2 HOURS",4)</f>
        <v>3</v>
      </c>
      <c r="N95">
        <f>(CALLS[[#This Row],[Purchase Amount]]/ 1)</f>
        <v>78</v>
      </c>
    </row>
    <row r="96" spans="2:14" x14ac:dyDescent="0.25">
      <c r="B96" s="22" t="s">
        <v>118</v>
      </c>
      <c r="C96" s="4" t="s">
        <v>15</v>
      </c>
      <c r="D96" s="4">
        <v>135</v>
      </c>
      <c r="E96" s="5" t="s">
        <v>13</v>
      </c>
      <c r="F96" s="9">
        <v>44964</v>
      </c>
      <c r="G96" s="4">
        <v>35</v>
      </c>
      <c r="H96" s="23">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Row],[Duration]]&lt;=30,"10 TO 30 MINS",
     CALLS[[#This Row],[Duration]]&lt;=120,"1 TO 2 HOURS",
     TRUE,"&gt; 2 HOURS")</f>
        <v>&gt; 2 HOURS</v>
      </c>
      <c r="L96">
        <f>ROUND(CALLS[[#This Row],[Satisfaction Rating]],0)</f>
        <v>5</v>
      </c>
      <c r="M96" cm="1">
        <f t="array" ref="M96">_xlfn.IFS(CALLS[[#This Row],[DURATION BACKET]]="UNDER 10 MINS",1,
     CALLS[[#This Row],[DURATION BACKET]]="10 TO 30 MINS",2,
     CALLS[[#This Row],[DURATION BACKET]]="1 TO 2 HOURS",3,
     CALLS[[#This Row],[DURATION BACKET]]="&gt; 2 HOURS",4)</f>
        <v>4</v>
      </c>
      <c r="N96">
        <f>(CALLS[[#This Row],[Purchase Amount]]/ 1)</f>
        <v>35</v>
      </c>
    </row>
    <row r="97" spans="2:14" x14ac:dyDescent="0.25">
      <c r="B97" s="22" t="s">
        <v>119</v>
      </c>
      <c r="C97" s="4" t="s">
        <v>16</v>
      </c>
      <c r="D97" s="4">
        <v>152</v>
      </c>
      <c r="E97" s="5" t="s">
        <v>9</v>
      </c>
      <c r="F97" s="9">
        <v>44964</v>
      </c>
      <c r="G97" s="4">
        <v>123</v>
      </c>
      <c r="H97" s="23">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Row],[Duration]]&lt;=30,"10 TO 30 MINS",
     CALLS[[#This Row],[Duration]]&lt;=120,"1 TO 2 HOURS",
     TRUE,"&gt; 2 HOURS")</f>
        <v>&gt; 2 HOURS</v>
      </c>
      <c r="L97">
        <f>ROUND(CALLS[[#This Row],[Satisfaction Rating]],0)</f>
        <v>5</v>
      </c>
      <c r="M97" cm="1">
        <f t="array" ref="M97">_xlfn.IFS(CALLS[[#This Row],[DURATION BACKET]]="UNDER 10 MINS",1,
     CALLS[[#This Row],[DURATION BACKET]]="10 TO 30 MINS",2,
     CALLS[[#This Row],[DURATION BACKET]]="1 TO 2 HOURS",3,
     CALLS[[#This Row],[DURATION BACKET]]="&gt; 2 HOURS",4)</f>
        <v>4</v>
      </c>
      <c r="N97">
        <f>(CALLS[[#This Row],[Purchase Amount]]/ 1)</f>
        <v>123</v>
      </c>
    </row>
    <row r="98" spans="2:14" x14ac:dyDescent="0.25">
      <c r="B98" s="22" t="s">
        <v>120</v>
      </c>
      <c r="C98" s="4" t="s">
        <v>23</v>
      </c>
      <c r="D98" s="4">
        <v>132</v>
      </c>
      <c r="E98" s="5" t="s">
        <v>9</v>
      </c>
      <c r="F98" s="9">
        <v>44964</v>
      </c>
      <c r="G98" s="4">
        <v>43</v>
      </c>
      <c r="H98" s="23">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Row],[Duration]]&lt;=30,"10 TO 30 MINS",
     CALLS[[#This Row],[Duration]]&lt;=120,"1 TO 2 HOURS",
     TRUE,"&gt; 2 HOURS")</f>
        <v>&gt; 2 HOURS</v>
      </c>
      <c r="L98">
        <f>ROUND(CALLS[[#This Row],[Satisfaction Rating]],0)</f>
        <v>5</v>
      </c>
      <c r="M98" cm="1">
        <f t="array" ref="M98">_xlfn.IFS(CALLS[[#This Row],[DURATION BACKET]]="UNDER 10 MINS",1,
     CALLS[[#This Row],[DURATION BACKET]]="10 TO 30 MINS",2,
     CALLS[[#This Row],[DURATION BACKET]]="1 TO 2 HOURS",3,
     CALLS[[#This Row],[DURATION BACKET]]="&gt; 2 HOURS",4)</f>
        <v>4</v>
      </c>
      <c r="N98">
        <f>(CALLS[[#This Row],[Purchase Amount]]/ 1)</f>
        <v>43</v>
      </c>
    </row>
    <row r="99" spans="2:14" x14ac:dyDescent="0.25">
      <c r="B99" s="22" t="s">
        <v>121</v>
      </c>
      <c r="C99" s="4" t="s">
        <v>7</v>
      </c>
      <c r="D99" s="4">
        <v>60</v>
      </c>
      <c r="E99" s="5" t="s">
        <v>10</v>
      </c>
      <c r="F99" s="9">
        <v>44965</v>
      </c>
      <c r="G99" s="4">
        <v>69</v>
      </c>
      <c r="H99" s="23">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Row],[Duration]]&lt;=30,"10 TO 30 MINS",
     CALLS[[#This Row],[Duration]]&lt;=120,"1 TO 2 HOURS",
     TRUE,"&gt; 2 HOURS")</f>
        <v>1 TO 2 HOURS</v>
      </c>
      <c r="L99">
        <f>ROUND(CALLS[[#This Row],[Satisfaction Rating]],0)</f>
        <v>4</v>
      </c>
      <c r="M99" cm="1">
        <f t="array" ref="M99">_xlfn.IFS(CALLS[[#This Row],[DURATION BACKET]]="UNDER 10 MINS",1,
     CALLS[[#This Row],[DURATION BACKET]]="10 TO 30 MINS",2,
     CALLS[[#This Row],[DURATION BACKET]]="1 TO 2 HOURS",3,
     CALLS[[#This Row],[DURATION BACKET]]="&gt; 2 HOURS",4)</f>
        <v>3</v>
      </c>
      <c r="N99">
        <f>(CALLS[[#This Row],[Purchase Amount]]/ 1)</f>
        <v>69</v>
      </c>
    </row>
    <row r="100" spans="2:14" x14ac:dyDescent="0.25">
      <c r="B100" s="22" t="s">
        <v>122</v>
      </c>
      <c r="C100" s="4" t="s">
        <v>16</v>
      </c>
      <c r="D100" s="4">
        <v>95</v>
      </c>
      <c r="E100" s="5" t="s">
        <v>9</v>
      </c>
      <c r="F100" s="9">
        <v>44965</v>
      </c>
      <c r="G100" s="4">
        <v>130</v>
      </c>
      <c r="H100" s="23">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Row],[Duration]]&lt;=30,"10 TO 30 MINS",
     CALLS[[#This Row],[Duration]]&lt;=120,"1 TO 2 HOURS",
     TRUE,"&gt; 2 HOURS")</f>
        <v>1 TO 2 HOURS</v>
      </c>
      <c r="L100">
        <f>ROUND(CALLS[[#This Row],[Satisfaction Rating]],0)</f>
        <v>5</v>
      </c>
      <c r="M100" cm="1">
        <f t="array" ref="M100">_xlfn.IFS(CALLS[[#This Row],[DURATION BACKET]]="UNDER 10 MINS",1,
     CALLS[[#This Row],[DURATION BACKET]]="10 TO 30 MINS",2,
     CALLS[[#This Row],[DURATION BACKET]]="1 TO 2 HOURS",3,
     CALLS[[#This Row],[DURATION BACKET]]="&gt; 2 HOURS",4)</f>
        <v>3</v>
      </c>
      <c r="N100">
        <f>(CALLS[[#This Row],[Purchase Amount]]/ 1)</f>
        <v>130</v>
      </c>
    </row>
    <row r="101" spans="2:14" x14ac:dyDescent="0.25">
      <c r="B101" s="22" t="s">
        <v>123</v>
      </c>
      <c r="C101" s="4" t="s">
        <v>20</v>
      </c>
      <c r="D101" s="4">
        <v>96</v>
      </c>
      <c r="E101" s="5" t="s">
        <v>6</v>
      </c>
      <c r="F101" s="9">
        <v>44965</v>
      </c>
      <c r="G101" s="4">
        <v>120</v>
      </c>
      <c r="H101" s="23">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Row],[Duration]]&lt;=30,"10 TO 30 MINS",
     CALLS[[#This Row],[Duration]]&lt;=120,"1 TO 2 HOURS",
     TRUE,"&gt; 2 HOURS")</f>
        <v>1 TO 2 HOURS</v>
      </c>
      <c r="L101">
        <f>ROUND(CALLS[[#This Row],[Satisfaction Rating]],0)</f>
        <v>4</v>
      </c>
      <c r="M101" cm="1">
        <f t="array" ref="M101">_xlfn.IFS(CALLS[[#This Row],[DURATION BACKET]]="UNDER 10 MINS",1,
     CALLS[[#This Row],[DURATION BACKET]]="10 TO 30 MINS",2,
     CALLS[[#This Row],[DURATION BACKET]]="1 TO 2 HOURS",3,
     CALLS[[#This Row],[DURATION BACKET]]="&gt; 2 HOURS",4)</f>
        <v>3</v>
      </c>
      <c r="N101">
        <f>(CALLS[[#This Row],[Purchase Amount]]/ 1)</f>
        <v>120</v>
      </c>
    </row>
    <row r="102" spans="2:14" x14ac:dyDescent="0.25">
      <c r="B102" s="22" t="s">
        <v>124</v>
      </c>
      <c r="C102" s="4" t="s">
        <v>17</v>
      </c>
      <c r="D102" s="4">
        <v>45</v>
      </c>
      <c r="E102" s="5" t="s">
        <v>10</v>
      </c>
      <c r="F102" s="9">
        <v>44966</v>
      </c>
      <c r="G102" s="4">
        <v>84</v>
      </c>
      <c r="H102" s="23">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Row],[Duration]]&lt;=30,"10 TO 30 MINS",
     CALLS[[#This Row],[Duration]]&lt;=120,"1 TO 2 HOURS",
     TRUE,"&gt; 2 HOURS")</f>
        <v>1 TO 2 HOURS</v>
      </c>
      <c r="L102">
        <f>ROUND(CALLS[[#This Row],[Satisfaction Rating]],0)</f>
        <v>5</v>
      </c>
      <c r="M102" cm="1">
        <f t="array" ref="M102">_xlfn.IFS(CALLS[[#This Row],[DURATION BACKET]]="UNDER 10 MINS",1,
     CALLS[[#This Row],[DURATION BACKET]]="10 TO 30 MINS",2,
     CALLS[[#This Row],[DURATION BACKET]]="1 TO 2 HOURS",3,
     CALLS[[#This Row],[DURATION BACKET]]="&gt; 2 HOURS",4)</f>
        <v>3</v>
      </c>
      <c r="N102">
        <f>(CALLS[[#This Row],[Purchase Amount]]/ 1)</f>
        <v>84</v>
      </c>
    </row>
    <row r="103" spans="2:14" x14ac:dyDescent="0.25">
      <c r="B103" s="22" t="s">
        <v>125</v>
      </c>
      <c r="C103" s="4" t="s">
        <v>20</v>
      </c>
      <c r="D103" s="4">
        <v>132</v>
      </c>
      <c r="E103" s="5" t="s">
        <v>6</v>
      </c>
      <c r="F103" s="9">
        <v>44967</v>
      </c>
      <c r="G103" s="4">
        <v>112</v>
      </c>
      <c r="H103" s="2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Row],[Duration]]&lt;=30,"10 TO 30 MINS",
     CALLS[[#This Row],[Duration]]&lt;=120,"1 TO 2 HOURS",
     TRUE,"&gt; 2 HOURS")</f>
        <v>&gt; 2 HOURS</v>
      </c>
      <c r="L103">
        <f>ROUND(CALLS[[#This Row],[Satisfaction Rating]],0)</f>
        <v>5</v>
      </c>
      <c r="M103" cm="1">
        <f t="array" ref="M103">_xlfn.IFS(CALLS[[#This Row],[DURATION BACKET]]="UNDER 10 MINS",1,
     CALLS[[#This Row],[DURATION BACKET]]="10 TO 30 MINS",2,
     CALLS[[#This Row],[DURATION BACKET]]="1 TO 2 HOURS",3,
     CALLS[[#This Row],[DURATION BACKET]]="&gt; 2 HOURS",4)</f>
        <v>4</v>
      </c>
      <c r="N103">
        <f>(CALLS[[#This Row],[Purchase Amount]]/ 1)</f>
        <v>112</v>
      </c>
    </row>
    <row r="104" spans="2:14" x14ac:dyDescent="0.25">
      <c r="B104" s="22" t="s">
        <v>126</v>
      </c>
      <c r="C104" s="4" t="s">
        <v>14</v>
      </c>
      <c r="D104" s="4">
        <v>95</v>
      </c>
      <c r="E104" s="5" t="s">
        <v>10</v>
      </c>
      <c r="F104" s="9">
        <v>44967</v>
      </c>
      <c r="G104" s="4">
        <v>66</v>
      </c>
      <c r="H104" s="23">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Row],[Duration]]&lt;=30,"10 TO 30 MINS",
     CALLS[[#This Row],[Duration]]&lt;=120,"1 TO 2 HOURS",
     TRUE,"&gt; 2 HOURS")</f>
        <v>1 TO 2 HOURS</v>
      </c>
      <c r="L104">
        <f>ROUND(CALLS[[#This Row],[Satisfaction Rating]],0)</f>
        <v>5</v>
      </c>
      <c r="M104" cm="1">
        <f t="array" ref="M104">_xlfn.IFS(CALLS[[#This Row],[DURATION BACKET]]="UNDER 10 MINS",1,
     CALLS[[#This Row],[DURATION BACKET]]="10 TO 30 MINS",2,
     CALLS[[#This Row],[DURATION BACKET]]="1 TO 2 HOURS",3,
     CALLS[[#This Row],[DURATION BACKET]]="&gt; 2 HOURS",4)</f>
        <v>3</v>
      </c>
      <c r="N104">
        <f>(CALLS[[#This Row],[Purchase Amount]]/ 1)</f>
        <v>66</v>
      </c>
    </row>
    <row r="105" spans="2:14" x14ac:dyDescent="0.25">
      <c r="B105" s="22" t="s">
        <v>127</v>
      </c>
      <c r="C105" s="4" t="s">
        <v>16</v>
      </c>
      <c r="D105" s="4">
        <v>131</v>
      </c>
      <c r="E105" s="5" t="s">
        <v>11</v>
      </c>
      <c r="F105" s="9">
        <v>44967</v>
      </c>
      <c r="G105" s="4">
        <v>172</v>
      </c>
      <c r="H105" s="23">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Row],[Duration]]&lt;=30,"10 TO 30 MINS",
     CALLS[[#This Row],[Duration]]&lt;=120,"1 TO 2 HOURS",
     TRUE,"&gt; 2 HOURS")</f>
        <v>&gt; 2 HOURS</v>
      </c>
      <c r="L105">
        <f>ROUND(CALLS[[#This Row],[Satisfaction Rating]],0)</f>
        <v>3</v>
      </c>
      <c r="M105" cm="1">
        <f t="array" ref="M105">_xlfn.IFS(CALLS[[#This Row],[DURATION BACKET]]="UNDER 10 MINS",1,
     CALLS[[#This Row],[DURATION BACKET]]="10 TO 30 MINS",2,
     CALLS[[#This Row],[DURATION BACKET]]="1 TO 2 HOURS",3,
     CALLS[[#This Row],[DURATION BACKET]]="&gt; 2 HOURS",4)</f>
        <v>4</v>
      </c>
      <c r="N105">
        <f>(CALLS[[#This Row],[Purchase Amount]]/ 1)</f>
        <v>172</v>
      </c>
    </row>
    <row r="106" spans="2:14" x14ac:dyDescent="0.25">
      <c r="B106" s="22" t="s">
        <v>128</v>
      </c>
      <c r="C106" s="4" t="s">
        <v>22</v>
      </c>
      <c r="D106" s="4">
        <v>67</v>
      </c>
      <c r="E106" s="5" t="s">
        <v>13</v>
      </c>
      <c r="F106" s="9">
        <v>44968</v>
      </c>
      <c r="G106" s="4">
        <v>24</v>
      </c>
      <c r="H106" s="23">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Row],[Duration]]&lt;=30,"10 TO 30 MINS",
     CALLS[[#This Row],[Duration]]&lt;=120,"1 TO 2 HOURS",
     TRUE,"&gt; 2 HOURS")</f>
        <v>1 TO 2 HOURS</v>
      </c>
      <c r="L106">
        <f>ROUND(CALLS[[#This Row],[Satisfaction Rating]],0)</f>
        <v>4</v>
      </c>
      <c r="M106" cm="1">
        <f t="array" ref="M106">_xlfn.IFS(CALLS[[#This Row],[DURATION BACKET]]="UNDER 10 MINS",1,
     CALLS[[#This Row],[DURATION BACKET]]="10 TO 30 MINS",2,
     CALLS[[#This Row],[DURATION BACKET]]="1 TO 2 HOURS",3,
     CALLS[[#This Row],[DURATION BACKET]]="&gt; 2 HOURS",4)</f>
        <v>3</v>
      </c>
      <c r="N106">
        <f>(CALLS[[#This Row],[Purchase Amount]]/ 1)</f>
        <v>24</v>
      </c>
    </row>
    <row r="107" spans="2:14" x14ac:dyDescent="0.25">
      <c r="B107" s="22" t="s">
        <v>129</v>
      </c>
      <c r="C107" s="4" t="s">
        <v>21</v>
      </c>
      <c r="D107" s="4">
        <v>111</v>
      </c>
      <c r="E107" s="5" t="s">
        <v>11</v>
      </c>
      <c r="F107" s="9">
        <v>44969</v>
      </c>
      <c r="G107" s="4">
        <v>43</v>
      </c>
      <c r="H107" s="23">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Row],[Duration]]&lt;=30,"10 TO 30 MINS",
     CALLS[[#This Row],[Duration]]&lt;=120,"1 TO 2 HOURS",
     TRUE,"&gt; 2 HOURS")</f>
        <v>1 TO 2 HOURS</v>
      </c>
      <c r="L107">
        <f>ROUND(CALLS[[#This Row],[Satisfaction Rating]],0)</f>
        <v>4</v>
      </c>
      <c r="M107" cm="1">
        <f t="array" ref="M107">_xlfn.IFS(CALLS[[#This Row],[DURATION BACKET]]="UNDER 10 MINS",1,
     CALLS[[#This Row],[DURATION BACKET]]="10 TO 30 MINS",2,
     CALLS[[#This Row],[DURATION BACKET]]="1 TO 2 HOURS",3,
     CALLS[[#This Row],[DURATION BACKET]]="&gt; 2 HOURS",4)</f>
        <v>3</v>
      </c>
      <c r="N107">
        <f>(CALLS[[#This Row],[Purchase Amount]]/ 1)</f>
        <v>43</v>
      </c>
    </row>
    <row r="108" spans="2:14" x14ac:dyDescent="0.25">
      <c r="B108" s="22" t="s">
        <v>130</v>
      </c>
      <c r="C108" s="4" t="s">
        <v>23</v>
      </c>
      <c r="D108" s="4">
        <v>78</v>
      </c>
      <c r="E108" s="5" t="s">
        <v>9</v>
      </c>
      <c r="F108" s="9">
        <v>44969</v>
      </c>
      <c r="G108" s="4">
        <v>23</v>
      </c>
      <c r="H108" s="23">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Row],[Duration]]&lt;=30,"10 TO 30 MINS",
     CALLS[[#This Row],[Duration]]&lt;=120,"1 TO 2 HOURS",
     TRUE,"&gt; 2 HOURS")</f>
        <v>1 TO 2 HOURS</v>
      </c>
      <c r="L108">
        <f>ROUND(CALLS[[#This Row],[Satisfaction Rating]],0)</f>
        <v>5</v>
      </c>
      <c r="M108" cm="1">
        <f t="array" ref="M108">_xlfn.IFS(CALLS[[#This Row],[DURATION BACKET]]="UNDER 10 MINS",1,
     CALLS[[#This Row],[DURATION BACKET]]="10 TO 30 MINS",2,
     CALLS[[#This Row],[DURATION BACKET]]="1 TO 2 HOURS",3,
     CALLS[[#This Row],[DURATION BACKET]]="&gt; 2 HOURS",4)</f>
        <v>3</v>
      </c>
      <c r="N108">
        <f>(CALLS[[#This Row],[Purchase Amount]]/ 1)</f>
        <v>23</v>
      </c>
    </row>
    <row r="109" spans="2:14" x14ac:dyDescent="0.25">
      <c r="B109" s="22" t="s">
        <v>131</v>
      </c>
      <c r="C109" s="4" t="s">
        <v>24</v>
      </c>
      <c r="D109" s="4">
        <v>28</v>
      </c>
      <c r="E109" s="5" t="s">
        <v>6</v>
      </c>
      <c r="F109" s="9">
        <v>44969</v>
      </c>
      <c r="G109" s="4">
        <v>74</v>
      </c>
      <c r="H109" s="23">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Row],[Duration]]&lt;=30,"10 TO 30 MINS",
     CALLS[[#This Row],[Duration]]&lt;=120,"1 TO 2 HOURS",
     TRUE,"&gt; 2 HOURS")</f>
        <v>10 TO 30 MINS</v>
      </c>
      <c r="L109">
        <f>ROUND(CALLS[[#This Row],[Satisfaction Rating]],0)</f>
        <v>4</v>
      </c>
      <c r="M109" cm="1">
        <f t="array" ref="M109">_xlfn.IFS(CALLS[[#This Row],[DURATION BACKET]]="UNDER 10 MINS",1,
     CALLS[[#This Row],[DURATION BACKET]]="10 TO 30 MINS",2,
     CALLS[[#This Row],[DURATION BACKET]]="1 TO 2 HOURS",3,
     CALLS[[#This Row],[DURATION BACKET]]="&gt; 2 HOURS",4)</f>
        <v>2</v>
      </c>
      <c r="N109">
        <f>(CALLS[[#This Row],[Purchase Amount]]/ 1)</f>
        <v>74</v>
      </c>
    </row>
    <row r="110" spans="2:14" x14ac:dyDescent="0.25">
      <c r="B110" s="22" t="s">
        <v>132</v>
      </c>
      <c r="C110" s="4" t="s">
        <v>12</v>
      </c>
      <c r="D110" s="4">
        <v>127</v>
      </c>
      <c r="E110" s="5" t="s">
        <v>13</v>
      </c>
      <c r="F110" s="9">
        <v>44970</v>
      </c>
      <c r="G110" s="4">
        <v>165</v>
      </c>
      <c r="H110" s="23">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Row],[Duration]]&lt;=30,"10 TO 30 MINS",
     CALLS[[#This Row],[Duration]]&lt;=120,"1 TO 2 HOURS",
     TRUE,"&gt; 2 HOURS")</f>
        <v>&gt; 2 HOURS</v>
      </c>
      <c r="L110">
        <f>ROUND(CALLS[[#This Row],[Satisfaction Rating]],0)</f>
        <v>5</v>
      </c>
      <c r="M110" cm="1">
        <f t="array" ref="M110">_xlfn.IFS(CALLS[[#This Row],[DURATION BACKET]]="UNDER 10 MINS",1,
     CALLS[[#This Row],[DURATION BACKET]]="10 TO 30 MINS",2,
     CALLS[[#This Row],[DURATION BACKET]]="1 TO 2 HOURS",3,
     CALLS[[#This Row],[DURATION BACKET]]="&gt; 2 HOURS",4)</f>
        <v>4</v>
      </c>
      <c r="N110">
        <f>(CALLS[[#This Row],[Purchase Amount]]/ 1)</f>
        <v>165</v>
      </c>
    </row>
    <row r="111" spans="2:14" x14ac:dyDescent="0.25">
      <c r="B111" s="22" t="s">
        <v>133</v>
      </c>
      <c r="C111" s="4" t="s">
        <v>19</v>
      </c>
      <c r="D111" s="4">
        <v>137</v>
      </c>
      <c r="E111" s="5" t="s">
        <v>11</v>
      </c>
      <c r="F111" s="9">
        <v>44970</v>
      </c>
      <c r="G111" s="4">
        <v>34</v>
      </c>
      <c r="H111" s="23">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Row],[Duration]]&lt;=30,"10 TO 30 MINS",
     CALLS[[#This Row],[Duration]]&lt;=120,"1 TO 2 HOURS",
     TRUE,"&gt; 2 HOURS")</f>
        <v>&gt; 2 HOURS</v>
      </c>
      <c r="L111">
        <f>ROUND(CALLS[[#This Row],[Satisfaction Rating]],0)</f>
        <v>3</v>
      </c>
      <c r="M111" cm="1">
        <f t="array" ref="M111">_xlfn.IFS(CALLS[[#This Row],[DURATION BACKET]]="UNDER 10 MINS",1,
     CALLS[[#This Row],[DURATION BACKET]]="10 TO 30 MINS",2,
     CALLS[[#This Row],[DURATION BACKET]]="1 TO 2 HOURS",3,
     CALLS[[#This Row],[DURATION BACKET]]="&gt; 2 HOURS",4)</f>
        <v>4</v>
      </c>
      <c r="N111">
        <f>(CALLS[[#This Row],[Purchase Amount]]/ 1)</f>
        <v>34</v>
      </c>
    </row>
    <row r="112" spans="2:14" x14ac:dyDescent="0.25">
      <c r="B112" s="22" t="s">
        <v>134</v>
      </c>
      <c r="C112" s="4" t="s">
        <v>12</v>
      </c>
      <c r="D112" s="4">
        <v>76</v>
      </c>
      <c r="E112" s="5" t="s">
        <v>6</v>
      </c>
      <c r="F112" s="9">
        <v>44970</v>
      </c>
      <c r="G112" s="4">
        <v>64</v>
      </c>
      <c r="H112" s="23">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Row],[Duration]]&lt;=30,"10 TO 30 MINS",
     CALLS[[#This Row],[Duration]]&lt;=120,"1 TO 2 HOURS",
     TRUE,"&gt; 2 HOURS")</f>
        <v>1 TO 2 HOURS</v>
      </c>
      <c r="L112">
        <f>ROUND(CALLS[[#This Row],[Satisfaction Rating]],0)</f>
        <v>3</v>
      </c>
      <c r="M112" cm="1">
        <f t="array" ref="M112">_xlfn.IFS(CALLS[[#This Row],[DURATION BACKET]]="UNDER 10 MINS",1,
     CALLS[[#This Row],[DURATION BACKET]]="10 TO 30 MINS",2,
     CALLS[[#This Row],[DURATION BACKET]]="1 TO 2 HOURS",3,
     CALLS[[#This Row],[DURATION BACKET]]="&gt; 2 HOURS",4)</f>
        <v>3</v>
      </c>
      <c r="N112">
        <f>(CALLS[[#This Row],[Purchase Amount]]/ 1)</f>
        <v>64</v>
      </c>
    </row>
    <row r="113" spans="2:14" x14ac:dyDescent="0.25">
      <c r="B113" s="22" t="s">
        <v>135</v>
      </c>
      <c r="C113" s="4" t="s">
        <v>23</v>
      </c>
      <c r="D113" s="4">
        <v>80</v>
      </c>
      <c r="E113" s="5" t="s">
        <v>13</v>
      </c>
      <c r="F113" s="9">
        <v>44971</v>
      </c>
      <c r="G113" s="4">
        <v>155</v>
      </c>
      <c r="H113" s="2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Row],[Duration]]&lt;=30,"10 TO 30 MINS",
     CALLS[[#This Row],[Duration]]&lt;=120,"1 TO 2 HOURS",
     TRUE,"&gt; 2 HOURS")</f>
        <v>1 TO 2 HOURS</v>
      </c>
      <c r="L113">
        <f>ROUND(CALLS[[#This Row],[Satisfaction Rating]],0)</f>
        <v>3</v>
      </c>
      <c r="M113" cm="1">
        <f t="array" ref="M113">_xlfn.IFS(CALLS[[#This Row],[DURATION BACKET]]="UNDER 10 MINS",1,
     CALLS[[#This Row],[DURATION BACKET]]="10 TO 30 MINS",2,
     CALLS[[#This Row],[DURATION BACKET]]="1 TO 2 HOURS",3,
     CALLS[[#This Row],[DURATION BACKET]]="&gt; 2 HOURS",4)</f>
        <v>3</v>
      </c>
      <c r="N113">
        <f>(CALLS[[#This Row],[Purchase Amount]]/ 1)</f>
        <v>155</v>
      </c>
    </row>
    <row r="114" spans="2:14" x14ac:dyDescent="0.25">
      <c r="B114" s="22" t="s">
        <v>136</v>
      </c>
      <c r="C114" s="4" t="s">
        <v>12</v>
      </c>
      <c r="D114" s="4">
        <v>95</v>
      </c>
      <c r="E114" s="5" t="s">
        <v>9</v>
      </c>
      <c r="F114" s="9">
        <v>44972</v>
      </c>
      <c r="G114" s="4">
        <v>120</v>
      </c>
      <c r="H114" s="23">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Row],[Duration]]&lt;=30,"10 TO 30 MINS",
     CALLS[[#This Row],[Duration]]&lt;=120,"1 TO 2 HOURS",
     TRUE,"&gt; 2 HOURS")</f>
        <v>1 TO 2 HOURS</v>
      </c>
      <c r="L114">
        <f>ROUND(CALLS[[#This Row],[Satisfaction Rating]],0)</f>
        <v>5</v>
      </c>
      <c r="M114" cm="1">
        <f t="array" ref="M114">_xlfn.IFS(CALLS[[#This Row],[DURATION BACKET]]="UNDER 10 MINS",1,
     CALLS[[#This Row],[DURATION BACKET]]="10 TO 30 MINS",2,
     CALLS[[#This Row],[DURATION BACKET]]="1 TO 2 HOURS",3,
     CALLS[[#This Row],[DURATION BACKET]]="&gt; 2 HOURS",4)</f>
        <v>3</v>
      </c>
      <c r="N114">
        <f>(CALLS[[#This Row],[Purchase Amount]]/ 1)</f>
        <v>120</v>
      </c>
    </row>
    <row r="115" spans="2:14" x14ac:dyDescent="0.25">
      <c r="B115" s="22" t="s">
        <v>137</v>
      </c>
      <c r="C115" s="4" t="s">
        <v>7</v>
      </c>
      <c r="D115" s="4">
        <v>30</v>
      </c>
      <c r="E115" s="5" t="s">
        <v>6</v>
      </c>
      <c r="F115" s="9">
        <v>44972</v>
      </c>
      <c r="G115" s="4">
        <v>105</v>
      </c>
      <c r="H115" s="23">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Row],[Duration]]&lt;=30,"10 TO 30 MINS",
     CALLS[[#This Row],[Duration]]&lt;=120,"1 TO 2 HOURS",
     TRUE,"&gt; 2 HOURS")</f>
        <v>10 TO 30 MINS</v>
      </c>
      <c r="L115">
        <f>ROUND(CALLS[[#This Row],[Satisfaction Rating]],0)</f>
        <v>4</v>
      </c>
      <c r="M115" cm="1">
        <f t="array" ref="M115">_xlfn.IFS(CALLS[[#This Row],[DURATION BACKET]]="UNDER 10 MINS",1,
     CALLS[[#This Row],[DURATION BACKET]]="10 TO 30 MINS",2,
     CALLS[[#This Row],[DURATION BACKET]]="1 TO 2 HOURS",3,
     CALLS[[#This Row],[DURATION BACKET]]="&gt; 2 HOURS",4)</f>
        <v>2</v>
      </c>
      <c r="N115">
        <f>(CALLS[[#This Row],[Purchase Amount]]/ 1)</f>
        <v>105</v>
      </c>
    </row>
    <row r="116" spans="2:14" x14ac:dyDescent="0.25">
      <c r="B116" s="22" t="s">
        <v>138</v>
      </c>
      <c r="C116" s="4" t="s">
        <v>8</v>
      </c>
      <c r="D116" s="4">
        <v>19</v>
      </c>
      <c r="E116" s="5" t="s">
        <v>11</v>
      </c>
      <c r="F116" s="9">
        <v>44972</v>
      </c>
      <c r="G116" s="4">
        <v>28</v>
      </c>
      <c r="H116" s="23">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Row],[Duration]]&lt;=30,"10 TO 30 MINS",
     CALLS[[#This Row],[Duration]]&lt;=120,"1 TO 2 HOURS",
     TRUE,"&gt; 2 HOURS")</f>
        <v>10 TO 30 MINS</v>
      </c>
      <c r="L116">
        <f>ROUND(CALLS[[#This Row],[Satisfaction Rating]],0)</f>
        <v>5</v>
      </c>
      <c r="M116" cm="1">
        <f t="array" ref="M116">_xlfn.IFS(CALLS[[#This Row],[DURATION BACKET]]="UNDER 10 MINS",1,
     CALLS[[#This Row],[DURATION BACKET]]="10 TO 30 MINS",2,
     CALLS[[#This Row],[DURATION BACKET]]="1 TO 2 HOURS",3,
     CALLS[[#This Row],[DURATION BACKET]]="&gt; 2 HOURS",4)</f>
        <v>2</v>
      </c>
      <c r="N116">
        <f>(CALLS[[#This Row],[Purchase Amount]]/ 1)</f>
        <v>28</v>
      </c>
    </row>
    <row r="117" spans="2:14" x14ac:dyDescent="0.25">
      <c r="B117" s="22" t="s">
        <v>139</v>
      </c>
      <c r="C117" s="4" t="s">
        <v>18</v>
      </c>
      <c r="D117" s="4">
        <v>38</v>
      </c>
      <c r="E117" s="5" t="s">
        <v>13</v>
      </c>
      <c r="F117" s="9">
        <v>44972</v>
      </c>
      <c r="G117" s="4">
        <v>100</v>
      </c>
      <c r="H117" s="23">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Row],[Duration]]&lt;=30,"10 TO 30 MINS",
     CALLS[[#This Row],[Duration]]&lt;=120,"1 TO 2 HOURS",
     TRUE,"&gt; 2 HOURS")</f>
        <v>1 TO 2 HOURS</v>
      </c>
      <c r="L117">
        <f>ROUND(CALLS[[#This Row],[Satisfaction Rating]],0)</f>
        <v>5</v>
      </c>
      <c r="M117" cm="1">
        <f t="array" ref="M117">_xlfn.IFS(CALLS[[#This Row],[DURATION BACKET]]="UNDER 10 MINS",1,
     CALLS[[#This Row],[DURATION BACKET]]="10 TO 30 MINS",2,
     CALLS[[#This Row],[DURATION BACKET]]="1 TO 2 HOURS",3,
     CALLS[[#This Row],[DURATION BACKET]]="&gt; 2 HOURS",4)</f>
        <v>3</v>
      </c>
      <c r="N117">
        <f>(CALLS[[#This Row],[Purchase Amount]]/ 1)</f>
        <v>100</v>
      </c>
    </row>
    <row r="118" spans="2:14" x14ac:dyDescent="0.25">
      <c r="B118" s="22" t="s">
        <v>140</v>
      </c>
      <c r="C118" s="4" t="s">
        <v>14</v>
      </c>
      <c r="D118" s="4">
        <v>55</v>
      </c>
      <c r="E118" s="5" t="s">
        <v>11</v>
      </c>
      <c r="F118" s="9">
        <v>44972</v>
      </c>
      <c r="G118" s="4">
        <v>23</v>
      </c>
      <c r="H118" s="23">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Row],[Duration]]&lt;=30,"10 TO 30 MINS",
     CALLS[[#This Row],[Duration]]&lt;=120,"1 TO 2 HOURS",
     TRUE,"&gt; 2 HOURS")</f>
        <v>1 TO 2 HOURS</v>
      </c>
      <c r="L118">
        <f>ROUND(CALLS[[#This Row],[Satisfaction Rating]],0)</f>
        <v>4</v>
      </c>
      <c r="M118" cm="1">
        <f t="array" ref="M118">_xlfn.IFS(CALLS[[#This Row],[DURATION BACKET]]="UNDER 10 MINS",1,
     CALLS[[#This Row],[DURATION BACKET]]="10 TO 30 MINS",2,
     CALLS[[#This Row],[DURATION BACKET]]="1 TO 2 HOURS",3,
     CALLS[[#This Row],[DURATION BACKET]]="&gt; 2 HOURS",4)</f>
        <v>3</v>
      </c>
      <c r="N118">
        <f>(CALLS[[#This Row],[Purchase Amount]]/ 1)</f>
        <v>23</v>
      </c>
    </row>
    <row r="119" spans="2:14" x14ac:dyDescent="0.25">
      <c r="B119" s="22" t="s">
        <v>141</v>
      </c>
      <c r="C119" s="4" t="s">
        <v>22</v>
      </c>
      <c r="D119" s="4">
        <v>27</v>
      </c>
      <c r="E119" s="5" t="s">
        <v>6</v>
      </c>
      <c r="F119" s="9">
        <v>44973</v>
      </c>
      <c r="G119" s="4">
        <v>70</v>
      </c>
      <c r="H119" s="23">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Row],[Duration]]&lt;=30,"10 TO 30 MINS",
     CALLS[[#This Row],[Duration]]&lt;=120,"1 TO 2 HOURS",
     TRUE,"&gt; 2 HOURS")</f>
        <v>10 TO 30 MINS</v>
      </c>
      <c r="L119">
        <f>ROUND(CALLS[[#This Row],[Satisfaction Rating]],0)</f>
        <v>4</v>
      </c>
      <c r="M119" cm="1">
        <f t="array" ref="M119">_xlfn.IFS(CALLS[[#This Row],[DURATION BACKET]]="UNDER 10 MINS",1,
     CALLS[[#This Row],[DURATION BACKET]]="10 TO 30 MINS",2,
     CALLS[[#This Row],[DURATION BACKET]]="1 TO 2 HOURS",3,
     CALLS[[#This Row],[DURATION BACKET]]="&gt; 2 HOURS",4)</f>
        <v>2</v>
      </c>
      <c r="N119">
        <f>(CALLS[[#This Row],[Purchase Amount]]/ 1)</f>
        <v>70</v>
      </c>
    </row>
    <row r="120" spans="2:14" x14ac:dyDescent="0.25">
      <c r="B120" s="22" t="s">
        <v>142</v>
      </c>
      <c r="C120" s="4" t="s">
        <v>22</v>
      </c>
      <c r="D120" s="4">
        <v>32</v>
      </c>
      <c r="E120" s="5" t="s">
        <v>6</v>
      </c>
      <c r="F120" s="9">
        <v>44973</v>
      </c>
      <c r="G120" s="4">
        <v>37</v>
      </c>
      <c r="H120" s="23">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Row],[Duration]]&lt;=30,"10 TO 30 MINS",
     CALLS[[#This Row],[Duration]]&lt;=120,"1 TO 2 HOURS",
     TRUE,"&gt; 2 HOURS")</f>
        <v>1 TO 2 HOURS</v>
      </c>
      <c r="L120">
        <f>ROUND(CALLS[[#This Row],[Satisfaction Rating]],0)</f>
        <v>2</v>
      </c>
      <c r="M120" cm="1">
        <f t="array" ref="M120">_xlfn.IFS(CALLS[[#This Row],[DURATION BACKET]]="UNDER 10 MINS",1,
     CALLS[[#This Row],[DURATION BACKET]]="10 TO 30 MINS",2,
     CALLS[[#This Row],[DURATION BACKET]]="1 TO 2 HOURS",3,
     CALLS[[#This Row],[DURATION BACKET]]="&gt; 2 HOURS",4)</f>
        <v>3</v>
      </c>
      <c r="N120">
        <f>(CALLS[[#This Row],[Purchase Amount]]/ 1)</f>
        <v>37</v>
      </c>
    </row>
    <row r="121" spans="2:14" x14ac:dyDescent="0.25">
      <c r="B121" s="22" t="s">
        <v>143</v>
      </c>
      <c r="C121" s="4" t="s">
        <v>24</v>
      </c>
      <c r="D121" s="4">
        <v>116</v>
      </c>
      <c r="E121" s="5" t="s">
        <v>10</v>
      </c>
      <c r="F121" s="9">
        <v>44973</v>
      </c>
      <c r="G121" s="4">
        <v>140</v>
      </c>
      <c r="H121" s="23">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Row],[Duration]]&lt;=30,"10 TO 30 MINS",
     CALLS[[#This Row],[Duration]]&lt;=120,"1 TO 2 HOURS",
     TRUE,"&gt; 2 HOURS")</f>
        <v>1 TO 2 HOURS</v>
      </c>
      <c r="L121">
        <f>ROUND(CALLS[[#This Row],[Satisfaction Rating]],0)</f>
        <v>4</v>
      </c>
      <c r="M121" cm="1">
        <f t="array" ref="M121">_xlfn.IFS(CALLS[[#This Row],[DURATION BACKET]]="UNDER 10 MINS",1,
     CALLS[[#This Row],[DURATION BACKET]]="10 TO 30 MINS",2,
     CALLS[[#This Row],[DURATION BACKET]]="1 TO 2 HOURS",3,
     CALLS[[#This Row],[DURATION BACKET]]="&gt; 2 HOURS",4)</f>
        <v>3</v>
      </c>
      <c r="N121">
        <f>(CALLS[[#This Row],[Purchase Amount]]/ 1)</f>
        <v>140</v>
      </c>
    </row>
    <row r="122" spans="2:14" x14ac:dyDescent="0.25">
      <c r="B122" s="22" t="s">
        <v>144</v>
      </c>
      <c r="C122" s="4" t="s">
        <v>20</v>
      </c>
      <c r="D122" s="4">
        <v>99</v>
      </c>
      <c r="E122" s="5" t="s">
        <v>9</v>
      </c>
      <c r="F122" s="9">
        <v>44973</v>
      </c>
      <c r="G122" s="4">
        <v>78</v>
      </c>
      <c r="H122" s="23">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Row],[Duration]]&lt;=30,"10 TO 30 MINS",
     CALLS[[#This Row],[Duration]]&lt;=120,"1 TO 2 HOURS",
     TRUE,"&gt; 2 HOURS")</f>
        <v>1 TO 2 HOURS</v>
      </c>
      <c r="L122">
        <f>ROUND(CALLS[[#This Row],[Satisfaction Rating]],0)</f>
        <v>4</v>
      </c>
      <c r="M122" cm="1">
        <f t="array" ref="M122">_xlfn.IFS(CALLS[[#This Row],[DURATION BACKET]]="UNDER 10 MINS",1,
     CALLS[[#This Row],[DURATION BACKET]]="10 TO 30 MINS",2,
     CALLS[[#This Row],[DURATION BACKET]]="1 TO 2 HOURS",3,
     CALLS[[#This Row],[DURATION BACKET]]="&gt; 2 HOURS",4)</f>
        <v>3</v>
      </c>
      <c r="N122">
        <f>(CALLS[[#This Row],[Purchase Amount]]/ 1)</f>
        <v>78</v>
      </c>
    </row>
    <row r="123" spans="2:14" x14ac:dyDescent="0.25">
      <c r="B123" s="22" t="s">
        <v>145</v>
      </c>
      <c r="C123" s="4" t="s">
        <v>12</v>
      </c>
      <c r="D123" s="4">
        <v>75</v>
      </c>
      <c r="E123" s="5" t="s">
        <v>6</v>
      </c>
      <c r="F123" s="9">
        <v>44974</v>
      </c>
      <c r="G123" s="4">
        <v>21</v>
      </c>
      <c r="H123" s="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Row],[Duration]]&lt;=30,"10 TO 30 MINS",
     CALLS[[#This Row],[Duration]]&lt;=120,"1 TO 2 HOURS",
     TRUE,"&gt; 2 HOURS")</f>
        <v>1 TO 2 HOURS</v>
      </c>
      <c r="L123">
        <f>ROUND(CALLS[[#This Row],[Satisfaction Rating]],0)</f>
        <v>4</v>
      </c>
      <c r="M123" cm="1">
        <f t="array" ref="M123">_xlfn.IFS(CALLS[[#This Row],[DURATION BACKET]]="UNDER 10 MINS",1,
     CALLS[[#This Row],[DURATION BACKET]]="10 TO 30 MINS",2,
     CALLS[[#This Row],[DURATION BACKET]]="1 TO 2 HOURS",3,
     CALLS[[#This Row],[DURATION BACKET]]="&gt; 2 HOURS",4)</f>
        <v>3</v>
      </c>
      <c r="N123">
        <f>(CALLS[[#This Row],[Purchase Amount]]/ 1)</f>
        <v>21</v>
      </c>
    </row>
    <row r="124" spans="2:14" x14ac:dyDescent="0.25">
      <c r="B124" s="22" t="s">
        <v>146</v>
      </c>
      <c r="C124" s="4" t="s">
        <v>23</v>
      </c>
      <c r="D124" s="4">
        <v>57</v>
      </c>
      <c r="E124" s="5" t="s">
        <v>10</v>
      </c>
      <c r="F124" s="9">
        <v>44974</v>
      </c>
      <c r="G124" s="4">
        <v>88</v>
      </c>
      <c r="H124" s="23">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Row],[Duration]]&lt;=30,"10 TO 30 MINS",
     CALLS[[#This Row],[Duration]]&lt;=120,"1 TO 2 HOURS",
     TRUE,"&gt; 2 HOURS")</f>
        <v>1 TO 2 HOURS</v>
      </c>
      <c r="L124">
        <f>ROUND(CALLS[[#This Row],[Satisfaction Rating]],0)</f>
        <v>4</v>
      </c>
      <c r="M124" cm="1">
        <f t="array" ref="M124">_xlfn.IFS(CALLS[[#This Row],[DURATION BACKET]]="UNDER 10 MINS",1,
     CALLS[[#This Row],[DURATION BACKET]]="10 TO 30 MINS",2,
     CALLS[[#This Row],[DURATION BACKET]]="1 TO 2 HOURS",3,
     CALLS[[#This Row],[DURATION BACKET]]="&gt; 2 HOURS",4)</f>
        <v>3</v>
      </c>
      <c r="N124">
        <f>(CALLS[[#This Row],[Purchase Amount]]/ 1)</f>
        <v>88</v>
      </c>
    </row>
    <row r="125" spans="2:14" x14ac:dyDescent="0.25">
      <c r="B125" s="22" t="s">
        <v>147</v>
      </c>
      <c r="C125" s="4" t="s">
        <v>15</v>
      </c>
      <c r="D125" s="4">
        <v>155</v>
      </c>
      <c r="E125" s="5" t="s">
        <v>10</v>
      </c>
      <c r="F125" s="9">
        <v>44975</v>
      </c>
      <c r="G125" s="4">
        <v>180</v>
      </c>
      <c r="H125" s="23">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Row],[Duration]]&lt;=30,"10 TO 30 MINS",
     CALLS[[#This Row],[Duration]]&lt;=120,"1 TO 2 HOURS",
     TRUE,"&gt; 2 HOURS")</f>
        <v>&gt; 2 HOURS</v>
      </c>
      <c r="L125">
        <f>ROUND(CALLS[[#This Row],[Satisfaction Rating]],0)</f>
        <v>2</v>
      </c>
      <c r="M125" cm="1">
        <f t="array" ref="M125">_xlfn.IFS(CALLS[[#This Row],[DURATION BACKET]]="UNDER 10 MINS",1,
     CALLS[[#This Row],[DURATION BACKET]]="10 TO 30 MINS",2,
     CALLS[[#This Row],[DURATION BACKET]]="1 TO 2 HOURS",3,
     CALLS[[#This Row],[DURATION BACKET]]="&gt; 2 HOURS",4)</f>
        <v>4</v>
      </c>
      <c r="N125">
        <f>(CALLS[[#This Row],[Purchase Amount]]/ 1)</f>
        <v>180</v>
      </c>
    </row>
    <row r="126" spans="2:14" x14ac:dyDescent="0.25">
      <c r="B126" s="22" t="s">
        <v>148</v>
      </c>
      <c r="C126" s="4" t="s">
        <v>20</v>
      </c>
      <c r="D126" s="4">
        <v>68</v>
      </c>
      <c r="E126" s="5" t="s">
        <v>9</v>
      </c>
      <c r="F126" s="9">
        <v>44975</v>
      </c>
      <c r="G126" s="4">
        <v>22</v>
      </c>
      <c r="H126" s="23">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Row],[Duration]]&lt;=30,"10 TO 30 MINS",
     CALLS[[#This Row],[Duration]]&lt;=120,"1 TO 2 HOURS",
     TRUE,"&gt; 2 HOURS")</f>
        <v>1 TO 2 HOURS</v>
      </c>
      <c r="L126">
        <f>ROUND(CALLS[[#This Row],[Satisfaction Rating]],0)</f>
        <v>3</v>
      </c>
      <c r="M126" cm="1">
        <f t="array" ref="M126">_xlfn.IFS(CALLS[[#This Row],[DURATION BACKET]]="UNDER 10 MINS",1,
     CALLS[[#This Row],[DURATION BACKET]]="10 TO 30 MINS",2,
     CALLS[[#This Row],[DURATION BACKET]]="1 TO 2 HOURS",3,
     CALLS[[#This Row],[DURATION BACKET]]="&gt; 2 HOURS",4)</f>
        <v>3</v>
      </c>
      <c r="N126">
        <f>(CALLS[[#This Row],[Purchase Amount]]/ 1)</f>
        <v>22</v>
      </c>
    </row>
    <row r="127" spans="2:14" x14ac:dyDescent="0.25">
      <c r="B127" s="22" t="s">
        <v>149</v>
      </c>
      <c r="C127" s="4" t="s">
        <v>18</v>
      </c>
      <c r="D127" s="4">
        <v>95</v>
      </c>
      <c r="E127" s="5" t="s">
        <v>9</v>
      </c>
      <c r="F127" s="9">
        <v>44975</v>
      </c>
      <c r="G127" s="4">
        <v>52</v>
      </c>
      <c r="H127" s="23">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Row],[Duration]]&lt;=30,"10 TO 30 MINS",
     CALLS[[#This Row],[Duration]]&lt;=120,"1 TO 2 HOURS",
     TRUE,"&gt; 2 HOURS")</f>
        <v>1 TO 2 HOURS</v>
      </c>
      <c r="L127">
        <f>ROUND(CALLS[[#This Row],[Satisfaction Rating]],0)</f>
        <v>5</v>
      </c>
      <c r="M127" cm="1">
        <f t="array" ref="M127">_xlfn.IFS(CALLS[[#This Row],[DURATION BACKET]]="UNDER 10 MINS",1,
     CALLS[[#This Row],[DURATION BACKET]]="10 TO 30 MINS",2,
     CALLS[[#This Row],[DURATION BACKET]]="1 TO 2 HOURS",3,
     CALLS[[#This Row],[DURATION BACKET]]="&gt; 2 HOURS",4)</f>
        <v>3</v>
      </c>
      <c r="N127">
        <f>(CALLS[[#This Row],[Purchase Amount]]/ 1)</f>
        <v>52</v>
      </c>
    </row>
    <row r="128" spans="2:14" x14ac:dyDescent="0.25">
      <c r="B128" s="22" t="s">
        <v>150</v>
      </c>
      <c r="C128" s="4" t="s">
        <v>19</v>
      </c>
      <c r="D128" s="4">
        <v>65</v>
      </c>
      <c r="E128" s="5" t="s">
        <v>10</v>
      </c>
      <c r="F128" s="9">
        <v>44976</v>
      </c>
      <c r="G128" s="4">
        <v>80</v>
      </c>
      <c r="H128" s="23">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Row],[Duration]]&lt;=30,"10 TO 30 MINS",
     CALLS[[#This Row],[Duration]]&lt;=120,"1 TO 2 HOURS",
     TRUE,"&gt; 2 HOURS")</f>
        <v>1 TO 2 HOURS</v>
      </c>
      <c r="L128">
        <f>ROUND(CALLS[[#This Row],[Satisfaction Rating]],0)</f>
        <v>4</v>
      </c>
      <c r="M128" cm="1">
        <f t="array" ref="M128">_xlfn.IFS(CALLS[[#This Row],[DURATION BACKET]]="UNDER 10 MINS",1,
     CALLS[[#This Row],[DURATION BACKET]]="10 TO 30 MINS",2,
     CALLS[[#This Row],[DURATION BACKET]]="1 TO 2 HOURS",3,
     CALLS[[#This Row],[DURATION BACKET]]="&gt; 2 HOURS",4)</f>
        <v>3</v>
      </c>
      <c r="N128">
        <f>(CALLS[[#This Row],[Purchase Amount]]/ 1)</f>
        <v>80</v>
      </c>
    </row>
    <row r="129" spans="2:14" x14ac:dyDescent="0.25">
      <c r="B129" s="22" t="s">
        <v>151</v>
      </c>
      <c r="C129" s="4" t="s">
        <v>8</v>
      </c>
      <c r="D129" s="4">
        <v>114</v>
      </c>
      <c r="E129" s="5" t="s">
        <v>11</v>
      </c>
      <c r="F129" s="9">
        <v>44976</v>
      </c>
      <c r="G129" s="4">
        <v>54</v>
      </c>
      <c r="H129" s="23">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Row],[Duration]]&lt;=30,"10 TO 30 MINS",
     CALLS[[#This Row],[Duration]]&lt;=120,"1 TO 2 HOURS",
     TRUE,"&gt; 2 HOURS")</f>
        <v>1 TO 2 HOURS</v>
      </c>
      <c r="L129">
        <f>ROUND(CALLS[[#This Row],[Satisfaction Rating]],0)</f>
        <v>1</v>
      </c>
      <c r="M129" cm="1">
        <f t="array" ref="M129">_xlfn.IFS(CALLS[[#This Row],[DURATION BACKET]]="UNDER 10 MINS",1,
     CALLS[[#This Row],[DURATION BACKET]]="10 TO 30 MINS",2,
     CALLS[[#This Row],[DURATION BACKET]]="1 TO 2 HOURS",3,
     CALLS[[#This Row],[DURATION BACKET]]="&gt; 2 HOURS",4)</f>
        <v>3</v>
      </c>
      <c r="N129">
        <f>(CALLS[[#This Row],[Purchase Amount]]/ 1)</f>
        <v>54</v>
      </c>
    </row>
    <row r="130" spans="2:14" x14ac:dyDescent="0.25">
      <c r="B130" s="22" t="s">
        <v>152</v>
      </c>
      <c r="C130" s="4" t="s">
        <v>12</v>
      </c>
      <c r="D130" s="4">
        <v>155</v>
      </c>
      <c r="E130" s="5" t="s">
        <v>11</v>
      </c>
      <c r="F130" s="9">
        <v>44977</v>
      </c>
      <c r="G130" s="4">
        <v>80</v>
      </c>
      <c r="H130" s="23">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Row],[Duration]]&lt;=30,"10 TO 30 MINS",
     CALLS[[#This Row],[Duration]]&lt;=120,"1 TO 2 HOURS",
     TRUE,"&gt; 2 HOURS")</f>
        <v>&gt; 2 HOURS</v>
      </c>
      <c r="L130">
        <f>ROUND(CALLS[[#This Row],[Satisfaction Rating]],0)</f>
        <v>4</v>
      </c>
      <c r="M130" cm="1">
        <f t="array" ref="M130">_xlfn.IFS(CALLS[[#This Row],[DURATION BACKET]]="UNDER 10 MINS",1,
     CALLS[[#This Row],[DURATION BACKET]]="10 TO 30 MINS",2,
     CALLS[[#This Row],[DURATION BACKET]]="1 TO 2 HOURS",3,
     CALLS[[#This Row],[DURATION BACKET]]="&gt; 2 HOURS",4)</f>
        <v>4</v>
      </c>
      <c r="N130">
        <f>(CALLS[[#This Row],[Purchase Amount]]/ 1)</f>
        <v>80</v>
      </c>
    </row>
    <row r="131" spans="2:14" x14ac:dyDescent="0.25">
      <c r="B131" s="22" t="s">
        <v>153</v>
      </c>
      <c r="C131" s="4" t="s">
        <v>19</v>
      </c>
      <c r="D131" s="4">
        <v>114</v>
      </c>
      <c r="E131" s="5" t="s">
        <v>10</v>
      </c>
      <c r="F131" s="9">
        <v>44978</v>
      </c>
      <c r="G131" s="4">
        <v>120</v>
      </c>
      <c r="H131" s="23">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Row],[Duration]]&lt;=30,"10 TO 30 MINS",
     CALLS[[#This Row],[Duration]]&lt;=120,"1 TO 2 HOURS",
     TRUE,"&gt; 2 HOURS")</f>
        <v>1 TO 2 HOURS</v>
      </c>
      <c r="L131">
        <f>ROUND(CALLS[[#This Row],[Satisfaction Rating]],0)</f>
        <v>2</v>
      </c>
      <c r="M131" cm="1">
        <f t="array" ref="M131">_xlfn.IFS(CALLS[[#This Row],[DURATION BACKET]]="UNDER 10 MINS",1,
     CALLS[[#This Row],[DURATION BACKET]]="10 TO 30 MINS",2,
     CALLS[[#This Row],[DURATION BACKET]]="1 TO 2 HOURS",3,
     CALLS[[#This Row],[DURATION BACKET]]="&gt; 2 HOURS",4)</f>
        <v>3</v>
      </c>
      <c r="N131">
        <f>(CALLS[[#This Row],[Purchase Amount]]/ 1)</f>
        <v>120</v>
      </c>
    </row>
    <row r="132" spans="2:14" x14ac:dyDescent="0.25">
      <c r="B132" s="22" t="s">
        <v>154</v>
      </c>
      <c r="C132" s="4" t="s">
        <v>15</v>
      </c>
      <c r="D132" s="4">
        <v>130</v>
      </c>
      <c r="E132" s="5" t="s">
        <v>13</v>
      </c>
      <c r="F132" s="9">
        <v>44978</v>
      </c>
      <c r="G132" s="4">
        <v>150</v>
      </c>
      <c r="H132" s="23">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Row],[Duration]]&lt;=30,"10 TO 30 MINS",
     CALLS[[#This Row],[Duration]]&lt;=120,"1 TO 2 HOURS",
     TRUE,"&gt; 2 HOURS")</f>
        <v>&gt; 2 HOURS</v>
      </c>
      <c r="L132">
        <f>ROUND(CALLS[[#This Row],[Satisfaction Rating]],0)</f>
        <v>1</v>
      </c>
      <c r="M132" cm="1">
        <f t="array" ref="M132">_xlfn.IFS(CALLS[[#This Row],[DURATION BACKET]]="UNDER 10 MINS",1,
     CALLS[[#This Row],[DURATION BACKET]]="10 TO 30 MINS",2,
     CALLS[[#This Row],[DURATION BACKET]]="1 TO 2 HOURS",3,
     CALLS[[#This Row],[DURATION BACKET]]="&gt; 2 HOURS",4)</f>
        <v>4</v>
      </c>
      <c r="N132">
        <f>(CALLS[[#This Row],[Purchase Amount]]/ 1)</f>
        <v>150</v>
      </c>
    </row>
    <row r="133" spans="2:14" x14ac:dyDescent="0.25">
      <c r="B133" s="22" t="s">
        <v>155</v>
      </c>
      <c r="C133" s="4" t="s">
        <v>12</v>
      </c>
      <c r="D133" s="4">
        <v>89</v>
      </c>
      <c r="E133" s="5" t="s">
        <v>10</v>
      </c>
      <c r="F133" s="9">
        <v>44978</v>
      </c>
      <c r="G133" s="4">
        <v>90</v>
      </c>
      <c r="H133" s="2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Row],[Duration]]&lt;=30,"10 TO 30 MINS",
     CALLS[[#This Row],[Duration]]&lt;=120,"1 TO 2 HOURS",
     TRUE,"&gt; 2 HOURS")</f>
        <v>1 TO 2 HOURS</v>
      </c>
      <c r="L133">
        <f>ROUND(CALLS[[#This Row],[Satisfaction Rating]],0)</f>
        <v>4</v>
      </c>
      <c r="M133" cm="1">
        <f t="array" ref="M133">_xlfn.IFS(CALLS[[#This Row],[DURATION BACKET]]="UNDER 10 MINS",1,
     CALLS[[#This Row],[DURATION BACKET]]="10 TO 30 MINS",2,
     CALLS[[#This Row],[DURATION BACKET]]="1 TO 2 HOURS",3,
     CALLS[[#This Row],[DURATION BACKET]]="&gt; 2 HOURS",4)</f>
        <v>3</v>
      </c>
      <c r="N133">
        <f>(CALLS[[#This Row],[Purchase Amount]]/ 1)</f>
        <v>90</v>
      </c>
    </row>
    <row r="134" spans="2:14" x14ac:dyDescent="0.25">
      <c r="B134" s="22" t="s">
        <v>156</v>
      </c>
      <c r="C134" s="4" t="s">
        <v>17</v>
      </c>
      <c r="D134" s="4">
        <v>61</v>
      </c>
      <c r="E134" s="5" t="s">
        <v>6</v>
      </c>
      <c r="F134" s="9">
        <v>44979</v>
      </c>
      <c r="G134" s="4">
        <v>140</v>
      </c>
      <c r="H134" s="23">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Row],[Duration]]&lt;=30,"10 TO 30 MINS",
     CALLS[[#This Row],[Duration]]&lt;=120,"1 TO 2 HOURS",
     TRUE,"&gt; 2 HOURS")</f>
        <v>1 TO 2 HOURS</v>
      </c>
      <c r="L134">
        <f>ROUND(CALLS[[#This Row],[Satisfaction Rating]],0)</f>
        <v>3</v>
      </c>
      <c r="M134" cm="1">
        <f t="array" ref="M134">_xlfn.IFS(CALLS[[#This Row],[DURATION BACKET]]="UNDER 10 MINS",1,
     CALLS[[#This Row],[DURATION BACKET]]="10 TO 30 MINS",2,
     CALLS[[#This Row],[DURATION BACKET]]="1 TO 2 HOURS",3,
     CALLS[[#This Row],[DURATION BACKET]]="&gt; 2 HOURS",4)</f>
        <v>3</v>
      </c>
      <c r="N134">
        <f>(CALLS[[#This Row],[Purchase Amount]]/ 1)</f>
        <v>140</v>
      </c>
    </row>
    <row r="135" spans="2:14" x14ac:dyDescent="0.25">
      <c r="B135" s="22" t="s">
        <v>157</v>
      </c>
      <c r="C135" s="4" t="s">
        <v>18</v>
      </c>
      <c r="D135" s="4">
        <v>154</v>
      </c>
      <c r="E135" s="5" t="s">
        <v>11</v>
      </c>
      <c r="F135" s="9">
        <v>44979</v>
      </c>
      <c r="G135" s="4">
        <v>22</v>
      </c>
      <c r="H135" s="23">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Row],[Duration]]&lt;=30,"10 TO 30 MINS",
     CALLS[[#This Row],[Duration]]&lt;=120,"1 TO 2 HOURS",
     TRUE,"&gt; 2 HOURS")</f>
        <v>&gt; 2 HOURS</v>
      </c>
      <c r="L135">
        <f>ROUND(CALLS[[#This Row],[Satisfaction Rating]],0)</f>
        <v>3</v>
      </c>
      <c r="M135" cm="1">
        <f t="array" ref="M135">_xlfn.IFS(CALLS[[#This Row],[DURATION BACKET]]="UNDER 10 MINS",1,
     CALLS[[#This Row],[DURATION BACKET]]="10 TO 30 MINS",2,
     CALLS[[#This Row],[DURATION BACKET]]="1 TO 2 HOURS",3,
     CALLS[[#This Row],[DURATION BACKET]]="&gt; 2 HOURS",4)</f>
        <v>4</v>
      </c>
      <c r="N135">
        <f>(CALLS[[#This Row],[Purchase Amount]]/ 1)</f>
        <v>22</v>
      </c>
    </row>
    <row r="136" spans="2:14" x14ac:dyDescent="0.25">
      <c r="B136" s="22" t="s">
        <v>158</v>
      </c>
      <c r="C136" s="4" t="s">
        <v>19</v>
      </c>
      <c r="D136" s="4">
        <v>115</v>
      </c>
      <c r="E136" s="5" t="s">
        <v>13</v>
      </c>
      <c r="F136" s="9">
        <v>44980</v>
      </c>
      <c r="G136" s="4">
        <v>150</v>
      </c>
      <c r="H136" s="23">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Row],[Duration]]&lt;=30,"10 TO 30 MINS",
     CALLS[[#This Row],[Duration]]&lt;=120,"1 TO 2 HOURS",
     TRUE,"&gt; 2 HOURS")</f>
        <v>1 TO 2 HOURS</v>
      </c>
      <c r="L136">
        <f>ROUND(CALLS[[#This Row],[Satisfaction Rating]],0)</f>
        <v>4</v>
      </c>
      <c r="M136" cm="1">
        <f t="array" ref="M136">_xlfn.IFS(CALLS[[#This Row],[DURATION BACKET]]="UNDER 10 MINS",1,
     CALLS[[#This Row],[DURATION BACKET]]="10 TO 30 MINS",2,
     CALLS[[#This Row],[DURATION BACKET]]="1 TO 2 HOURS",3,
     CALLS[[#This Row],[DURATION BACKET]]="&gt; 2 HOURS",4)</f>
        <v>3</v>
      </c>
      <c r="N136">
        <f>(CALLS[[#This Row],[Purchase Amount]]/ 1)</f>
        <v>150</v>
      </c>
    </row>
    <row r="137" spans="2:14" x14ac:dyDescent="0.25">
      <c r="B137" s="22" t="s">
        <v>159</v>
      </c>
      <c r="C137" s="4" t="s">
        <v>5</v>
      </c>
      <c r="D137" s="4">
        <v>138</v>
      </c>
      <c r="E137" s="5" t="s">
        <v>9</v>
      </c>
      <c r="F137" s="9">
        <v>44981</v>
      </c>
      <c r="G137" s="4">
        <v>35</v>
      </c>
      <c r="H137" s="23">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Row],[Duration]]&lt;=30,"10 TO 30 MINS",
     CALLS[[#This Row],[Duration]]&lt;=120,"1 TO 2 HOURS",
     TRUE,"&gt; 2 HOURS")</f>
        <v>&gt; 2 HOURS</v>
      </c>
      <c r="L137">
        <f>ROUND(CALLS[[#This Row],[Satisfaction Rating]],0)</f>
        <v>5</v>
      </c>
      <c r="M137" cm="1">
        <f t="array" ref="M137">_xlfn.IFS(CALLS[[#This Row],[DURATION BACKET]]="UNDER 10 MINS",1,
     CALLS[[#This Row],[DURATION BACKET]]="10 TO 30 MINS",2,
     CALLS[[#This Row],[DURATION BACKET]]="1 TO 2 HOURS",3,
     CALLS[[#This Row],[DURATION BACKET]]="&gt; 2 HOURS",4)</f>
        <v>4</v>
      </c>
      <c r="N137">
        <f>(CALLS[[#This Row],[Purchase Amount]]/ 1)</f>
        <v>35</v>
      </c>
    </row>
    <row r="138" spans="2:14" x14ac:dyDescent="0.25">
      <c r="B138" s="22" t="s">
        <v>160</v>
      </c>
      <c r="C138" s="4" t="s">
        <v>21</v>
      </c>
      <c r="D138" s="4">
        <v>153</v>
      </c>
      <c r="E138" s="5" t="s">
        <v>10</v>
      </c>
      <c r="F138" s="9">
        <v>44981</v>
      </c>
      <c r="G138" s="4">
        <v>200</v>
      </c>
      <c r="H138" s="23">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Row],[Duration]]&lt;=30,"10 TO 30 MINS",
     CALLS[[#This Row],[Duration]]&lt;=120,"1 TO 2 HOURS",
     TRUE,"&gt; 2 HOURS")</f>
        <v>&gt; 2 HOURS</v>
      </c>
      <c r="L138">
        <f>ROUND(CALLS[[#This Row],[Satisfaction Rating]],0)</f>
        <v>2</v>
      </c>
      <c r="M138" cm="1">
        <f t="array" ref="M138">_xlfn.IFS(CALLS[[#This Row],[DURATION BACKET]]="UNDER 10 MINS",1,
     CALLS[[#This Row],[DURATION BACKET]]="10 TO 30 MINS",2,
     CALLS[[#This Row],[DURATION BACKET]]="1 TO 2 HOURS",3,
     CALLS[[#This Row],[DURATION BACKET]]="&gt; 2 HOURS",4)</f>
        <v>4</v>
      </c>
      <c r="N138">
        <f>(CALLS[[#This Row],[Purchase Amount]]/ 1)</f>
        <v>200</v>
      </c>
    </row>
    <row r="139" spans="2:14" x14ac:dyDescent="0.25">
      <c r="B139" s="22" t="s">
        <v>161</v>
      </c>
      <c r="C139" s="4" t="s">
        <v>19</v>
      </c>
      <c r="D139" s="4">
        <v>61</v>
      </c>
      <c r="E139" s="5" t="s">
        <v>6</v>
      </c>
      <c r="F139" s="9">
        <v>44982</v>
      </c>
      <c r="G139" s="4">
        <v>150</v>
      </c>
      <c r="H139" s="23">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Row],[Duration]]&lt;=30,"10 TO 30 MINS",
     CALLS[[#This Row],[Duration]]&lt;=120,"1 TO 2 HOURS",
     TRUE,"&gt; 2 HOURS")</f>
        <v>1 TO 2 HOURS</v>
      </c>
      <c r="L139">
        <f>ROUND(CALLS[[#This Row],[Satisfaction Rating]],0)</f>
        <v>5</v>
      </c>
      <c r="M139" cm="1">
        <f t="array" ref="M139">_xlfn.IFS(CALLS[[#This Row],[DURATION BACKET]]="UNDER 10 MINS",1,
     CALLS[[#This Row],[DURATION BACKET]]="10 TO 30 MINS",2,
     CALLS[[#This Row],[DURATION BACKET]]="1 TO 2 HOURS",3,
     CALLS[[#This Row],[DURATION BACKET]]="&gt; 2 HOURS",4)</f>
        <v>3</v>
      </c>
      <c r="N139">
        <f>(CALLS[[#This Row],[Purchase Amount]]/ 1)</f>
        <v>150</v>
      </c>
    </row>
    <row r="140" spans="2:14" x14ac:dyDescent="0.25">
      <c r="B140" s="22" t="s">
        <v>162</v>
      </c>
      <c r="C140" s="4" t="s">
        <v>22</v>
      </c>
      <c r="D140" s="4">
        <v>62</v>
      </c>
      <c r="E140" s="5" t="s">
        <v>10</v>
      </c>
      <c r="F140" s="9">
        <v>44982</v>
      </c>
      <c r="G140" s="4">
        <v>21</v>
      </c>
      <c r="H140" s="23">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Row],[Duration]]&lt;=30,"10 TO 30 MINS",
     CALLS[[#This Row],[Duration]]&lt;=120,"1 TO 2 HOURS",
     TRUE,"&gt; 2 HOURS")</f>
        <v>1 TO 2 HOURS</v>
      </c>
      <c r="L140">
        <f>ROUND(CALLS[[#This Row],[Satisfaction Rating]],0)</f>
        <v>3</v>
      </c>
      <c r="M140" cm="1">
        <f t="array" ref="M140">_xlfn.IFS(CALLS[[#This Row],[DURATION BACKET]]="UNDER 10 MINS",1,
     CALLS[[#This Row],[DURATION BACKET]]="10 TO 30 MINS",2,
     CALLS[[#This Row],[DURATION BACKET]]="1 TO 2 HOURS",3,
     CALLS[[#This Row],[DURATION BACKET]]="&gt; 2 HOURS",4)</f>
        <v>3</v>
      </c>
      <c r="N140">
        <f>(CALLS[[#This Row],[Purchase Amount]]/ 1)</f>
        <v>21</v>
      </c>
    </row>
    <row r="141" spans="2:14" x14ac:dyDescent="0.25">
      <c r="B141" s="22" t="s">
        <v>163</v>
      </c>
      <c r="C141" s="4" t="s">
        <v>17</v>
      </c>
      <c r="D141" s="4">
        <v>151</v>
      </c>
      <c r="E141" s="5" t="s">
        <v>13</v>
      </c>
      <c r="F141" s="9">
        <v>44983</v>
      </c>
      <c r="G141" s="4">
        <v>46</v>
      </c>
      <c r="H141" s="23">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Row],[Duration]]&lt;=30,"10 TO 30 MINS",
     CALLS[[#This Row],[Duration]]&lt;=120,"1 TO 2 HOURS",
     TRUE,"&gt; 2 HOURS")</f>
        <v>&gt; 2 HOURS</v>
      </c>
      <c r="L141">
        <f>ROUND(CALLS[[#This Row],[Satisfaction Rating]],0)</f>
        <v>5</v>
      </c>
      <c r="M141" cm="1">
        <f t="array" ref="M141">_xlfn.IFS(CALLS[[#This Row],[DURATION BACKET]]="UNDER 10 MINS",1,
     CALLS[[#This Row],[DURATION BACKET]]="10 TO 30 MINS",2,
     CALLS[[#This Row],[DURATION BACKET]]="1 TO 2 HOURS",3,
     CALLS[[#This Row],[DURATION BACKET]]="&gt; 2 HOURS",4)</f>
        <v>4</v>
      </c>
      <c r="N141">
        <f>(CALLS[[#This Row],[Purchase Amount]]/ 1)</f>
        <v>46</v>
      </c>
    </row>
    <row r="142" spans="2:14" x14ac:dyDescent="0.25">
      <c r="B142" s="22" t="s">
        <v>164</v>
      </c>
      <c r="C142" s="4" t="s">
        <v>16</v>
      </c>
      <c r="D142" s="4">
        <v>102</v>
      </c>
      <c r="E142" s="5" t="s">
        <v>11</v>
      </c>
      <c r="F142" s="9">
        <v>44983</v>
      </c>
      <c r="G142" s="4">
        <v>165</v>
      </c>
      <c r="H142" s="23">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Row],[Duration]]&lt;=30,"10 TO 30 MINS",
     CALLS[[#This Row],[Duration]]&lt;=120,"1 TO 2 HOURS",
     TRUE,"&gt; 2 HOURS")</f>
        <v>1 TO 2 HOURS</v>
      </c>
      <c r="L142">
        <f>ROUND(CALLS[[#This Row],[Satisfaction Rating]],0)</f>
        <v>3</v>
      </c>
      <c r="M142" cm="1">
        <f t="array" ref="M142">_xlfn.IFS(CALLS[[#This Row],[DURATION BACKET]]="UNDER 10 MINS",1,
     CALLS[[#This Row],[DURATION BACKET]]="10 TO 30 MINS",2,
     CALLS[[#This Row],[DURATION BACKET]]="1 TO 2 HOURS",3,
     CALLS[[#This Row],[DURATION BACKET]]="&gt; 2 HOURS",4)</f>
        <v>3</v>
      </c>
      <c r="N142">
        <f>(CALLS[[#This Row],[Purchase Amount]]/ 1)</f>
        <v>165</v>
      </c>
    </row>
    <row r="143" spans="2:14" x14ac:dyDescent="0.25">
      <c r="B143" s="22" t="s">
        <v>165</v>
      </c>
      <c r="C143" s="4" t="s">
        <v>7</v>
      </c>
      <c r="D143" s="4">
        <v>64</v>
      </c>
      <c r="E143" s="5" t="s">
        <v>10</v>
      </c>
      <c r="F143" s="9">
        <v>44983</v>
      </c>
      <c r="G143" s="4">
        <v>84</v>
      </c>
      <c r="H143" s="2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Row],[Duration]]&lt;=30,"10 TO 30 MINS",
     CALLS[[#This Row],[Duration]]&lt;=120,"1 TO 2 HOURS",
     TRUE,"&gt; 2 HOURS")</f>
        <v>1 TO 2 HOURS</v>
      </c>
      <c r="L143">
        <f>ROUND(CALLS[[#This Row],[Satisfaction Rating]],0)</f>
        <v>4</v>
      </c>
      <c r="M143" cm="1">
        <f t="array" ref="M143">_xlfn.IFS(CALLS[[#This Row],[DURATION BACKET]]="UNDER 10 MINS",1,
     CALLS[[#This Row],[DURATION BACKET]]="10 TO 30 MINS",2,
     CALLS[[#This Row],[DURATION BACKET]]="1 TO 2 HOURS",3,
     CALLS[[#This Row],[DURATION BACKET]]="&gt; 2 HOURS",4)</f>
        <v>3</v>
      </c>
      <c r="N143">
        <f>(CALLS[[#This Row],[Purchase Amount]]/ 1)</f>
        <v>84</v>
      </c>
    </row>
    <row r="144" spans="2:14" x14ac:dyDescent="0.25">
      <c r="B144" s="22" t="s">
        <v>166</v>
      </c>
      <c r="C144" s="4" t="s">
        <v>12</v>
      </c>
      <c r="D144" s="4">
        <v>6</v>
      </c>
      <c r="E144" s="5" t="s">
        <v>11</v>
      </c>
      <c r="F144" s="9">
        <v>44984</v>
      </c>
      <c r="G144" s="4">
        <v>102</v>
      </c>
      <c r="H144" s="23">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Row],[Duration]]&lt;=30,"10 TO 30 MINS",
     CALLS[[#This Row],[Duration]]&lt;=120,"1 TO 2 HOURS",
     TRUE,"&gt; 2 HOURS")</f>
        <v>UNDER 10 MINS</v>
      </c>
      <c r="L144">
        <f>ROUND(CALLS[[#This Row],[Satisfaction Rating]],0)</f>
        <v>4</v>
      </c>
      <c r="M144" cm="1">
        <f t="array" ref="M144">_xlfn.IFS(CALLS[[#This Row],[DURATION BACKET]]="UNDER 10 MINS",1,
     CALLS[[#This Row],[DURATION BACKET]]="10 TO 30 MINS",2,
     CALLS[[#This Row],[DURATION BACKET]]="1 TO 2 HOURS",3,
     CALLS[[#This Row],[DURATION BACKET]]="&gt; 2 HOURS",4)</f>
        <v>1</v>
      </c>
      <c r="N144">
        <f>(CALLS[[#This Row],[Purchase Amount]]/ 1)</f>
        <v>102</v>
      </c>
    </row>
    <row r="145" spans="2:14" x14ac:dyDescent="0.25">
      <c r="B145" s="22" t="s">
        <v>167</v>
      </c>
      <c r="C145" s="4" t="s">
        <v>7</v>
      </c>
      <c r="D145" s="4">
        <v>129</v>
      </c>
      <c r="E145" s="5" t="s">
        <v>10</v>
      </c>
      <c r="F145" s="9">
        <v>44984</v>
      </c>
      <c r="G145" s="4">
        <v>180</v>
      </c>
      <c r="H145" s="23">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Row],[Duration]]&lt;=30,"10 TO 30 MINS",
     CALLS[[#This Row],[Duration]]&lt;=120,"1 TO 2 HOURS",
     TRUE,"&gt; 2 HOURS")</f>
        <v>&gt; 2 HOURS</v>
      </c>
      <c r="L145">
        <f>ROUND(CALLS[[#This Row],[Satisfaction Rating]],0)</f>
        <v>5</v>
      </c>
      <c r="M145" cm="1">
        <f t="array" ref="M145">_xlfn.IFS(CALLS[[#This Row],[DURATION BACKET]]="UNDER 10 MINS",1,
     CALLS[[#This Row],[DURATION BACKET]]="10 TO 30 MINS",2,
     CALLS[[#This Row],[DURATION BACKET]]="1 TO 2 HOURS",3,
     CALLS[[#This Row],[DURATION BACKET]]="&gt; 2 HOURS",4)</f>
        <v>4</v>
      </c>
      <c r="N145">
        <f>(CALLS[[#This Row],[Purchase Amount]]/ 1)</f>
        <v>180</v>
      </c>
    </row>
    <row r="146" spans="2:14" x14ac:dyDescent="0.25">
      <c r="B146" s="22" t="s">
        <v>168</v>
      </c>
      <c r="C146" s="4" t="s">
        <v>22</v>
      </c>
      <c r="D146" s="4">
        <v>42</v>
      </c>
      <c r="E146" s="5" t="s">
        <v>13</v>
      </c>
      <c r="F146" s="9">
        <v>44985</v>
      </c>
      <c r="G146" s="4">
        <v>111</v>
      </c>
      <c r="H146" s="23">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Row],[Duration]]&lt;=30,"10 TO 30 MINS",
     CALLS[[#This Row],[Duration]]&lt;=120,"1 TO 2 HOURS",
     TRUE,"&gt; 2 HOURS")</f>
        <v>1 TO 2 HOURS</v>
      </c>
      <c r="L146">
        <f>ROUND(CALLS[[#This Row],[Satisfaction Rating]],0)</f>
        <v>3</v>
      </c>
      <c r="M146" cm="1">
        <f t="array" ref="M146">_xlfn.IFS(CALLS[[#This Row],[DURATION BACKET]]="UNDER 10 MINS",1,
     CALLS[[#This Row],[DURATION BACKET]]="10 TO 30 MINS",2,
     CALLS[[#This Row],[DURATION BACKET]]="1 TO 2 HOURS",3,
     CALLS[[#This Row],[DURATION BACKET]]="&gt; 2 HOURS",4)</f>
        <v>3</v>
      </c>
      <c r="N146">
        <f>(CALLS[[#This Row],[Purchase Amount]]/ 1)</f>
        <v>111</v>
      </c>
    </row>
    <row r="147" spans="2:14" x14ac:dyDescent="0.25">
      <c r="B147" s="22" t="s">
        <v>169</v>
      </c>
      <c r="C147" s="4" t="s">
        <v>22</v>
      </c>
      <c r="D147" s="4">
        <v>71</v>
      </c>
      <c r="E147" s="5" t="s">
        <v>6</v>
      </c>
      <c r="F147" s="9">
        <v>44985</v>
      </c>
      <c r="G147" s="4">
        <v>104</v>
      </c>
      <c r="H147" s="23">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Row],[Duration]]&lt;=30,"10 TO 30 MINS",
     CALLS[[#This Row],[Duration]]&lt;=120,"1 TO 2 HOURS",
     TRUE,"&gt; 2 HOURS")</f>
        <v>1 TO 2 HOURS</v>
      </c>
      <c r="L147">
        <f>ROUND(CALLS[[#This Row],[Satisfaction Rating]],0)</f>
        <v>3</v>
      </c>
      <c r="M147" cm="1">
        <f t="array" ref="M147">_xlfn.IFS(CALLS[[#This Row],[DURATION BACKET]]="UNDER 10 MINS",1,
     CALLS[[#This Row],[DURATION BACKET]]="10 TO 30 MINS",2,
     CALLS[[#This Row],[DURATION BACKET]]="1 TO 2 HOURS",3,
     CALLS[[#This Row],[DURATION BACKET]]="&gt; 2 HOURS",4)</f>
        <v>3</v>
      </c>
      <c r="N147">
        <f>(CALLS[[#This Row],[Purchase Amount]]/ 1)</f>
        <v>104</v>
      </c>
    </row>
    <row r="148" spans="2:14" x14ac:dyDescent="0.25">
      <c r="B148" s="22" t="s">
        <v>170</v>
      </c>
      <c r="C148" s="4" t="s">
        <v>23</v>
      </c>
      <c r="D148" s="4">
        <v>53</v>
      </c>
      <c r="E148" s="5" t="s">
        <v>11</v>
      </c>
      <c r="F148" s="9">
        <v>44985</v>
      </c>
      <c r="G148" s="4">
        <v>80</v>
      </c>
      <c r="H148" s="23">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Row],[Duration]]&lt;=30,"10 TO 30 MINS",
     CALLS[[#This Row],[Duration]]&lt;=120,"1 TO 2 HOURS",
     TRUE,"&gt; 2 HOURS")</f>
        <v>1 TO 2 HOURS</v>
      </c>
      <c r="L148">
        <f>ROUND(CALLS[[#This Row],[Satisfaction Rating]],0)</f>
        <v>3</v>
      </c>
      <c r="M148" cm="1">
        <f t="array" ref="M148">_xlfn.IFS(CALLS[[#This Row],[DURATION BACKET]]="UNDER 10 MINS",1,
     CALLS[[#This Row],[DURATION BACKET]]="10 TO 30 MINS",2,
     CALLS[[#This Row],[DURATION BACKET]]="1 TO 2 HOURS",3,
     CALLS[[#This Row],[DURATION BACKET]]="&gt; 2 HOURS",4)</f>
        <v>3</v>
      </c>
      <c r="N148">
        <f>(CALLS[[#This Row],[Purchase Amount]]/ 1)</f>
        <v>80</v>
      </c>
    </row>
    <row r="149" spans="2:14" x14ac:dyDescent="0.25">
      <c r="B149" s="22" t="s">
        <v>171</v>
      </c>
      <c r="C149" s="4" t="s">
        <v>8</v>
      </c>
      <c r="D149" s="4">
        <v>155</v>
      </c>
      <c r="E149" s="5" t="s">
        <v>6</v>
      </c>
      <c r="F149" s="9">
        <v>44986</v>
      </c>
      <c r="G149" s="4">
        <v>132</v>
      </c>
      <c r="H149" s="23">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Row],[Duration]]&lt;=30,"10 TO 30 MINS",
     CALLS[[#This Row],[Duration]]&lt;=120,"1 TO 2 HOURS",
     TRUE,"&gt; 2 HOURS")</f>
        <v>&gt; 2 HOURS</v>
      </c>
      <c r="L149">
        <f>ROUND(CALLS[[#This Row],[Satisfaction Rating]],0)</f>
        <v>5</v>
      </c>
      <c r="M149" cm="1">
        <f t="array" ref="M149">_xlfn.IFS(CALLS[[#This Row],[DURATION BACKET]]="UNDER 10 MINS",1,
     CALLS[[#This Row],[DURATION BACKET]]="10 TO 30 MINS",2,
     CALLS[[#This Row],[DURATION BACKET]]="1 TO 2 HOURS",3,
     CALLS[[#This Row],[DURATION BACKET]]="&gt; 2 HOURS",4)</f>
        <v>4</v>
      </c>
      <c r="N149">
        <f>(CALLS[[#This Row],[Purchase Amount]]/ 1)</f>
        <v>132</v>
      </c>
    </row>
    <row r="150" spans="2:14" x14ac:dyDescent="0.25">
      <c r="B150" s="22" t="s">
        <v>172</v>
      </c>
      <c r="C150" s="4" t="s">
        <v>8</v>
      </c>
      <c r="D150" s="4">
        <v>90</v>
      </c>
      <c r="E150" s="5" t="s">
        <v>13</v>
      </c>
      <c r="F150" s="9">
        <v>44986</v>
      </c>
      <c r="G150" s="4">
        <v>170</v>
      </c>
      <c r="H150" s="23">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Row],[Duration]]&lt;=30,"10 TO 30 MINS",
     CALLS[[#This Row],[Duration]]&lt;=120,"1 TO 2 HOURS",
     TRUE,"&gt; 2 HOURS")</f>
        <v>1 TO 2 HOURS</v>
      </c>
      <c r="L150">
        <f>ROUND(CALLS[[#This Row],[Satisfaction Rating]],0)</f>
        <v>4</v>
      </c>
      <c r="M150" cm="1">
        <f t="array" ref="M150">_xlfn.IFS(CALLS[[#This Row],[DURATION BACKET]]="UNDER 10 MINS",1,
     CALLS[[#This Row],[DURATION BACKET]]="10 TO 30 MINS",2,
     CALLS[[#This Row],[DURATION BACKET]]="1 TO 2 HOURS",3,
     CALLS[[#This Row],[DURATION BACKET]]="&gt; 2 HOURS",4)</f>
        <v>3</v>
      </c>
      <c r="N150">
        <f>(CALLS[[#This Row],[Purchase Amount]]/ 1)</f>
        <v>170</v>
      </c>
    </row>
    <row r="151" spans="2:14" x14ac:dyDescent="0.25">
      <c r="B151" s="22" t="s">
        <v>173</v>
      </c>
      <c r="C151" s="4" t="s">
        <v>7</v>
      </c>
      <c r="D151" s="4">
        <v>166</v>
      </c>
      <c r="E151" s="5" t="s">
        <v>9</v>
      </c>
      <c r="F151" s="9">
        <v>44986</v>
      </c>
      <c r="G151" s="4">
        <v>36</v>
      </c>
      <c r="H151" s="23">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Row],[Duration]]&lt;=30,"10 TO 30 MINS",
     CALLS[[#This Row],[Duration]]&lt;=120,"1 TO 2 HOURS",
     TRUE,"&gt; 2 HOURS")</f>
        <v>&gt; 2 HOURS</v>
      </c>
      <c r="L151">
        <f>ROUND(CALLS[[#This Row],[Satisfaction Rating]],0)</f>
        <v>4</v>
      </c>
      <c r="M151" cm="1">
        <f t="array" ref="M151">_xlfn.IFS(CALLS[[#This Row],[DURATION BACKET]]="UNDER 10 MINS",1,
     CALLS[[#This Row],[DURATION BACKET]]="10 TO 30 MINS",2,
     CALLS[[#This Row],[DURATION BACKET]]="1 TO 2 HOURS",3,
     CALLS[[#This Row],[DURATION BACKET]]="&gt; 2 HOURS",4)</f>
        <v>4</v>
      </c>
      <c r="N151">
        <f>(CALLS[[#This Row],[Purchase Amount]]/ 1)</f>
        <v>36</v>
      </c>
    </row>
    <row r="152" spans="2:14" x14ac:dyDescent="0.25">
      <c r="B152" s="22" t="s">
        <v>174</v>
      </c>
      <c r="C152" s="4" t="s">
        <v>24</v>
      </c>
      <c r="D152" s="4">
        <v>89</v>
      </c>
      <c r="E152" s="5" t="s">
        <v>6</v>
      </c>
      <c r="F152" s="9">
        <v>44986</v>
      </c>
      <c r="G152" s="4">
        <v>126</v>
      </c>
      <c r="H152" s="23">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Row],[Duration]]&lt;=30,"10 TO 30 MINS",
     CALLS[[#This Row],[Duration]]&lt;=120,"1 TO 2 HOURS",
     TRUE,"&gt; 2 HOURS")</f>
        <v>1 TO 2 HOURS</v>
      </c>
      <c r="L152">
        <f>ROUND(CALLS[[#This Row],[Satisfaction Rating]],0)</f>
        <v>4</v>
      </c>
      <c r="M152" cm="1">
        <f t="array" ref="M152">_xlfn.IFS(CALLS[[#This Row],[DURATION BACKET]]="UNDER 10 MINS",1,
     CALLS[[#This Row],[DURATION BACKET]]="10 TO 30 MINS",2,
     CALLS[[#This Row],[DURATION BACKET]]="1 TO 2 HOURS",3,
     CALLS[[#This Row],[DURATION BACKET]]="&gt; 2 HOURS",4)</f>
        <v>3</v>
      </c>
      <c r="N152">
        <f>(CALLS[[#This Row],[Purchase Amount]]/ 1)</f>
        <v>126</v>
      </c>
    </row>
    <row r="153" spans="2:14" x14ac:dyDescent="0.25">
      <c r="B153" s="22" t="s">
        <v>175</v>
      </c>
      <c r="C153" s="4" t="s">
        <v>19</v>
      </c>
      <c r="D153" s="4">
        <v>152</v>
      </c>
      <c r="E153" s="5" t="s">
        <v>11</v>
      </c>
      <c r="F153" s="9">
        <v>44986</v>
      </c>
      <c r="G153" s="4">
        <v>215</v>
      </c>
      <c r="H153" s="2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Row],[Duration]]&lt;=30,"10 TO 30 MINS",
     CALLS[[#This Row],[Duration]]&lt;=120,"1 TO 2 HOURS",
     TRUE,"&gt; 2 HOURS")</f>
        <v>&gt; 2 HOURS</v>
      </c>
      <c r="L153">
        <f>ROUND(CALLS[[#This Row],[Satisfaction Rating]],0)</f>
        <v>4</v>
      </c>
      <c r="M153" cm="1">
        <f t="array" ref="M153">_xlfn.IFS(CALLS[[#This Row],[DURATION BACKET]]="UNDER 10 MINS",1,
     CALLS[[#This Row],[DURATION BACKET]]="10 TO 30 MINS",2,
     CALLS[[#This Row],[DURATION BACKET]]="1 TO 2 HOURS",3,
     CALLS[[#This Row],[DURATION BACKET]]="&gt; 2 HOURS",4)</f>
        <v>4</v>
      </c>
      <c r="N153">
        <f>(CALLS[[#This Row],[Purchase Amount]]/ 1)</f>
        <v>215</v>
      </c>
    </row>
    <row r="154" spans="2:14" x14ac:dyDescent="0.25">
      <c r="B154" s="22" t="s">
        <v>176</v>
      </c>
      <c r="C154" s="4" t="s">
        <v>24</v>
      </c>
      <c r="D154" s="4">
        <v>137</v>
      </c>
      <c r="E154" s="5" t="s">
        <v>13</v>
      </c>
      <c r="F154" s="9">
        <v>44986</v>
      </c>
      <c r="G154" s="4">
        <v>114</v>
      </c>
      <c r="H154" s="23">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Row],[Duration]]&lt;=30,"10 TO 30 MINS",
     CALLS[[#This Row],[Duration]]&lt;=120,"1 TO 2 HOURS",
     TRUE,"&gt; 2 HOURS")</f>
        <v>&gt; 2 HOURS</v>
      </c>
      <c r="L154">
        <f>ROUND(CALLS[[#This Row],[Satisfaction Rating]],0)</f>
        <v>3</v>
      </c>
      <c r="M154" cm="1">
        <f t="array" ref="M154">_xlfn.IFS(CALLS[[#This Row],[DURATION BACKET]]="UNDER 10 MINS",1,
     CALLS[[#This Row],[DURATION BACKET]]="10 TO 30 MINS",2,
     CALLS[[#This Row],[DURATION BACKET]]="1 TO 2 HOURS",3,
     CALLS[[#This Row],[DURATION BACKET]]="&gt; 2 HOURS",4)</f>
        <v>4</v>
      </c>
      <c r="N154">
        <f>(CALLS[[#This Row],[Purchase Amount]]/ 1)</f>
        <v>114</v>
      </c>
    </row>
    <row r="155" spans="2:14" x14ac:dyDescent="0.25">
      <c r="B155" s="22" t="s">
        <v>177</v>
      </c>
      <c r="C155" s="4" t="s">
        <v>24</v>
      </c>
      <c r="D155" s="4">
        <v>43</v>
      </c>
      <c r="E155" s="5" t="s">
        <v>13</v>
      </c>
      <c r="F155" s="9">
        <v>44986</v>
      </c>
      <c r="G155" s="4">
        <v>99</v>
      </c>
      <c r="H155" s="23">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Row],[Duration]]&lt;=30,"10 TO 30 MINS",
     CALLS[[#This Row],[Duration]]&lt;=120,"1 TO 2 HOURS",
     TRUE,"&gt; 2 HOURS")</f>
        <v>1 TO 2 HOURS</v>
      </c>
      <c r="L155">
        <f>ROUND(CALLS[[#This Row],[Satisfaction Rating]],0)</f>
        <v>5</v>
      </c>
      <c r="M155" cm="1">
        <f t="array" ref="M155">_xlfn.IFS(CALLS[[#This Row],[DURATION BACKET]]="UNDER 10 MINS",1,
     CALLS[[#This Row],[DURATION BACKET]]="10 TO 30 MINS",2,
     CALLS[[#This Row],[DURATION BACKET]]="1 TO 2 HOURS",3,
     CALLS[[#This Row],[DURATION BACKET]]="&gt; 2 HOURS",4)</f>
        <v>3</v>
      </c>
      <c r="N155">
        <f>(CALLS[[#This Row],[Purchase Amount]]/ 1)</f>
        <v>99</v>
      </c>
    </row>
    <row r="156" spans="2:14" x14ac:dyDescent="0.25">
      <c r="B156" s="22" t="s">
        <v>178</v>
      </c>
      <c r="C156" s="4" t="s">
        <v>18</v>
      </c>
      <c r="D156" s="4">
        <v>114</v>
      </c>
      <c r="E156" s="5" t="s">
        <v>13</v>
      </c>
      <c r="F156" s="9">
        <v>44987</v>
      </c>
      <c r="G156" s="4">
        <v>23</v>
      </c>
      <c r="H156" s="23">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Row],[Duration]]&lt;=30,"10 TO 30 MINS",
     CALLS[[#This Row],[Duration]]&lt;=120,"1 TO 2 HOURS",
     TRUE,"&gt; 2 HOURS")</f>
        <v>1 TO 2 HOURS</v>
      </c>
      <c r="L156">
        <f>ROUND(CALLS[[#This Row],[Satisfaction Rating]],0)</f>
        <v>5</v>
      </c>
      <c r="M156" cm="1">
        <f t="array" ref="M156">_xlfn.IFS(CALLS[[#This Row],[DURATION BACKET]]="UNDER 10 MINS",1,
     CALLS[[#This Row],[DURATION BACKET]]="10 TO 30 MINS",2,
     CALLS[[#This Row],[DURATION BACKET]]="1 TO 2 HOURS",3,
     CALLS[[#This Row],[DURATION BACKET]]="&gt; 2 HOURS",4)</f>
        <v>3</v>
      </c>
      <c r="N156">
        <f>(CALLS[[#This Row],[Purchase Amount]]/ 1)</f>
        <v>23</v>
      </c>
    </row>
    <row r="157" spans="2:14" x14ac:dyDescent="0.25">
      <c r="B157" s="22" t="s">
        <v>179</v>
      </c>
      <c r="C157" s="4" t="s">
        <v>21</v>
      </c>
      <c r="D157" s="4">
        <v>103</v>
      </c>
      <c r="E157" s="5" t="s">
        <v>6</v>
      </c>
      <c r="F157" s="9">
        <v>44987</v>
      </c>
      <c r="G157" s="4">
        <v>75</v>
      </c>
      <c r="H157" s="23">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Row],[Duration]]&lt;=30,"10 TO 30 MINS",
     CALLS[[#This Row],[Duration]]&lt;=120,"1 TO 2 HOURS",
     TRUE,"&gt; 2 HOURS")</f>
        <v>1 TO 2 HOURS</v>
      </c>
      <c r="L157">
        <f>ROUND(CALLS[[#This Row],[Satisfaction Rating]],0)</f>
        <v>3</v>
      </c>
      <c r="M157" cm="1">
        <f t="array" ref="M157">_xlfn.IFS(CALLS[[#This Row],[DURATION BACKET]]="UNDER 10 MINS",1,
     CALLS[[#This Row],[DURATION BACKET]]="10 TO 30 MINS",2,
     CALLS[[#This Row],[DURATION BACKET]]="1 TO 2 HOURS",3,
     CALLS[[#This Row],[DURATION BACKET]]="&gt; 2 HOURS",4)</f>
        <v>3</v>
      </c>
      <c r="N157">
        <f>(CALLS[[#This Row],[Purchase Amount]]/ 1)</f>
        <v>75</v>
      </c>
    </row>
    <row r="158" spans="2:14" x14ac:dyDescent="0.25">
      <c r="B158" s="22" t="s">
        <v>180</v>
      </c>
      <c r="C158" s="4" t="s">
        <v>24</v>
      </c>
      <c r="D158" s="4">
        <v>98</v>
      </c>
      <c r="E158" s="5" t="s">
        <v>11</v>
      </c>
      <c r="F158" s="9">
        <v>44987</v>
      </c>
      <c r="G158" s="4">
        <v>100</v>
      </c>
      <c r="H158" s="23">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Row],[Duration]]&lt;=30,"10 TO 30 MINS",
     CALLS[[#This Row],[Duration]]&lt;=120,"1 TO 2 HOURS",
     TRUE,"&gt; 2 HOURS")</f>
        <v>1 TO 2 HOURS</v>
      </c>
      <c r="L158">
        <f>ROUND(CALLS[[#This Row],[Satisfaction Rating]],0)</f>
        <v>4</v>
      </c>
      <c r="M158" cm="1">
        <f t="array" ref="M158">_xlfn.IFS(CALLS[[#This Row],[DURATION BACKET]]="UNDER 10 MINS",1,
     CALLS[[#This Row],[DURATION BACKET]]="10 TO 30 MINS",2,
     CALLS[[#This Row],[DURATION BACKET]]="1 TO 2 HOURS",3,
     CALLS[[#This Row],[DURATION BACKET]]="&gt; 2 HOURS",4)</f>
        <v>3</v>
      </c>
      <c r="N158">
        <f>(CALLS[[#This Row],[Purchase Amount]]/ 1)</f>
        <v>100</v>
      </c>
    </row>
    <row r="159" spans="2:14" x14ac:dyDescent="0.25">
      <c r="B159" s="22" t="s">
        <v>181</v>
      </c>
      <c r="C159" s="4" t="s">
        <v>7</v>
      </c>
      <c r="D159" s="4">
        <v>106</v>
      </c>
      <c r="E159" s="5" t="s">
        <v>9</v>
      </c>
      <c r="F159" s="9">
        <v>44987</v>
      </c>
      <c r="G159" s="4">
        <v>108</v>
      </c>
      <c r="H159" s="23">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Row],[Duration]]&lt;=30,"10 TO 30 MINS",
     CALLS[[#This Row],[Duration]]&lt;=120,"1 TO 2 HOURS",
     TRUE,"&gt; 2 HOURS")</f>
        <v>1 TO 2 HOURS</v>
      </c>
      <c r="L159">
        <f>ROUND(CALLS[[#This Row],[Satisfaction Rating]],0)</f>
        <v>4</v>
      </c>
      <c r="M159" cm="1">
        <f t="array" ref="M159">_xlfn.IFS(CALLS[[#This Row],[DURATION BACKET]]="UNDER 10 MINS",1,
     CALLS[[#This Row],[DURATION BACKET]]="10 TO 30 MINS",2,
     CALLS[[#This Row],[DURATION BACKET]]="1 TO 2 HOURS",3,
     CALLS[[#This Row],[DURATION BACKET]]="&gt; 2 HOURS",4)</f>
        <v>3</v>
      </c>
      <c r="N159">
        <f>(CALLS[[#This Row],[Purchase Amount]]/ 1)</f>
        <v>108</v>
      </c>
    </row>
    <row r="160" spans="2:14" x14ac:dyDescent="0.25">
      <c r="B160" s="22" t="s">
        <v>182</v>
      </c>
      <c r="C160" s="4" t="s">
        <v>12</v>
      </c>
      <c r="D160" s="4">
        <v>96</v>
      </c>
      <c r="E160" s="5" t="s">
        <v>9</v>
      </c>
      <c r="F160" s="9">
        <v>44987</v>
      </c>
      <c r="G160" s="4">
        <v>108</v>
      </c>
      <c r="H160" s="23">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Row],[Duration]]&lt;=30,"10 TO 30 MINS",
     CALLS[[#This Row],[Duration]]&lt;=120,"1 TO 2 HOURS",
     TRUE,"&gt; 2 HOURS")</f>
        <v>1 TO 2 HOURS</v>
      </c>
      <c r="L160">
        <f>ROUND(CALLS[[#This Row],[Satisfaction Rating]],0)</f>
        <v>5</v>
      </c>
      <c r="M160" cm="1">
        <f t="array" ref="M160">_xlfn.IFS(CALLS[[#This Row],[DURATION BACKET]]="UNDER 10 MINS",1,
     CALLS[[#This Row],[DURATION BACKET]]="10 TO 30 MINS",2,
     CALLS[[#This Row],[DURATION BACKET]]="1 TO 2 HOURS",3,
     CALLS[[#This Row],[DURATION BACKET]]="&gt; 2 HOURS",4)</f>
        <v>3</v>
      </c>
      <c r="N160">
        <f>(CALLS[[#This Row],[Purchase Amount]]/ 1)</f>
        <v>108</v>
      </c>
    </row>
    <row r="161" spans="2:14" x14ac:dyDescent="0.25">
      <c r="B161" s="22" t="s">
        <v>183</v>
      </c>
      <c r="C161" s="4" t="s">
        <v>21</v>
      </c>
      <c r="D161" s="4">
        <v>70</v>
      </c>
      <c r="E161" s="5" t="s">
        <v>9</v>
      </c>
      <c r="F161" s="9">
        <v>44987</v>
      </c>
      <c r="G161" s="4">
        <v>28</v>
      </c>
      <c r="H161" s="23">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Row],[Duration]]&lt;=30,"10 TO 30 MINS",
     CALLS[[#This Row],[Duration]]&lt;=120,"1 TO 2 HOURS",
     TRUE,"&gt; 2 HOURS")</f>
        <v>1 TO 2 HOURS</v>
      </c>
      <c r="L161">
        <f>ROUND(CALLS[[#This Row],[Satisfaction Rating]],0)</f>
        <v>5</v>
      </c>
      <c r="M161" cm="1">
        <f t="array" ref="M161">_xlfn.IFS(CALLS[[#This Row],[DURATION BACKET]]="UNDER 10 MINS",1,
     CALLS[[#This Row],[DURATION BACKET]]="10 TO 30 MINS",2,
     CALLS[[#This Row],[DURATION BACKET]]="1 TO 2 HOURS",3,
     CALLS[[#This Row],[DURATION BACKET]]="&gt; 2 HOURS",4)</f>
        <v>3</v>
      </c>
      <c r="N161">
        <f>(CALLS[[#This Row],[Purchase Amount]]/ 1)</f>
        <v>28</v>
      </c>
    </row>
    <row r="162" spans="2:14" x14ac:dyDescent="0.25">
      <c r="B162" s="22" t="s">
        <v>184</v>
      </c>
      <c r="C162" s="4" t="s">
        <v>22</v>
      </c>
      <c r="D162" s="4">
        <v>86</v>
      </c>
      <c r="E162" s="5" t="s">
        <v>10</v>
      </c>
      <c r="F162" s="9">
        <v>44988</v>
      </c>
      <c r="G162" s="4">
        <v>70</v>
      </c>
      <c r="H162" s="23">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Row],[Duration]]&lt;=30,"10 TO 30 MINS",
     CALLS[[#This Row],[Duration]]&lt;=120,"1 TO 2 HOURS",
     TRUE,"&gt; 2 HOURS")</f>
        <v>1 TO 2 HOURS</v>
      </c>
      <c r="L162">
        <f>ROUND(CALLS[[#This Row],[Satisfaction Rating]],0)</f>
        <v>5</v>
      </c>
      <c r="M162" cm="1">
        <f t="array" ref="M162">_xlfn.IFS(CALLS[[#This Row],[DURATION BACKET]]="UNDER 10 MINS",1,
     CALLS[[#This Row],[DURATION BACKET]]="10 TO 30 MINS",2,
     CALLS[[#This Row],[DURATION BACKET]]="1 TO 2 HOURS",3,
     CALLS[[#This Row],[DURATION BACKET]]="&gt; 2 HOURS",4)</f>
        <v>3</v>
      </c>
      <c r="N162">
        <f>(CALLS[[#This Row],[Purchase Amount]]/ 1)</f>
        <v>70</v>
      </c>
    </row>
    <row r="163" spans="2:14" x14ac:dyDescent="0.25">
      <c r="B163" s="22" t="s">
        <v>185</v>
      </c>
      <c r="C163" s="4" t="s">
        <v>23</v>
      </c>
      <c r="D163" s="4">
        <v>64</v>
      </c>
      <c r="E163" s="5" t="s">
        <v>10</v>
      </c>
      <c r="F163" s="9">
        <v>44988</v>
      </c>
      <c r="G163" s="4">
        <v>172</v>
      </c>
      <c r="H163" s="2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Row],[Duration]]&lt;=30,"10 TO 30 MINS",
     CALLS[[#This Row],[Duration]]&lt;=120,"1 TO 2 HOURS",
     TRUE,"&gt; 2 HOURS")</f>
        <v>1 TO 2 HOURS</v>
      </c>
      <c r="L163">
        <f>ROUND(CALLS[[#This Row],[Satisfaction Rating]],0)</f>
        <v>4</v>
      </c>
      <c r="M163" cm="1">
        <f t="array" ref="M163">_xlfn.IFS(CALLS[[#This Row],[DURATION BACKET]]="UNDER 10 MINS",1,
     CALLS[[#This Row],[DURATION BACKET]]="10 TO 30 MINS",2,
     CALLS[[#This Row],[DURATION BACKET]]="1 TO 2 HOURS",3,
     CALLS[[#This Row],[DURATION BACKET]]="&gt; 2 HOURS",4)</f>
        <v>3</v>
      </c>
      <c r="N163">
        <f>(CALLS[[#This Row],[Purchase Amount]]/ 1)</f>
        <v>172</v>
      </c>
    </row>
    <row r="164" spans="2:14" x14ac:dyDescent="0.25">
      <c r="B164" s="22" t="s">
        <v>186</v>
      </c>
      <c r="C164" s="4" t="s">
        <v>12</v>
      </c>
      <c r="D164" s="4">
        <v>113</v>
      </c>
      <c r="E164" s="5" t="s">
        <v>11</v>
      </c>
      <c r="F164" s="9">
        <v>44988</v>
      </c>
      <c r="G164" s="4">
        <v>123</v>
      </c>
      <c r="H164" s="23">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Row],[Duration]]&lt;=30,"10 TO 30 MINS",
     CALLS[[#This Row],[Duration]]&lt;=120,"1 TO 2 HOURS",
     TRUE,"&gt; 2 HOURS")</f>
        <v>1 TO 2 HOURS</v>
      </c>
      <c r="L164">
        <f>ROUND(CALLS[[#This Row],[Satisfaction Rating]],0)</f>
        <v>4</v>
      </c>
      <c r="M164" cm="1">
        <f t="array" ref="M164">_xlfn.IFS(CALLS[[#This Row],[DURATION BACKET]]="UNDER 10 MINS",1,
     CALLS[[#This Row],[DURATION BACKET]]="10 TO 30 MINS",2,
     CALLS[[#This Row],[DURATION BACKET]]="1 TO 2 HOURS",3,
     CALLS[[#This Row],[DURATION BACKET]]="&gt; 2 HOURS",4)</f>
        <v>3</v>
      </c>
      <c r="N164">
        <f>(CALLS[[#This Row],[Purchase Amount]]/ 1)</f>
        <v>123</v>
      </c>
    </row>
    <row r="165" spans="2:14" x14ac:dyDescent="0.25">
      <c r="B165" s="22" t="s">
        <v>187</v>
      </c>
      <c r="C165" s="4" t="s">
        <v>12</v>
      </c>
      <c r="D165" s="4">
        <v>21</v>
      </c>
      <c r="E165" s="5" t="s">
        <v>9</v>
      </c>
      <c r="F165" s="9">
        <v>44988</v>
      </c>
      <c r="G165" s="4">
        <v>93</v>
      </c>
      <c r="H165" s="23">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Row],[Duration]]&lt;=30,"10 TO 30 MINS",
     CALLS[[#This Row],[Duration]]&lt;=120,"1 TO 2 HOURS",
     TRUE,"&gt; 2 HOURS")</f>
        <v>10 TO 30 MINS</v>
      </c>
      <c r="L165">
        <f>ROUND(CALLS[[#This Row],[Satisfaction Rating]],0)</f>
        <v>3</v>
      </c>
      <c r="M165" cm="1">
        <f t="array" ref="M165">_xlfn.IFS(CALLS[[#This Row],[DURATION BACKET]]="UNDER 10 MINS",1,
     CALLS[[#This Row],[DURATION BACKET]]="10 TO 30 MINS",2,
     CALLS[[#This Row],[DURATION BACKET]]="1 TO 2 HOURS",3,
     CALLS[[#This Row],[DURATION BACKET]]="&gt; 2 HOURS",4)</f>
        <v>2</v>
      </c>
      <c r="N165">
        <f>(CALLS[[#This Row],[Purchase Amount]]/ 1)</f>
        <v>93</v>
      </c>
    </row>
    <row r="166" spans="2:14" x14ac:dyDescent="0.25">
      <c r="B166" s="22" t="s">
        <v>188</v>
      </c>
      <c r="C166" s="4" t="s">
        <v>16</v>
      </c>
      <c r="D166" s="4">
        <v>107</v>
      </c>
      <c r="E166" s="5" t="s">
        <v>10</v>
      </c>
      <c r="F166" s="9">
        <v>44988</v>
      </c>
      <c r="G166" s="4">
        <v>66</v>
      </c>
      <c r="H166" s="23">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Row],[Duration]]&lt;=30,"10 TO 30 MINS",
     CALLS[[#This Row],[Duration]]&lt;=120,"1 TO 2 HOURS",
     TRUE,"&gt; 2 HOURS")</f>
        <v>1 TO 2 HOURS</v>
      </c>
      <c r="L166">
        <f>ROUND(CALLS[[#This Row],[Satisfaction Rating]],0)</f>
        <v>4</v>
      </c>
      <c r="M166" cm="1">
        <f t="array" ref="M166">_xlfn.IFS(CALLS[[#This Row],[DURATION BACKET]]="UNDER 10 MINS",1,
     CALLS[[#This Row],[DURATION BACKET]]="10 TO 30 MINS",2,
     CALLS[[#This Row],[DURATION BACKET]]="1 TO 2 HOURS",3,
     CALLS[[#This Row],[DURATION BACKET]]="&gt; 2 HOURS",4)</f>
        <v>3</v>
      </c>
      <c r="N166">
        <f>(CALLS[[#This Row],[Purchase Amount]]/ 1)</f>
        <v>66</v>
      </c>
    </row>
    <row r="167" spans="2:14" x14ac:dyDescent="0.25">
      <c r="B167" s="22" t="s">
        <v>189</v>
      </c>
      <c r="C167" s="4" t="s">
        <v>16</v>
      </c>
      <c r="D167" s="4">
        <v>131</v>
      </c>
      <c r="E167" s="5" t="s">
        <v>9</v>
      </c>
      <c r="F167" s="9">
        <v>44988</v>
      </c>
      <c r="G167" s="4">
        <v>39</v>
      </c>
      <c r="H167" s="23">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Row],[Duration]]&lt;=30,"10 TO 30 MINS",
     CALLS[[#This Row],[Duration]]&lt;=120,"1 TO 2 HOURS",
     TRUE,"&gt; 2 HOURS")</f>
        <v>&gt; 2 HOURS</v>
      </c>
      <c r="L167">
        <f>ROUND(CALLS[[#This Row],[Satisfaction Rating]],0)</f>
        <v>2</v>
      </c>
      <c r="M167" cm="1">
        <f t="array" ref="M167">_xlfn.IFS(CALLS[[#This Row],[DURATION BACKET]]="UNDER 10 MINS",1,
     CALLS[[#This Row],[DURATION BACKET]]="10 TO 30 MINS",2,
     CALLS[[#This Row],[DURATION BACKET]]="1 TO 2 HOURS",3,
     CALLS[[#This Row],[DURATION BACKET]]="&gt; 2 HOURS",4)</f>
        <v>4</v>
      </c>
      <c r="N167">
        <f>(CALLS[[#This Row],[Purchase Amount]]/ 1)</f>
        <v>39</v>
      </c>
    </row>
    <row r="168" spans="2:14" x14ac:dyDescent="0.25">
      <c r="B168" s="22" t="s">
        <v>190</v>
      </c>
      <c r="C168" s="4" t="s">
        <v>20</v>
      </c>
      <c r="D168" s="4">
        <v>11</v>
      </c>
      <c r="E168" s="5" t="s">
        <v>6</v>
      </c>
      <c r="F168" s="9">
        <v>44988</v>
      </c>
      <c r="G168" s="4">
        <v>25</v>
      </c>
      <c r="H168" s="23">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Row],[Duration]]&lt;=30,"10 TO 30 MINS",
     CALLS[[#This Row],[Duration]]&lt;=120,"1 TO 2 HOURS",
     TRUE,"&gt; 2 HOURS")</f>
        <v>10 TO 30 MINS</v>
      </c>
      <c r="L168">
        <f>ROUND(CALLS[[#This Row],[Satisfaction Rating]],0)</f>
        <v>2</v>
      </c>
      <c r="M168" cm="1">
        <f t="array" ref="M168">_xlfn.IFS(CALLS[[#This Row],[DURATION BACKET]]="UNDER 10 MINS",1,
     CALLS[[#This Row],[DURATION BACKET]]="10 TO 30 MINS",2,
     CALLS[[#This Row],[DURATION BACKET]]="1 TO 2 HOURS",3,
     CALLS[[#This Row],[DURATION BACKET]]="&gt; 2 HOURS",4)</f>
        <v>2</v>
      </c>
      <c r="N168">
        <f>(CALLS[[#This Row],[Purchase Amount]]/ 1)</f>
        <v>25</v>
      </c>
    </row>
    <row r="169" spans="2:14" x14ac:dyDescent="0.25">
      <c r="B169" s="22" t="s">
        <v>191</v>
      </c>
      <c r="C169" s="4" t="s">
        <v>17</v>
      </c>
      <c r="D169" s="4">
        <v>86</v>
      </c>
      <c r="E169" s="5" t="s">
        <v>11</v>
      </c>
      <c r="F169" s="9">
        <v>44988</v>
      </c>
      <c r="G169" s="4">
        <v>68</v>
      </c>
      <c r="H169" s="23">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Row],[Duration]]&lt;=30,"10 TO 30 MINS",
     CALLS[[#This Row],[Duration]]&lt;=120,"1 TO 2 HOURS",
     TRUE,"&gt; 2 HOURS")</f>
        <v>1 TO 2 HOURS</v>
      </c>
      <c r="L169">
        <f>ROUND(CALLS[[#This Row],[Satisfaction Rating]],0)</f>
        <v>3</v>
      </c>
      <c r="M169" cm="1">
        <f t="array" ref="M169">_xlfn.IFS(CALLS[[#This Row],[DURATION BACKET]]="UNDER 10 MINS",1,
     CALLS[[#This Row],[DURATION BACKET]]="10 TO 30 MINS",2,
     CALLS[[#This Row],[DURATION BACKET]]="1 TO 2 HOURS",3,
     CALLS[[#This Row],[DURATION BACKET]]="&gt; 2 HOURS",4)</f>
        <v>3</v>
      </c>
      <c r="N169">
        <f>(CALLS[[#This Row],[Purchase Amount]]/ 1)</f>
        <v>68</v>
      </c>
    </row>
    <row r="170" spans="2:14" x14ac:dyDescent="0.25">
      <c r="B170" s="22" t="s">
        <v>192</v>
      </c>
      <c r="C170" s="4" t="s">
        <v>23</v>
      </c>
      <c r="D170" s="4">
        <v>28</v>
      </c>
      <c r="E170" s="5" t="s">
        <v>6</v>
      </c>
      <c r="F170" s="9">
        <v>44988</v>
      </c>
      <c r="G170" s="4">
        <v>84</v>
      </c>
      <c r="H170" s="23">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Row],[Duration]]&lt;=30,"10 TO 30 MINS",
     CALLS[[#This Row],[Duration]]&lt;=120,"1 TO 2 HOURS",
     TRUE,"&gt; 2 HOURS")</f>
        <v>10 TO 30 MINS</v>
      </c>
      <c r="L170">
        <f>ROUND(CALLS[[#This Row],[Satisfaction Rating]],0)</f>
        <v>3</v>
      </c>
      <c r="M170" cm="1">
        <f t="array" ref="M170">_xlfn.IFS(CALLS[[#This Row],[DURATION BACKET]]="UNDER 10 MINS",1,
     CALLS[[#This Row],[DURATION BACKET]]="10 TO 30 MINS",2,
     CALLS[[#This Row],[DURATION BACKET]]="1 TO 2 HOURS",3,
     CALLS[[#This Row],[DURATION BACKET]]="&gt; 2 HOURS",4)</f>
        <v>2</v>
      </c>
      <c r="N170">
        <f>(CALLS[[#This Row],[Purchase Amount]]/ 1)</f>
        <v>84</v>
      </c>
    </row>
    <row r="171" spans="2:14" x14ac:dyDescent="0.25">
      <c r="B171" s="22" t="s">
        <v>193</v>
      </c>
      <c r="C171" s="4" t="s">
        <v>8</v>
      </c>
      <c r="D171" s="4">
        <v>139</v>
      </c>
      <c r="E171" s="5" t="s">
        <v>9</v>
      </c>
      <c r="F171" s="9">
        <v>44989</v>
      </c>
      <c r="G171" s="4">
        <v>88</v>
      </c>
      <c r="H171" s="23">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Row],[Duration]]&lt;=30,"10 TO 30 MINS",
     CALLS[[#This Row],[Duration]]&lt;=120,"1 TO 2 HOURS",
     TRUE,"&gt; 2 HOURS")</f>
        <v>&gt; 2 HOURS</v>
      </c>
      <c r="L171">
        <f>ROUND(CALLS[[#This Row],[Satisfaction Rating]],0)</f>
        <v>3</v>
      </c>
      <c r="M171" cm="1">
        <f t="array" ref="M171">_xlfn.IFS(CALLS[[#This Row],[DURATION BACKET]]="UNDER 10 MINS",1,
     CALLS[[#This Row],[DURATION BACKET]]="10 TO 30 MINS",2,
     CALLS[[#This Row],[DURATION BACKET]]="1 TO 2 HOURS",3,
     CALLS[[#This Row],[DURATION BACKET]]="&gt; 2 HOURS",4)</f>
        <v>4</v>
      </c>
      <c r="N171">
        <f>(CALLS[[#This Row],[Purchase Amount]]/ 1)</f>
        <v>88</v>
      </c>
    </row>
    <row r="172" spans="2:14" x14ac:dyDescent="0.25">
      <c r="B172" s="22" t="s">
        <v>194</v>
      </c>
      <c r="C172" s="4" t="s">
        <v>7</v>
      </c>
      <c r="D172" s="4">
        <v>82</v>
      </c>
      <c r="E172" s="5" t="s">
        <v>11</v>
      </c>
      <c r="F172" s="9">
        <v>44989</v>
      </c>
      <c r="G172" s="4">
        <v>93</v>
      </c>
      <c r="H172" s="23">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Row],[Duration]]&lt;=30,"10 TO 30 MINS",
     CALLS[[#This Row],[Duration]]&lt;=120,"1 TO 2 HOURS",
     TRUE,"&gt; 2 HOURS")</f>
        <v>1 TO 2 HOURS</v>
      </c>
      <c r="L172">
        <f>ROUND(CALLS[[#This Row],[Satisfaction Rating]],0)</f>
        <v>3</v>
      </c>
      <c r="M172" cm="1">
        <f t="array" ref="M172">_xlfn.IFS(CALLS[[#This Row],[DURATION BACKET]]="UNDER 10 MINS",1,
     CALLS[[#This Row],[DURATION BACKET]]="10 TO 30 MINS",2,
     CALLS[[#This Row],[DURATION BACKET]]="1 TO 2 HOURS",3,
     CALLS[[#This Row],[DURATION BACKET]]="&gt; 2 HOURS",4)</f>
        <v>3</v>
      </c>
      <c r="N172">
        <f>(CALLS[[#This Row],[Purchase Amount]]/ 1)</f>
        <v>93</v>
      </c>
    </row>
    <row r="173" spans="2:14" x14ac:dyDescent="0.25">
      <c r="B173" s="22" t="s">
        <v>195</v>
      </c>
      <c r="C173" s="4" t="s">
        <v>12</v>
      </c>
      <c r="D173" s="4">
        <v>101</v>
      </c>
      <c r="E173" s="5" t="s">
        <v>6</v>
      </c>
      <c r="F173" s="9">
        <v>44989</v>
      </c>
      <c r="G173" s="4">
        <v>128</v>
      </c>
      <c r="H173" s="2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Row],[Duration]]&lt;=30,"10 TO 30 MINS",
     CALLS[[#This Row],[Duration]]&lt;=120,"1 TO 2 HOURS",
     TRUE,"&gt; 2 HOURS")</f>
        <v>1 TO 2 HOURS</v>
      </c>
      <c r="L173">
        <f>ROUND(CALLS[[#This Row],[Satisfaction Rating]],0)</f>
        <v>5</v>
      </c>
      <c r="M173" cm="1">
        <f t="array" ref="M173">_xlfn.IFS(CALLS[[#This Row],[DURATION BACKET]]="UNDER 10 MINS",1,
     CALLS[[#This Row],[DURATION BACKET]]="10 TO 30 MINS",2,
     CALLS[[#This Row],[DURATION BACKET]]="1 TO 2 HOURS",3,
     CALLS[[#This Row],[DURATION BACKET]]="&gt; 2 HOURS",4)</f>
        <v>3</v>
      </c>
      <c r="N173">
        <f>(CALLS[[#This Row],[Purchase Amount]]/ 1)</f>
        <v>128</v>
      </c>
    </row>
    <row r="174" spans="2:14" x14ac:dyDescent="0.25">
      <c r="B174" s="22" t="s">
        <v>196</v>
      </c>
      <c r="C174" s="4" t="s">
        <v>23</v>
      </c>
      <c r="D174" s="4">
        <v>75</v>
      </c>
      <c r="E174" s="5" t="s">
        <v>13</v>
      </c>
      <c r="F174" s="9">
        <v>44989</v>
      </c>
      <c r="G174" s="4">
        <v>40</v>
      </c>
      <c r="H174" s="23">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Row],[Duration]]&lt;=30,"10 TO 30 MINS",
     CALLS[[#This Row],[Duration]]&lt;=120,"1 TO 2 HOURS",
     TRUE,"&gt; 2 HOURS")</f>
        <v>1 TO 2 HOURS</v>
      </c>
      <c r="L174">
        <f>ROUND(CALLS[[#This Row],[Satisfaction Rating]],0)</f>
        <v>3</v>
      </c>
      <c r="M174" cm="1">
        <f t="array" ref="M174">_xlfn.IFS(CALLS[[#This Row],[DURATION BACKET]]="UNDER 10 MINS",1,
     CALLS[[#This Row],[DURATION BACKET]]="10 TO 30 MINS",2,
     CALLS[[#This Row],[DURATION BACKET]]="1 TO 2 HOURS",3,
     CALLS[[#This Row],[DURATION BACKET]]="&gt; 2 HOURS",4)</f>
        <v>3</v>
      </c>
      <c r="N174">
        <f>(CALLS[[#This Row],[Purchase Amount]]/ 1)</f>
        <v>40</v>
      </c>
    </row>
    <row r="175" spans="2:14" x14ac:dyDescent="0.25">
      <c r="B175" s="22" t="s">
        <v>197</v>
      </c>
      <c r="C175" s="4" t="s">
        <v>18</v>
      </c>
      <c r="D175" s="4">
        <v>40</v>
      </c>
      <c r="E175" s="5" t="s">
        <v>6</v>
      </c>
      <c r="F175" s="9">
        <v>44990</v>
      </c>
      <c r="G175" s="4">
        <v>92</v>
      </c>
      <c r="H175" s="23">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Row],[Duration]]&lt;=30,"10 TO 30 MINS",
     CALLS[[#This Row],[Duration]]&lt;=120,"1 TO 2 HOURS",
     TRUE,"&gt; 2 HOURS")</f>
        <v>1 TO 2 HOURS</v>
      </c>
      <c r="L175">
        <f>ROUND(CALLS[[#This Row],[Satisfaction Rating]],0)</f>
        <v>5</v>
      </c>
      <c r="M175" cm="1">
        <f t="array" ref="M175">_xlfn.IFS(CALLS[[#This Row],[DURATION BACKET]]="UNDER 10 MINS",1,
     CALLS[[#This Row],[DURATION BACKET]]="10 TO 30 MINS",2,
     CALLS[[#This Row],[DURATION BACKET]]="1 TO 2 HOURS",3,
     CALLS[[#This Row],[DURATION BACKET]]="&gt; 2 HOURS",4)</f>
        <v>3</v>
      </c>
      <c r="N175">
        <f>(CALLS[[#This Row],[Purchase Amount]]/ 1)</f>
        <v>92</v>
      </c>
    </row>
    <row r="176" spans="2:14" x14ac:dyDescent="0.25">
      <c r="B176" s="22" t="s">
        <v>198</v>
      </c>
      <c r="C176" s="4" t="s">
        <v>24</v>
      </c>
      <c r="D176" s="4">
        <v>86</v>
      </c>
      <c r="E176" s="5" t="s">
        <v>9</v>
      </c>
      <c r="F176" s="9">
        <v>44990</v>
      </c>
      <c r="G176" s="4">
        <v>27</v>
      </c>
      <c r="H176" s="23">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Row],[Duration]]&lt;=30,"10 TO 30 MINS",
     CALLS[[#This Row],[Duration]]&lt;=120,"1 TO 2 HOURS",
     TRUE,"&gt; 2 HOURS")</f>
        <v>1 TO 2 HOURS</v>
      </c>
      <c r="L176">
        <f>ROUND(CALLS[[#This Row],[Satisfaction Rating]],0)</f>
        <v>5</v>
      </c>
      <c r="M176" cm="1">
        <f t="array" ref="M176">_xlfn.IFS(CALLS[[#This Row],[DURATION BACKET]]="UNDER 10 MINS",1,
     CALLS[[#This Row],[DURATION BACKET]]="10 TO 30 MINS",2,
     CALLS[[#This Row],[DURATION BACKET]]="1 TO 2 HOURS",3,
     CALLS[[#This Row],[DURATION BACKET]]="&gt; 2 HOURS",4)</f>
        <v>3</v>
      </c>
      <c r="N176">
        <f>(CALLS[[#This Row],[Purchase Amount]]/ 1)</f>
        <v>27</v>
      </c>
    </row>
    <row r="177" spans="2:14" x14ac:dyDescent="0.25">
      <c r="B177" s="22" t="s">
        <v>199</v>
      </c>
      <c r="C177" s="4" t="s">
        <v>15</v>
      </c>
      <c r="D177" s="4">
        <v>131</v>
      </c>
      <c r="E177" s="5" t="s">
        <v>10</v>
      </c>
      <c r="F177" s="9">
        <v>44990</v>
      </c>
      <c r="G177" s="4">
        <v>140</v>
      </c>
      <c r="H177" s="23">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Row],[Duration]]&lt;=30,"10 TO 30 MINS",
     CALLS[[#This Row],[Duration]]&lt;=120,"1 TO 2 HOURS",
     TRUE,"&gt; 2 HOURS")</f>
        <v>&gt; 2 HOURS</v>
      </c>
      <c r="L177">
        <f>ROUND(CALLS[[#This Row],[Satisfaction Rating]],0)</f>
        <v>4</v>
      </c>
      <c r="M177" cm="1">
        <f t="array" ref="M177">_xlfn.IFS(CALLS[[#This Row],[DURATION BACKET]]="UNDER 10 MINS",1,
     CALLS[[#This Row],[DURATION BACKET]]="10 TO 30 MINS",2,
     CALLS[[#This Row],[DURATION BACKET]]="1 TO 2 HOURS",3,
     CALLS[[#This Row],[DURATION BACKET]]="&gt; 2 HOURS",4)</f>
        <v>4</v>
      </c>
      <c r="N177">
        <f>(CALLS[[#This Row],[Purchase Amount]]/ 1)</f>
        <v>140</v>
      </c>
    </row>
    <row r="178" spans="2:14" x14ac:dyDescent="0.25">
      <c r="B178" s="22" t="s">
        <v>200</v>
      </c>
      <c r="C178" s="4" t="s">
        <v>16</v>
      </c>
      <c r="D178" s="4">
        <v>67</v>
      </c>
      <c r="E178" s="5" t="s">
        <v>11</v>
      </c>
      <c r="F178" s="9">
        <v>44990</v>
      </c>
      <c r="G178" s="4">
        <v>40</v>
      </c>
      <c r="H178" s="23">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Row],[Duration]]&lt;=30,"10 TO 30 MINS",
     CALLS[[#This Row],[Duration]]&lt;=120,"1 TO 2 HOURS",
     TRUE,"&gt; 2 HOURS")</f>
        <v>1 TO 2 HOURS</v>
      </c>
      <c r="L178">
        <f>ROUND(CALLS[[#This Row],[Satisfaction Rating]],0)</f>
        <v>5</v>
      </c>
      <c r="M178" cm="1">
        <f t="array" ref="M178">_xlfn.IFS(CALLS[[#This Row],[DURATION BACKET]]="UNDER 10 MINS",1,
     CALLS[[#This Row],[DURATION BACKET]]="10 TO 30 MINS",2,
     CALLS[[#This Row],[DURATION BACKET]]="1 TO 2 HOURS",3,
     CALLS[[#This Row],[DURATION BACKET]]="&gt; 2 HOURS",4)</f>
        <v>3</v>
      </c>
      <c r="N178">
        <f>(CALLS[[#This Row],[Purchase Amount]]/ 1)</f>
        <v>40</v>
      </c>
    </row>
    <row r="179" spans="2:14" x14ac:dyDescent="0.25">
      <c r="B179" s="22" t="s">
        <v>201</v>
      </c>
      <c r="C179" s="4" t="s">
        <v>5</v>
      </c>
      <c r="D179" s="4">
        <v>71</v>
      </c>
      <c r="E179" s="5" t="s">
        <v>6</v>
      </c>
      <c r="F179" s="9">
        <v>44990</v>
      </c>
      <c r="G179" s="4">
        <v>102</v>
      </c>
      <c r="H179" s="23">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Row],[Duration]]&lt;=30,"10 TO 30 MINS",
     CALLS[[#This Row],[Duration]]&lt;=120,"1 TO 2 HOURS",
     TRUE,"&gt; 2 HOURS")</f>
        <v>1 TO 2 HOURS</v>
      </c>
      <c r="L179">
        <f>ROUND(CALLS[[#This Row],[Satisfaction Rating]],0)</f>
        <v>5</v>
      </c>
      <c r="M179" cm="1">
        <f t="array" ref="M179">_xlfn.IFS(CALLS[[#This Row],[DURATION BACKET]]="UNDER 10 MINS",1,
     CALLS[[#This Row],[DURATION BACKET]]="10 TO 30 MINS",2,
     CALLS[[#This Row],[DURATION BACKET]]="1 TO 2 HOURS",3,
     CALLS[[#This Row],[DURATION BACKET]]="&gt; 2 HOURS",4)</f>
        <v>3</v>
      </c>
      <c r="N179">
        <f>(CALLS[[#This Row],[Purchase Amount]]/ 1)</f>
        <v>102</v>
      </c>
    </row>
    <row r="180" spans="2:14" x14ac:dyDescent="0.25">
      <c r="B180" s="22" t="s">
        <v>202</v>
      </c>
      <c r="C180" s="4" t="s">
        <v>15</v>
      </c>
      <c r="D180" s="4">
        <v>113</v>
      </c>
      <c r="E180" s="5" t="s">
        <v>10</v>
      </c>
      <c r="F180" s="9">
        <v>44990</v>
      </c>
      <c r="G180" s="4">
        <v>42</v>
      </c>
      <c r="H180" s="23">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Row],[Duration]]&lt;=30,"10 TO 30 MINS",
     CALLS[[#This Row],[Duration]]&lt;=120,"1 TO 2 HOURS",
     TRUE,"&gt; 2 HOURS")</f>
        <v>1 TO 2 HOURS</v>
      </c>
      <c r="L180">
        <f>ROUND(CALLS[[#This Row],[Satisfaction Rating]],0)</f>
        <v>4</v>
      </c>
      <c r="M180" cm="1">
        <f t="array" ref="M180">_xlfn.IFS(CALLS[[#This Row],[DURATION BACKET]]="UNDER 10 MINS",1,
     CALLS[[#This Row],[DURATION BACKET]]="10 TO 30 MINS",2,
     CALLS[[#This Row],[DURATION BACKET]]="1 TO 2 HOURS",3,
     CALLS[[#This Row],[DURATION BACKET]]="&gt; 2 HOURS",4)</f>
        <v>3</v>
      </c>
      <c r="N180">
        <f>(CALLS[[#This Row],[Purchase Amount]]/ 1)</f>
        <v>42</v>
      </c>
    </row>
    <row r="181" spans="2:14" x14ac:dyDescent="0.25">
      <c r="B181" s="22" t="s">
        <v>203</v>
      </c>
      <c r="C181" s="4" t="s">
        <v>7</v>
      </c>
      <c r="D181" s="4">
        <v>53</v>
      </c>
      <c r="E181" s="5" t="s">
        <v>9</v>
      </c>
      <c r="F181" s="9">
        <v>44991</v>
      </c>
      <c r="G181" s="4">
        <v>210</v>
      </c>
      <c r="H181" s="23">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Row],[Duration]]&lt;=30,"10 TO 30 MINS",
     CALLS[[#This Row],[Duration]]&lt;=120,"1 TO 2 HOURS",
     TRUE,"&gt; 2 HOURS")</f>
        <v>1 TO 2 HOURS</v>
      </c>
      <c r="L181">
        <f>ROUND(CALLS[[#This Row],[Satisfaction Rating]],0)</f>
        <v>4</v>
      </c>
      <c r="M181" cm="1">
        <f t="array" ref="M181">_xlfn.IFS(CALLS[[#This Row],[DURATION BACKET]]="UNDER 10 MINS",1,
     CALLS[[#This Row],[DURATION BACKET]]="10 TO 30 MINS",2,
     CALLS[[#This Row],[DURATION BACKET]]="1 TO 2 HOURS",3,
     CALLS[[#This Row],[DURATION BACKET]]="&gt; 2 HOURS",4)</f>
        <v>3</v>
      </c>
      <c r="N181">
        <f>(CALLS[[#This Row],[Purchase Amount]]/ 1)</f>
        <v>210</v>
      </c>
    </row>
    <row r="182" spans="2:14" x14ac:dyDescent="0.25">
      <c r="B182" s="22" t="s">
        <v>204</v>
      </c>
      <c r="C182" s="4" t="s">
        <v>15</v>
      </c>
      <c r="D182" s="4">
        <v>153</v>
      </c>
      <c r="E182" s="5" t="s">
        <v>11</v>
      </c>
      <c r="F182" s="9">
        <v>44991</v>
      </c>
      <c r="G182" s="4">
        <v>34</v>
      </c>
      <c r="H182" s="23">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Row],[Duration]]&lt;=30,"10 TO 30 MINS",
     CALLS[[#This Row],[Duration]]&lt;=120,"1 TO 2 HOURS",
     TRUE,"&gt; 2 HOURS")</f>
        <v>&gt; 2 HOURS</v>
      </c>
      <c r="L182">
        <f>ROUND(CALLS[[#This Row],[Satisfaction Rating]],0)</f>
        <v>3</v>
      </c>
      <c r="M182" cm="1">
        <f t="array" ref="M182">_xlfn.IFS(CALLS[[#This Row],[DURATION BACKET]]="UNDER 10 MINS",1,
     CALLS[[#This Row],[DURATION BACKET]]="10 TO 30 MINS",2,
     CALLS[[#This Row],[DURATION BACKET]]="1 TO 2 HOURS",3,
     CALLS[[#This Row],[DURATION BACKET]]="&gt; 2 HOURS",4)</f>
        <v>4</v>
      </c>
      <c r="N182">
        <f>(CALLS[[#This Row],[Purchase Amount]]/ 1)</f>
        <v>34</v>
      </c>
    </row>
    <row r="183" spans="2:14" x14ac:dyDescent="0.25">
      <c r="B183" s="22" t="s">
        <v>205</v>
      </c>
      <c r="C183" s="4" t="s">
        <v>16</v>
      </c>
      <c r="D183" s="4">
        <v>73</v>
      </c>
      <c r="E183" s="5" t="s">
        <v>13</v>
      </c>
      <c r="F183" s="9">
        <v>44991</v>
      </c>
      <c r="G183" s="4">
        <v>215</v>
      </c>
      <c r="H183" s="2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Row],[Duration]]&lt;=30,"10 TO 30 MINS",
     CALLS[[#This Row],[Duration]]&lt;=120,"1 TO 2 HOURS",
     TRUE,"&gt; 2 HOURS")</f>
        <v>1 TO 2 HOURS</v>
      </c>
      <c r="L183">
        <f>ROUND(CALLS[[#This Row],[Satisfaction Rating]],0)</f>
        <v>4</v>
      </c>
      <c r="M183" cm="1">
        <f t="array" ref="M183">_xlfn.IFS(CALLS[[#This Row],[DURATION BACKET]]="UNDER 10 MINS",1,
     CALLS[[#This Row],[DURATION BACKET]]="10 TO 30 MINS",2,
     CALLS[[#This Row],[DURATION BACKET]]="1 TO 2 HOURS",3,
     CALLS[[#This Row],[DURATION BACKET]]="&gt; 2 HOURS",4)</f>
        <v>3</v>
      </c>
      <c r="N183">
        <f>(CALLS[[#This Row],[Purchase Amount]]/ 1)</f>
        <v>215</v>
      </c>
    </row>
    <row r="184" spans="2:14" x14ac:dyDescent="0.25">
      <c r="B184" s="22" t="s">
        <v>206</v>
      </c>
      <c r="C184" s="4" t="s">
        <v>22</v>
      </c>
      <c r="D184" s="4">
        <v>62</v>
      </c>
      <c r="E184" s="5" t="s">
        <v>13</v>
      </c>
      <c r="F184" s="9">
        <v>44991</v>
      </c>
      <c r="G184" s="4">
        <v>32</v>
      </c>
      <c r="H184" s="23">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Row],[Duration]]&lt;=30,"10 TO 30 MINS",
     CALLS[[#This Row],[Duration]]&lt;=120,"1 TO 2 HOURS",
     TRUE,"&gt; 2 HOURS")</f>
        <v>1 TO 2 HOURS</v>
      </c>
      <c r="L184">
        <f>ROUND(CALLS[[#This Row],[Satisfaction Rating]],0)</f>
        <v>1</v>
      </c>
      <c r="M184" cm="1">
        <f t="array" ref="M184">_xlfn.IFS(CALLS[[#This Row],[DURATION BACKET]]="UNDER 10 MINS",1,
     CALLS[[#This Row],[DURATION BACKET]]="10 TO 30 MINS",2,
     CALLS[[#This Row],[DURATION BACKET]]="1 TO 2 HOURS",3,
     CALLS[[#This Row],[DURATION BACKET]]="&gt; 2 HOURS",4)</f>
        <v>3</v>
      </c>
      <c r="N184">
        <f>(CALLS[[#This Row],[Purchase Amount]]/ 1)</f>
        <v>32</v>
      </c>
    </row>
    <row r="185" spans="2:14" x14ac:dyDescent="0.25">
      <c r="B185" s="22" t="s">
        <v>207</v>
      </c>
      <c r="C185" s="4" t="s">
        <v>8</v>
      </c>
      <c r="D185" s="4">
        <v>115</v>
      </c>
      <c r="E185" s="5" t="s">
        <v>9</v>
      </c>
      <c r="F185" s="9">
        <v>44992</v>
      </c>
      <c r="G185" s="4">
        <v>48</v>
      </c>
      <c r="H185" s="23">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Row],[Duration]]&lt;=30,"10 TO 30 MINS",
     CALLS[[#This Row],[Duration]]&lt;=120,"1 TO 2 HOURS",
     TRUE,"&gt; 2 HOURS")</f>
        <v>1 TO 2 HOURS</v>
      </c>
      <c r="L185">
        <f>ROUND(CALLS[[#This Row],[Satisfaction Rating]],0)</f>
        <v>5</v>
      </c>
      <c r="M185" cm="1">
        <f t="array" ref="M185">_xlfn.IFS(CALLS[[#This Row],[DURATION BACKET]]="UNDER 10 MINS",1,
     CALLS[[#This Row],[DURATION BACKET]]="10 TO 30 MINS",2,
     CALLS[[#This Row],[DURATION BACKET]]="1 TO 2 HOURS",3,
     CALLS[[#This Row],[DURATION BACKET]]="&gt; 2 HOURS",4)</f>
        <v>3</v>
      </c>
      <c r="N185">
        <f>(CALLS[[#This Row],[Purchase Amount]]/ 1)</f>
        <v>48</v>
      </c>
    </row>
    <row r="186" spans="2:14" x14ac:dyDescent="0.25">
      <c r="B186" s="22" t="s">
        <v>208</v>
      </c>
      <c r="C186" s="4" t="s">
        <v>15</v>
      </c>
      <c r="D186" s="4">
        <v>69</v>
      </c>
      <c r="E186" s="5" t="s">
        <v>9</v>
      </c>
      <c r="F186" s="9">
        <v>44992</v>
      </c>
      <c r="G186" s="4">
        <v>132</v>
      </c>
      <c r="H186" s="23">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Row],[Duration]]&lt;=30,"10 TO 30 MINS",
     CALLS[[#This Row],[Duration]]&lt;=120,"1 TO 2 HOURS",
     TRUE,"&gt; 2 HOURS")</f>
        <v>1 TO 2 HOURS</v>
      </c>
      <c r="L186">
        <f>ROUND(CALLS[[#This Row],[Satisfaction Rating]],0)</f>
        <v>5</v>
      </c>
      <c r="M186" cm="1">
        <f t="array" ref="M186">_xlfn.IFS(CALLS[[#This Row],[DURATION BACKET]]="UNDER 10 MINS",1,
     CALLS[[#This Row],[DURATION BACKET]]="10 TO 30 MINS",2,
     CALLS[[#This Row],[DURATION BACKET]]="1 TO 2 HOURS",3,
     CALLS[[#This Row],[DURATION BACKET]]="&gt; 2 HOURS",4)</f>
        <v>3</v>
      </c>
      <c r="N186">
        <f>(CALLS[[#This Row],[Purchase Amount]]/ 1)</f>
        <v>132</v>
      </c>
    </row>
    <row r="187" spans="2:14" x14ac:dyDescent="0.25">
      <c r="B187" s="22" t="s">
        <v>209</v>
      </c>
      <c r="C187" s="4" t="s">
        <v>24</v>
      </c>
      <c r="D187" s="4">
        <v>103</v>
      </c>
      <c r="E187" s="5" t="s">
        <v>10</v>
      </c>
      <c r="F187" s="9">
        <v>44992</v>
      </c>
      <c r="G187" s="4">
        <v>172</v>
      </c>
      <c r="H187" s="23">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Row],[Duration]]&lt;=30,"10 TO 30 MINS",
     CALLS[[#This Row],[Duration]]&lt;=120,"1 TO 2 HOURS",
     TRUE,"&gt; 2 HOURS")</f>
        <v>1 TO 2 HOURS</v>
      </c>
      <c r="L187">
        <f>ROUND(CALLS[[#This Row],[Satisfaction Rating]],0)</f>
        <v>4</v>
      </c>
      <c r="M187" cm="1">
        <f t="array" ref="M187">_xlfn.IFS(CALLS[[#This Row],[DURATION BACKET]]="UNDER 10 MINS",1,
     CALLS[[#This Row],[DURATION BACKET]]="10 TO 30 MINS",2,
     CALLS[[#This Row],[DURATION BACKET]]="1 TO 2 HOURS",3,
     CALLS[[#This Row],[DURATION BACKET]]="&gt; 2 HOURS",4)</f>
        <v>3</v>
      </c>
      <c r="N187">
        <f>(CALLS[[#This Row],[Purchase Amount]]/ 1)</f>
        <v>172</v>
      </c>
    </row>
    <row r="188" spans="2:14" x14ac:dyDescent="0.25">
      <c r="B188" s="22" t="s">
        <v>210</v>
      </c>
      <c r="C188" s="4" t="s">
        <v>24</v>
      </c>
      <c r="D188" s="4">
        <v>75</v>
      </c>
      <c r="E188" s="5" t="s">
        <v>10</v>
      </c>
      <c r="F188" s="9">
        <v>44992</v>
      </c>
      <c r="G188" s="4">
        <v>111</v>
      </c>
      <c r="H188" s="23">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Row],[Duration]]&lt;=30,"10 TO 30 MINS",
     CALLS[[#This Row],[Duration]]&lt;=120,"1 TO 2 HOURS",
     TRUE,"&gt; 2 HOURS")</f>
        <v>1 TO 2 HOURS</v>
      </c>
      <c r="L188">
        <f>ROUND(CALLS[[#This Row],[Satisfaction Rating]],0)</f>
        <v>3</v>
      </c>
      <c r="M188" cm="1">
        <f t="array" ref="M188">_xlfn.IFS(CALLS[[#This Row],[DURATION BACKET]]="UNDER 10 MINS",1,
     CALLS[[#This Row],[DURATION BACKET]]="10 TO 30 MINS",2,
     CALLS[[#This Row],[DURATION BACKET]]="1 TO 2 HOURS",3,
     CALLS[[#This Row],[DURATION BACKET]]="&gt; 2 HOURS",4)</f>
        <v>3</v>
      </c>
      <c r="N188">
        <f>(CALLS[[#This Row],[Purchase Amount]]/ 1)</f>
        <v>111</v>
      </c>
    </row>
    <row r="189" spans="2:14" x14ac:dyDescent="0.25">
      <c r="B189" s="22" t="s">
        <v>211</v>
      </c>
      <c r="C189" s="4" t="s">
        <v>14</v>
      </c>
      <c r="D189" s="4">
        <v>92</v>
      </c>
      <c r="E189" s="5" t="s">
        <v>10</v>
      </c>
      <c r="F189" s="9">
        <v>44992</v>
      </c>
      <c r="G189" s="4">
        <v>58</v>
      </c>
      <c r="H189" s="23">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Row],[Duration]]&lt;=30,"10 TO 30 MINS",
     CALLS[[#This Row],[Duration]]&lt;=120,"1 TO 2 HOURS",
     TRUE,"&gt; 2 HOURS")</f>
        <v>1 TO 2 HOURS</v>
      </c>
      <c r="L189">
        <f>ROUND(CALLS[[#This Row],[Satisfaction Rating]],0)</f>
        <v>4</v>
      </c>
      <c r="M189" cm="1">
        <f t="array" ref="M189">_xlfn.IFS(CALLS[[#This Row],[DURATION BACKET]]="UNDER 10 MINS",1,
     CALLS[[#This Row],[DURATION BACKET]]="10 TO 30 MINS",2,
     CALLS[[#This Row],[DURATION BACKET]]="1 TO 2 HOURS",3,
     CALLS[[#This Row],[DURATION BACKET]]="&gt; 2 HOURS",4)</f>
        <v>3</v>
      </c>
      <c r="N189">
        <f>(CALLS[[#This Row],[Purchase Amount]]/ 1)</f>
        <v>58</v>
      </c>
    </row>
    <row r="190" spans="2:14" x14ac:dyDescent="0.25">
      <c r="B190" s="22" t="s">
        <v>212</v>
      </c>
      <c r="C190" s="4" t="s">
        <v>14</v>
      </c>
      <c r="D190" s="4">
        <v>41</v>
      </c>
      <c r="E190" s="5" t="s">
        <v>13</v>
      </c>
      <c r="F190" s="9">
        <v>44992</v>
      </c>
      <c r="G190" s="4">
        <v>68</v>
      </c>
      <c r="H190" s="23">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Row],[Duration]]&lt;=30,"10 TO 30 MINS",
     CALLS[[#This Row],[Duration]]&lt;=120,"1 TO 2 HOURS",
     TRUE,"&gt; 2 HOURS")</f>
        <v>1 TO 2 HOURS</v>
      </c>
      <c r="L190">
        <f>ROUND(CALLS[[#This Row],[Satisfaction Rating]],0)</f>
        <v>4</v>
      </c>
      <c r="M190" cm="1">
        <f t="array" ref="M190">_xlfn.IFS(CALLS[[#This Row],[DURATION BACKET]]="UNDER 10 MINS",1,
     CALLS[[#This Row],[DURATION BACKET]]="10 TO 30 MINS",2,
     CALLS[[#This Row],[DURATION BACKET]]="1 TO 2 HOURS",3,
     CALLS[[#This Row],[DURATION BACKET]]="&gt; 2 HOURS",4)</f>
        <v>3</v>
      </c>
      <c r="N190">
        <f>(CALLS[[#This Row],[Purchase Amount]]/ 1)</f>
        <v>68</v>
      </c>
    </row>
    <row r="191" spans="2:14" x14ac:dyDescent="0.25">
      <c r="B191" s="22" t="s">
        <v>213</v>
      </c>
      <c r="C191" s="4" t="s">
        <v>24</v>
      </c>
      <c r="D191" s="4">
        <v>134</v>
      </c>
      <c r="E191" s="5" t="s">
        <v>11</v>
      </c>
      <c r="F191" s="9">
        <v>44992</v>
      </c>
      <c r="G191" s="4">
        <v>160</v>
      </c>
      <c r="H191" s="23">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Row],[Duration]]&lt;=30,"10 TO 30 MINS",
     CALLS[[#This Row],[Duration]]&lt;=120,"1 TO 2 HOURS",
     TRUE,"&gt; 2 HOURS")</f>
        <v>&gt; 2 HOURS</v>
      </c>
      <c r="L191">
        <f>ROUND(CALLS[[#This Row],[Satisfaction Rating]],0)</f>
        <v>5</v>
      </c>
      <c r="M191" cm="1">
        <f t="array" ref="M191">_xlfn.IFS(CALLS[[#This Row],[DURATION BACKET]]="UNDER 10 MINS",1,
     CALLS[[#This Row],[DURATION BACKET]]="10 TO 30 MINS",2,
     CALLS[[#This Row],[DURATION BACKET]]="1 TO 2 HOURS",3,
     CALLS[[#This Row],[DURATION BACKET]]="&gt; 2 HOURS",4)</f>
        <v>4</v>
      </c>
      <c r="N191">
        <f>(CALLS[[#This Row],[Purchase Amount]]/ 1)</f>
        <v>160</v>
      </c>
    </row>
    <row r="192" spans="2:14" x14ac:dyDescent="0.25">
      <c r="B192" s="22" t="s">
        <v>214</v>
      </c>
      <c r="C192" s="4" t="s">
        <v>17</v>
      </c>
      <c r="D192" s="4">
        <v>80</v>
      </c>
      <c r="E192" s="5" t="s">
        <v>6</v>
      </c>
      <c r="F192" s="9">
        <v>44992</v>
      </c>
      <c r="G192" s="4">
        <v>45</v>
      </c>
      <c r="H192" s="23">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Row],[Duration]]&lt;=30,"10 TO 30 MINS",
     CALLS[[#This Row],[Duration]]&lt;=120,"1 TO 2 HOURS",
     TRUE,"&gt; 2 HOURS")</f>
        <v>1 TO 2 HOURS</v>
      </c>
      <c r="L192">
        <f>ROUND(CALLS[[#This Row],[Satisfaction Rating]],0)</f>
        <v>3</v>
      </c>
      <c r="M192" cm="1">
        <f t="array" ref="M192">_xlfn.IFS(CALLS[[#This Row],[DURATION BACKET]]="UNDER 10 MINS",1,
     CALLS[[#This Row],[DURATION BACKET]]="10 TO 30 MINS",2,
     CALLS[[#This Row],[DURATION BACKET]]="1 TO 2 HOURS",3,
     CALLS[[#This Row],[DURATION BACKET]]="&gt; 2 HOURS",4)</f>
        <v>3</v>
      </c>
      <c r="N192">
        <f>(CALLS[[#This Row],[Purchase Amount]]/ 1)</f>
        <v>45</v>
      </c>
    </row>
    <row r="193" spans="2:14" x14ac:dyDescent="0.25">
      <c r="B193" s="22" t="s">
        <v>215</v>
      </c>
      <c r="C193" s="4" t="s">
        <v>5</v>
      </c>
      <c r="D193" s="4">
        <v>103</v>
      </c>
      <c r="E193" s="5" t="s">
        <v>9</v>
      </c>
      <c r="F193" s="9">
        <v>44993</v>
      </c>
      <c r="G193" s="4">
        <v>117</v>
      </c>
      <c r="H193" s="2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Row],[Duration]]&lt;=30,"10 TO 30 MINS",
     CALLS[[#This Row],[Duration]]&lt;=120,"1 TO 2 HOURS",
     TRUE,"&gt; 2 HOURS")</f>
        <v>1 TO 2 HOURS</v>
      </c>
      <c r="L193">
        <f>ROUND(CALLS[[#This Row],[Satisfaction Rating]],0)</f>
        <v>3</v>
      </c>
      <c r="M193" cm="1">
        <f t="array" ref="M193">_xlfn.IFS(CALLS[[#This Row],[DURATION BACKET]]="UNDER 10 MINS",1,
     CALLS[[#This Row],[DURATION BACKET]]="10 TO 30 MINS",2,
     CALLS[[#This Row],[DURATION BACKET]]="1 TO 2 HOURS",3,
     CALLS[[#This Row],[DURATION BACKET]]="&gt; 2 HOURS",4)</f>
        <v>3</v>
      </c>
      <c r="N193">
        <f>(CALLS[[#This Row],[Purchase Amount]]/ 1)</f>
        <v>117</v>
      </c>
    </row>
    <row r="194" spans="2:14" x14ac:dyDescent="0.25">
      <c r="B194" s="22" t="s">
        <v>216</v>
      </c>
      <c r="C194" s="4" t="s">
        <v>7</v>
      </c>
      <c r="D194" s="4">
        <v>20</v>
      </c>
      <c r="E194" s="5" t="s">
        <v>10</v>
      </c>
      <c r="F194" s="9">
        <v>44994</v>
      </c>
      <c r="G194" s="4">
        <v>22</v>
      </c>
      <c r="H194" s="23">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Row],[Duration]]&lt;=30,"10 TO 30 MINS",
     CALLS[[#This Row],[Duration]]&lt;=120,"1 TO 2 HOURS",
     TRUE,"&gt; 2 HOURS")</f>
        <v>10 TO 30 MINS</v>
      </c>
      <c r="L194">
        <f>ROUND(CALLS[[#This Row],[Satisfaction Rating]],0)</f>
        <v>2</v>
      </c>
      <c r="M194" cm="1">
        <f t="array" ref="M194">_xlfn.IFS(CALLS[[#This Row],[DURATION BACKET]]="UNDER 10 MINS",1,
     CALLS[[#This Row],[DURATION BACKET]]="10 TO 30 MINS",2,
     CALLS[[#This Row],[DURATION BACKET]]="1 TO 2 HOURS",3,
     CALLS[[#This Row],[DURATION BACKET]]="&gt; 2 HOURS",4)</f>
        <v>2</v>
      </c>
      <c r="N194">
        <f>(CALLS[[#This Row],[Purchase Amount]]/ 1)</f>
        <v>22</v>
      </c>
    </row>
    <row r="195" spans="2:14" x14ac:dyDescent="0.25">
      <c r="B195" s="22" t="s">
        <v>217</v>
      </c>
      <c r="C195" s="4" t="s">
        <v>5</v>
      </c>
      <c r="D195" s="4">
        <v>75</v>
      </c>
      <c r="E195" s="5" t="s">
        <v>6</v>
      </c>
      <c r="F195" s="9">
        <v>44994</v>
      </c>
      <c r="G195" s="4">
        <v>195</v>
      </c>
      <c r="H195" s="23">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Row],[Duration]]&lt;=30,"10 TO 30 MINS",
     CALLS[[#This Row],[Duration]]&lt;=120,"1 TO 2 HOURS",
     TRUE,"&gt; 2 HOURS")</f>
        <v>1 TO 2 HOURS</v>
      </c>
      <c r="L195">
        <f>ROUND(CALLS[[#This Row],[Satisfaction Rating]],0)</f>
        <v>3</v>
      </c>
      <c r="M195" cm="1">
        <f t="array" ref="M195">_xlfn.IFS(CALLS[[#This Row],[DURATION BACKET]]="UNDER 10 MINS",1,
     CALLS[[#This Row],[DURATION BACKET]]="10 TO 30 MINS",2,
     CALLS[[#This Row],[DURATION BACKET]]="1 TO 2 HOURS",3,
     CALLS[[#This Row],[DURATION BACKET]]="&gt; 2 HOURS",4)</f>
        <v>3</v>
      </c>
      <c r="N195">
        <f>(CALLS[[#This Row],[Purchase Amount]]/ 1)</f>
        <v>195</v>
      </c>
    </row>
    <row r="196" spans="2:14" x14ac:dyDescent="0.25">
      <c r="B196" s="22" t="s">
        <v>218</v>
      </c>
      <c r="C196" s="4" t="s">
        <v>14</v>
      </c>
      <c r="D196" s="4">
        <v>80</v>
      </c>
      <c r="E196" s="5" t="s">
        <v>11</v>
      </c>
      <c r="F196" s="9">
        <v>44994</v>
      </c>
      <c r="G196" s="4">
        <v>168</v>
      </c>
      <c r="H196" s="23">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Row],[Duration]]&lt;=30,"10 TO 30 MINS",
     CALLS[[#This Row],[Duration]]&lt;=120,"1 TO 2 HOURS",
     TRUE,"&gt; 2 HOURS")</f>
        <v>1 TO 2 HOURS</v>
      </c>
      <c r="L196">
        <f>ROUND(CALLS[[#This Row],[Satisfaction Rating]],0)</f>
        <v>4</v>
      </c>
      <c r="M196" cm="1">
        <f t="array" ref="M196">_xlfn.IFS(CALLS[[#This Row],[DURATION BACKET]]="UNDER 10 MINS",1,
     CALLS[[#This Row],[DURATION BACKET]]="10 TO 30 MINS",2,
     CALLS[[#This Row],[DURATION BACKET]]="1 TO 2 HOURS",3,
     CALLS[[#This Row],[DURATION BACKET]]="&gt; 2 HOURS",4)</f>
        <v>3</v>
      </c>
      <c r="N196">
        <f>(CALLS[[#This Row],[Purchase Amount]]/ 1)</f>
        <v>168</v>
      </c>
    </row>
    <row r="197" spans="2:14" x14ac:dyDescent="0.25">
      <c r="B197" s="22" t="s">
        <v>219</v>
      </c>
      <c r="C197" s="4" t="s">
        <v>15</v>
      </c>
      <c r="D197" s="4">
        <v>85</v>
      </c>
      <c r="E197" s="5" t="s">
        <v>13</v>
      </c>
      <c r="F197" s="9">
        <v>44995</v>
      </c>
      <c r="G197" s="4">
        <v>46</v>
      </c>
      <c r="H197" s="23">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Row],[Duration]]&lt;=30,"10 TO 30 MINS",
     CALLS[[#This Row],[Duration]]&lt;=120,"1 TO 2 HOURS",
     TRUE,"&gt; 2 HOURS")</f>
        <v>1 TO 2 HOURS</v>
      </c>
      <c r="L197">
        <f>ROUND(CALLS[[#This Row],[Satisfaction Rating]],0)</f>
        <v>5</v>
      </c>
      <c r="M197" cm="1">
        <f t="array" ref="M197">_xlfn.IFS(CALLS[[#This Row],[DURATION BACKET]]="UNDER 10 MINS",1,
     CALLS[[#This Row],[DURATION BACKET]]="10 TO 30 MINS",2,
     CALLS[[#This Row],[DURATION BACKET]]="1 TO 2 HOURS",3,
     CALLS[[#This Row],[DURATION BACKET]]="&gt; 2 HOURS",4)</f>
        <v>3</v>
      </c>
      <c r="N197">
        <f>(CALLS[[#This Row],[Purchase Amount]]/ 1)</f>
        <v>46</v>
      </c>
    </row>
    <row r="198" spans="2:14" x14ac:dyDescent="0.25">
      <c r="B198" s="22" t="s">
        <v>220</v>
      </c>
      <c r="C198" s="4" t="s">
        <v>12</v>
      </c>
      <c r="D198" s="4">
        <v>155</v>
      </c>
      <c r="E198" s="5" t="s">
        <v>10</v>
      </c>
      <c r="F198" s="9">
        <v>44995</v>
      </c>
      <c r="G198" s="4">
        <v>164</v>
      </c>
      <c r="H198" s="23">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Row],[Duration]]&lt;=30,"10 TO 30 MINS",
     CALLS[[#This Row],[Duration]]&lt;=120,"1 TO 2 HOURS",
     TRUE,"&gt; 2 HOURS")</f>
        <v>&gt; 2 HOURS</v>
      </c>
      <c r="L198">
        <f>ROUND(CALLS[[#This Row],[Satisfaction Rating]],0)</f>
        <v>3</v>
      </c>
      <c r="M198" cm="1">
        <f t="array" ref="M198">_xlfn.IFS(CALLS[[#This Row],[DURATION BACKET]]="UNDER 10 MINS",1,
     CALLS[[#This Row],[DURATION BACKET]]="10 TO 30 MINS",2,
     CALLS[[#This Row],[DURATION BACKET]]="1 TO 2 HOURS",3,
     CALLS[[#This Row],[DURATION BACKET]]="&gt; 2 HOURS",4)</f>
        <v>4</v>
      </c>
      <c r="N198">
        <f>(CALLS[[#This Row],[Purchase Amount]]/ 1)</f>
        <v>164</v>
      </c>
    </row>
    <row r="199" spans="2:14" x14ac:dyDescent="0.25">
      <c r="B199" s="22" t="s">
        <v>221</v>
      </c>
      <c r="C199" s="4" t="s">
        <v>15</v>
      </c>
      <c r="D199" s="4">
        <v>63</v>
      </c>
      <c r="E199" s="5" t="s">
        <v>13</v>
      </c>
      <c r="F199" s="9">
        <v>44995</v>
      </c>
      <c r="G199" s="4">
        <v>48</v>
      </c>
      <c r="H199" s="23">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Row],[Duration]]&lt;=30,"10 TO 30 MINS",
     CALLS[[#This Row],[Duration]]&lt;=120,"1 TO 2 HOURS",
     TRUE,"&gt; 2 HOURS")</f>
        <v>1 TO 2 HOURS</v>
      </c>
      <c r="L199">
        <f>ROUND(CALLS[[#This Row],[Satisfaction Rating]],0)</f>
        <v>5</v>
      </c>
      <c r="M199" cm="1">
        <f t="array" ref="M199">_xlfn.IFS(CALLS[[#This Row],[DURATION BACKET]]="UNDER 10 MINS",1,
     CALLS[[#This Row],[DURATION BACKET]]="10 TO 30 MINS",2,
     CALLS[[#This Row],[DURATION BACKET]]="1 TO 2 HOURS",3,
     CALLS[[#This Row],[DURATION BACKET]]="&gt; 2 HOURS",4)</f>
        <v>3</v>
      </c>
      <c r="N199">
        <f>(CALLS[[#This Row],[Purchase Amount]]/ 1)</f>
        <v>48</v>
      </c>
    </row>
    <row r="200" spans="2:14" x14ac:dyDescent="0.25">
      <c r="B200" s="22" t="s">
        <v>222</v>
      </c>
      <c r="C200" s="4" t="s">
        <v>23</v>
      </c>
      <c r="D200" s="4">
        <v>105</v>
      </c>
      <c r="E200" s="5" t="s">
        <v>9</v>
      </c>
      <c r="F200" s="9">
        <v>44995</v>
      </c>
      <c r="G200" s="4">
        <v>96</v>
      </c>
      <c r="H200" s="23">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Row],[Duration]]&lt;=30,"10 TO 30 MINS",
     CALLS[[#This Row],[Duration]]&lt;=120,"1 TO 2 HOURS",
     TRUE,"&gt; 2 HOURS")</f>
        <v>1 TO 2 HOURS</v>
      </c>
      <c r="L200">
        <f>ROUND(CALLS[[#This Row],[Satisfaction Rating]],0)</f>
        <v>5</v>
      </c>
      <c r="M200" cm="1">
        <f t="array" ref="M200">_xlfn.IFS(CALLS[[#This Row],[DURATION BACKET]]="UNDER 10 MINS",1,
     CALLS[[#This Row],[DURATION BACKET]]="10 TO 30 MINS",2,
     CALLS[[#This Row],[DURATION BACKET]]="1 TO 2 HOURS",3,
     CALLS[[#This Row],[DURATION BACKET]]="&gt; 2 HOURS",4)</f>
        <v>3</v>
      </c>
      <c r="N200">
        <f>(CALLS[[#This Row],[Purchase Amount]]/ 1)</f>
        <v>96</v>
      </c>
    </row>
    <row r="201" spans="2:14" x14ac:dyDescent="0.25">
      <c r="B201" s="22" t="s">
        <v>223</v>
      </c>
      <c r="C201" s="4" t="s">
        <v>15</v>
      </c>
      <c r="D201" s="4">
        <v>71</v>
      </c>
      <c r="E201" s="5" t="s">
        <v>13</v>
      </c>
      <c r="F201" s="9">
        <v>44995</v>
      </c>
      <c r="G201" s="4">
        <v>105</v>
      </c>
      <c r="H201" s="23">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Row],[Duration]]&lt;=30,"10 TO 30 MINS",
     CALLS[[#This Row],[Duration]]&lt;=120,"1 TO 2 HOURS",
     TRUE,"&gt; 2 HOURS")</f>
        <v>1 TO 2 HOURS</v>
      </c>
      <c r="L201">
        <f>ROUND(CALLS[[#This Row],[Satisfaction Rating]],0)</f>
        <v>4</v>
      </c>
      <c r="M201" cm="1">
        <f t="array" ref="M201">_xlfn.IFS(CALLS[[#This Row],[DURATION BACKET]]="UNDER 10 MINS",1,
     CALLS[[#This Row],[DURATION BACKET]]="10 TO 30 MINS",2,
     CALLS[[#This Row],[DURATION BACKET]]="1 TO 2 HOURS",3,
     CALLS[[#This Row],[DURATION BACKET]]="&gt; 2 HOURS",4)</f>
        <v>3</v>
      </c>
      <c r="N201">
        <f>(CALLS[[#This Row],[Purchase Amount]]/ 1)</f>
        <v>105</v>
      </c>
    </row>
    <row r="202" spans="2:14" x14ac:dyDescent="0.25">
      <c r="B202" s="22" t="s">
        <v>224</v>
      </c>
      <c r="C202" s="4" t="s">
        <v>12</v>
      </c>
      <c r="D202" s="4">
        <v>100</v>
      </c>
      <c r="E202" s="5" t="s">
        <v>13</v>
      </c>
      <c r="F202" s="9">
        <v>44996</v>
      </c>
      <c r="G202" s="4">
        <v>44</v>
      </c>
      <c r="H202" s="23">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Row],[Duration]]&lt;=30,"10 TO 30 MINS",
     CALLS[[#This Row],[Duration]]&lt;=120,"1 TO 2 HOURS",
     TRUE,"&gt; 2 HOURS")</f>
        <v>1 TO 2 HOURS</v>
      </c>
      <c r="L202">
        <f>ROUND(CALLS[[#This Row],[Satisfaction Rating]],0)</f>
        <v>4</v>
      </c>
      <c r="M202" cm="1">
        <f t="array" ref="M202">_xlfn.IFS(CALLS[[#This Row],[DURATION BACKET]]="UNDER 10 MINS",1,
     CALLS[[#This Row],[DURATION BACKET]]="10 TO 30 MINS",2,
     CALLS[[#This Row],[DURATION BACKET]]="1 TO 2 HOURS",3,
     CALLS[[#This Row],[DURATION BACKET]]="&gt; 2 HOURS",4)</f>
        <v>3</v>
      </c>
      <c r="N202">
        <f>(CALLS[[#This Row],[Purchase Amount]]/ 1)</f>
        <v>44</v>
      </c>
    </row>
    <row r="203" spans="2:14" x14ac:dyDescent="0.25">
      <c r="B203" s="22" t="s">
        <v>225</v>
      </c>
      <c r="C203" s="4" t="s">
        <v>20</v>
      </c>
      <c r="D203" s="4">
        <v>93</v>
      </c>
      <c r="E203" s="5" t="s">
        <v>11</v>
      </c>
      <c r="F203" s="9">
        <v>44996</v>
      </c>
      <c r="G203" s="4">
        <v>132</v>
      </c>
      <c r="H203" s="2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Row],[Duration]]&lt;=30,"10 TO 30 MINS",
     CALLS[[#This Row],[Duration]]&lt;=120,"1 TO 2 HOURS",
     TRUE,"&gt; 2 HOURS")</f>
        <v>1 TO 2 HOURS</v>
      </c>
      <c r="L203">
        <f>ROUND(CALLS[[#This Row],[Satisfaction Rating]],0)</f>
        <v>4</v>
      </c>
      <c r="M203" cm="1">
        <f t="array" ref="M203">_xlfn.IFS(CALLS[[#This Row],[DURATION BACKET]]="UNDER 10 MINS",1,
     CALLS[[#This Row],[DURATION BACKET]]="10 TO 30 MINS",2,
     CALLS[[#This Row],[DURATION BACKET]]="1 TO 2 HOURS",3,
     CALLS[[#This Row],[DURATION BACKET]]="&gt; 2 HOURS",4)</f>
        <v>3</v>
      </c>
      <c r="N203">
        <f>(CALLS[[#This Row],[Purchase Amount]]/ 1)</f>
        <v>132</v>
      </c>
    </row>
    <row r="204" spans="2:14" x14ac:dyDescent="0.25">
      <c r="B204" s="22" t="s">
        <v>226</v>
      </c>
      <c r="C204" s="4" t="s">
        <v>23</v>
      </c>
      <c r="D204" s="4">
        <v>84</v>
      </c>
      <c r="E204" s="5" t="s">
        <v>10</v>
      </c>
      <c r="F204" s="9">
        <v>44996</v>
      </c>
      <c r="G204" s="4">
        <v>54</v>
      </c>
      <c r="H204" s="23">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Row],[Duration]]&lt;=30,"10 TO 30 MINS",
     CALLS[[#This Row],[Duration]]&lt;=120,"1 TO 2 HOURS",
     TRUE,"&gt; 2 HOURS")</f>
        <v>1 TO 2 HOURS</v>
      </c>
      <c r="L204">
        <f>ROUND(CALLS[[#This Row],[Satisfaction Rating]],0)</f>
        <v>4</v>
      </c>
      <c r="M204" cm="1">
        <f t="array" ref="M204">_xlfn.IFS(CALLS[[#This Row],[DURATION BACKET]]="UNDER 10 MINS",1,
     CALLS[[#This Row],[DURATION BACKET]]="10 TO 30 MINS",2,
     CALLS[[#This Row],[DURATION BACKET]]="1 TO 2 HOURS",3,
     CALLS[[#This Row],[DURATION BACKET]]="&gt; 2 HOURS",4)</f>
        <v>3</v>
      </c>
      <c r="N204">
        <f>(CALLS[[#This Row],[Purchase Amount]]/ 1)</f>
        <v>54</v>
      </c>
    </row>
    <row r="205" spans="2:14" x14ac:dyDescent="0.25">
      <c r="B205" s="22" t="s">
        <v>227</v>
      </c>
      <c r="C205" s="4" t="s">
        <v>17</v>
      </c>
      <c r="D205" s="4">
        <v>56</v>
      </c>
      <c r="E205" s="5" t="s">
        <v>6</v>
      </c>
      <c r="F205" s="9">
        <v>44996</v>
      </c>
      <c r="G205" s="4">
        <v>129</v>
      </c>
      <c r="H205" s="23">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Row],[Duration]]&lt;=30,"10 TO 30 MINS",
     CALLS[[#This Row],[Duration]]&lt;=120,"1 TO 2 HOURS",
     TRUE,"&gt; 2 HOURS")</f>
        <v>1 TO 2 HOURS</v>
      </c>
      <c r="L205">
        <f>ROUND(CALLS[[#This Row],[Satisfaction Rating]],0)</f>
        <v>2</v>
      </c>
      <c r="M205" cm="1">
        <f t="array" ref="M205">_xlfn.IFS(CALLS[[#This Row],[DURATION BACKET]]="UNDER 10 MINS",1,
     CALLS[[#This Row],[DURATION BACKET]]="10 TO 30 MINS",2,
     CALLS[[#This Row],[DURATION BACKET]]="1 TO 2 HOURS",3,
     CALLS[[#This Row],[DURATION BACKET]]="&gt; 2 HOURS",4)</f>
        <v>3</v>
      </c>
      <c r="N205">
        <f>(CALLS[[#This Row],[Purchase Amount]]/ 1)</f>
        <v>129</v>
      </c>
    </row>
    <row r="206" spans="2:14" x14ac:dyDescent="0.25">
      <c r="B206" s="22" t="s">
        <v>228</v>
      </c>
      <c r="C206" s="4" t="s">
        <v>17</v>
      </c>
      <c r="D206" s="4">
        <v>63</v>
      </c>
      <c r="E206" s="5" t="s">
        <v>13</v>
      </c>
      <c r="F206" s="9">
        <v>44996</v>
      </c>
      <c r="G206" s="4">
        <v>42</v>
      </c>
      <c r="H206" s="23">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Row],[Duration]]&lt;=30,"10 TO 30 MINS",
     CALLS[[#This Row],[Duration]]&lt;=120,"1 TO 2 HOURS",
     TRUE,"&gt; 2 HOURS")</f>
        <v>1 TO 2 HOURS</v>
      </c>
      <c r="L206">
        <f>ROUND(CALLS[[#This Row],[Satisfaction Rating]],0)</f>
        <v>4</v>
      </c>
      <c r="M206" cm="1">
        <f t="array" ref="M206">_xlfn.IFS(CALLS[[#This Row],[DURATION BACKET]]="UNDER 10 MINS",1,
     CALLS[[#This Row],[DURATION BACKET]]="10 TO 30 MINS",2,
     CALLS[[#This Row],[DURATION BACKET]]="1 TO 2 HOURS",3,
     CALLS[[#This Row],[DURATION BACKET]]="&gt; 2 HOURS",4)</f>
        <v>3</v>
      </c>
      <c r="N206">
        <f>(CALLS[[#This Row],[Purchase Amount]]/ 1)</f>
        <v>42</v>
      </c>
    </row>
    <row r="207" spans="2:14" x14ac:dyDescent="0.25">
      <c r="B207" s="22" t="s">
        <v>229</v>
      </c>
      <c r="C207" s="4" t="s">
        <v>22</v>
      </c>
      <c r="D207" s="4">
        <v>83</v>
      </c>
      <c r="E207" s="5" t="s">
        <v>13</v>
      </c>
      <c r="F207" s="9">
        <v>44996</v>
      </c>
      <c r="G207" s="4">
        <v>42</v>
      </c>
      <c r="H207" s="23">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Row],[Duration]]&lt;=30,"10 TO 30 MINS",
     CALLS[[#This Row],[Duration]]&lt;=120,"1 TO 2 HOURS",
     TRUE,"&gt; 2 HOURS")</f>
        <v>1 TO 2 HOURS</v>
      </c>
      <c r="L207">
        <f>ROUND(CALLS[[#This Row],[Satisfaction Rating]],0)</f>
        <v>4</v>
      </c>
      <c r="M207" cm="1">
        <f t="array" ref="M207">_xlfn.IFS(CALLS[[#This Row],[DURATION BACKET]]="UNDER 10 MINS",1,
     CALLS[[#This Row],[DURATION BACKET]]="10 TO 30 MINS",2,
     CALLS[[#This Row],[DURATION BACKET]]="1 TO 2 HOURS",3,
     CALLS[[#This Row],[DURATION BACKET]]="&gt; 2 HOURS",4)</f>
        <v>3</v>
      </c>
      <c r="N207">
        <f>(CALLS[[#This Row],[Purchase Amount]]/ 1)</f>
        <v>42</v>
      </c>
    </row>
    <row r="208" spans="2:14" x14ac:dyDescent="0.25">
      <c r="B208" s="22" t="s">
        <v>230</v>
      </c>
      <c r="C208" s="4" t="s">
        <v>14</v>
      </c>
      <c r="D208" s="4">
        <v>134</v>
      </c>
      <c r="E208" s="5" t="s">
        <v>10</v>
      </c>
      <c r="F208" s="9">
        <v>44996</v>
      </c>
      <c r="G208" s="4">
        <v>180</v>
      </c>
      <c r="H208" s="23">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Row],[Duration]]&lt;=30,"10 TO 30 MINS",
     CALLS[[#This Row],[Duration]]&lt;=120,"1 TO 2 HOURS",
     TRUE,"&gt; 2 HOURS")</f>
        <v>&gt; 2 HOURS</v>
      </c>
      <c r="L208">
        <f>ROUND(CALLS[[#This Row],[Satisfaction Rating]],0)</f>
        <v>3</v>
      </c>
      <c r="M208" cm="1">
        <f t="array" ref="M208">_xlfn.IFS(CALLS[[#This Row],[DURATION BACKET]]="UNDER 10 MINS",1,
     CALLS[[#This Row],[DURATION BACKET]]="10 TO 30 MINS",2,
     CALLS[[#This Row],[DURATION BACKET]]="1 TO 2 HOURS",3,
     CALLS[[#This Row],[DURATION BACKET]]="&gt; 2 HOURS",4)</f>
        <v>4</v>
      </c>
      <c r="N208">
        <f>(CALLS[[#This Row],[Purchase Amount]]/ 1)</f>
        <v>180</v>
      </c>
    </row>
    <row r="209" spans="2:14" x14ac:dyDescent="0.25">
      <c r="B209" s="22" t="s">
        <v>231</v>
      </c>
      <c r="C209" s="4" t="s">
        <v>8</v>
      </c>
      <c r="D209" s="4">
        <v>73</v>
      </c>
      <c r="E209" s="5" t="s">
        <v>13</v>
      </c>
      <c r="F209" s="9">
        <v>44997</v>
      </c>
      <c r="G209" s="4">
        <v>34</v>
      </c>
      <c r="H209" s="23">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Row],[Duration]]&lt;=30,"10 TO 30 MINS",
     CALLS[[#This Row],[Duration]]&lt;=120,"1 TO 2 HOURS",
     TRUE,"&gt; 2 HOURS")</f>
        <v>1 TO 2 HOURS</v>
      </c>
      <c r="L209">
        <f>ROUND(CALLS[[#This Row],[Satisfaction Rating]],0)</f>
        <v>5</v>
      </c>
      <c r="M209" cm="1">
        <f t="array" ref="M209">_xlfn.IFS(CALLS[[#This Row],[DURATION BACKET]]="UNDER 10 MINS",1,
     CALLS[[#This Row],[DURATION BACKET]]="10 TO 30 MINS",2,
     CALLS[[#This Row],[DURATION BACKET]]="1 TO 2 HOURS",3,
     CALLS[[#This Row],[DURATION BACKET]]="&gt; 2 HOURS",4)</f>
        <v>3</v>
      </c>
      <c r="N209">
        <f>(CALLS[[#This Row],[Purchase Amount]]/ 1)</f>
        <v>34</v>
      </c>
    </row>
    <row r="210" spans="2:14" x14ac:dyDescent="0.25">
      <c r="B210" s="22" t="s">
        <v>232</v>
      </c>
      <c r="C210" s="4" t="s">
        <v>5</v>
      </c>
      <c r="D210" s="4">
        <v>6</v>
      </c>
      <c r="E210" s="5" t="s">
        <v>6</v>
      </c>
      <c r="F210" s="9">
        <v>44997</v>
      </c>
      <c r="G210" s="4">
        <v>29</v>
      </c>
      <c r="H210" s="23">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Row],[Duration]]&lt;=30,"10 TO 30 MINS",
     CALLS[[#This Row],[Duration]]&lt;=120,"1 TO 2 HOURS",
     TRUE,"&gt; 2 HOURS")</f>
        <v>UNDER 10 MINS</v>
      </c>
      <c r="L210">
        <f>ROUND(CALLS[[#This Row],[Satisfaction Rating]],0)</f>
        <v>5</v>
      </c>
      <c r="M210" cm="1">
        <f t="array" ref="M210">_xlfn.IFS(CALLS[[#This Row],[DURATION BACKET]]="UNDER 10 MINS",1,
     CALLS[[#This Row],[DURATION BACKET]]="10 TO 30 MINS",2,
     CALLS[[#This Row],[DURATION BACKET]]="1 TO 2 HOURS",3,
     CALLS[[#This Row],[DURATION BACKET]]="&gt; 2 HOURS",4)</f>
        <v>1</v>
      </c>
      <c r="N210">
        <f>(CALLS[[#This Row],[Purchase Amount]]/ 1)</f>
        <v>29</v>
      </c>
    </row>
    <row r="211" spans="2:14" x14ac:dyDescent="0.25">
      <c r="B211" s="22" t="s">
        <v>233</v>
      </c>
      <c r="C211" s="4" t="s">
        <v>16</v>
      </c>
      <c r="D211" s="4">
        <v>46</v>
      </c>
      <c r="E211" s="5" t="s">
        <v>9</v>
      </c>
      <c r="F211" s="9">
        <v>44997</v>
      </c>
      <c r="G211" s="4">
        <v>165</v>
      </c>
      <c r="H211" s="23">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Row],[Duration]]&lt;=30,"10 TO 30 MINS",
     CALLS[[#This Row],[Duration]]&lt;=120,"1 TO 2 HOURS",
     TRUE,"&gt; 2 HOURS")</f>
        <v>1 TO 2 HOURS</v>
      </c>
      <c r="L211">
        <f>ROUND(CALLS[[#This Row],[Satisfaction Rating]],0)</f>
        <v>3</v>
      </c>
      <c r="M211" cm="1">
        <f t="array" ref="M211">_xlfn.IFS(CALLS[[#This Row],[DURATION BACKET]]="UNDER 10 MINS",1,
     CALLS[[#This Row],[DURATION BACKET]]="10 TO 30 MINS",2,
     CALLS[[#This Row],[DURATION BACKET]]="1 TO 2 HOURS",3,
     CALLS[[#This Row],[DURATION BACKET]]="&gt; 2 HOURS",4)</f>
        <v>3</v>
      </c>
      <c r="N211">
        <f>(CALLS[[#This Row],[Purchase Amount]]/ 1)</f>
        <v>165</v>
      </c>
    </row>
    <row r="212" spans="2:14" x14ac:dyDescent="0.25">
      <c r="B212" s="22" t="s">
        <v>234</v>
      </c>
      <c r="C212" s="4" t="s">
        <v>5</v>
      </c>
      <c r="D212" s="4">
        <v>121</v>
      </c>
      <c r="E212" s="5" t="s">
        <v>13</v>
      </c>
      <c r="F212" s="9">
        <v>44998</v>
      </c>
      <c r="G212" s="4">
        <v>32</v>
      </c>
      <c r="H212" s="23">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Row],[Duration]]&lt;=30,"10 TO 30 MINS",
     CALLS[[#This Row],[Duration]]&lt;=120,"1 TO 2 HOURS",
     TRUE,"&gt; 2 HOURS")</f>
        <v>&gt; 2 HOURS</v>
      </c>
      <c r="L212">
        <f>ROUND(CALLS[[#This Row],[Satisfaction Rating]],0)</f>
        <v>4</v>
      </c>
      <c r="M212" cm="1">
        <f t="array" ref="M212">_xlfn.IFS(CALLS[[#This Row],[DURATION BACKET]]="UNDER 10 MINS",1,
     CALLS[[#This Row],[DURATION BACKET]]="10 TO 30 MINS",2,
     CALLS[[#This Row],[DURATION BACKET]]="1 TO 2 HOURS",3,
     CALLS[[#This Row],[DURATION BACKET]]="&gt; 2 HOURS",4)</f>
        <v>4</v>
      </c>
      <c r="N212">
        <f>(CALLS[[#This Row],[Purchase Amount]]/ 1)</f>
        <v>32</v>
      </c>
    </row>
    <row r="213" spans="2:14" x14ac:dyDescent="0.25">
      <c r="B213" s="22" t="s">
        <v>235</v>
      </c>
      <c r="C213" s="4" t="s">
        <v>17</v>
      </c>
      <c r="D213" s="4">
        <v>61</v>
      </c>
      <c r="E213" s="5" t="s">
        <v>11</v>
      </c>
      <c r="F213" s="9">
        <v>44998</v>
      </c>
      <c r="G213" s="4">
        <v>160</v>
      </c>
      <c r="H213" s="2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Row],[Duration]]&lt;=30,"10 TO 30 MINS",
     CALLS[[#This Row],[Duration]]&lt;=120,"1 TO 2 HOURS",
     TRUE,"&gt; 2 HOURS")</f>
        <v>1 TO 2 HOURS</v>
      </c>
      <c r="L213">
        <f>ROUND(CALLS[[#This Row],[Satisfaction Rating]],0)</f>
        <v>5</v>
      </c>
      <c r="M213" cm="1">
        <f t="array" ref="M213">_xlfn.IFS(CALLS[[#This Row],[DURATION BACKET]]="UNDER 10 MINS",1,
     CALLS[[#This Row],[DURATION BACKET]]="10 TO 30 MINS",2,
     CALLS[[#This Row],[DURATION BACKET]]="1 TO 2 HOURS",3,
     CALLS[[#This Row],[DURATION BACKET]]="&gt; 2 HOURS",4)</f>
        <v>3</v>
      </c>
      <c r="N213">
        <f>(CALLS[[#This Row],[Purchase Amount]]/ 1)</f>
        <v>160</v>
      </c>
    </row>
    <row r="214" spans="2:14" x14ac:dyDescent="0.25">
      <c r="B214" s="22" t="s">
        <v>236</v>
      </c>
      <c r="C214" s="4" t="s">
        <v>14</v>
      </c>
      <c r="D214" s="4">
        <v>144</v>
      </c>
      <c r="E214" s="5" t="s">
        <v>10</v>
      </c>
      <c r="F214" s="9">
        <v>44998</v>
      </c>
      <c r="G214" s="4">
        <v>140</v>
      </c>
      <c r="H214" s="23">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Row],[Duration]]&lt;=30,"10 TO 30 MINS",
     CALLS[[#This Row],[Duration]]&lt;=120,"1 TO 2 HOURS",
     TRUE,"&gt; 2 HOURS")</f>
        <v>&gt; 2 HOURS</v>
      </c>
      <c r="L214">
        <f>ROUND(CALLS[[#This Row],[Satisfaction Rating]],0)</f>
        <v>4</v>
      </c>
      <c r="M214" cm="1">
        <f t="array" ref="M214">_xlfn.IFS(CALLS[[#This Row],[DURATION BACKET]]="UNDER 10 MINS",1,
     CALLS[[#This Row],[DURATION BACKET]]="10 TO 30 MINS",2,
     CALLS[[#This Row],[DURATION BACKET]]="1 TO 2 HOURS",3,
     CALLS[[#This Row],[DURATION BACKET]]="&gt; 2 HOURS",4)</f>
        <v>4</v>
      </c>
      <c r="N214">
        <f>(CALLS[[#This Row],[Purchase Amount]]/ 1)</f>
        <v>140</v>
      </c>
    </row>
    <row r="215" spans="2:14" x14ac:dyDescent="0.25">
      <c r="B215" s="22" t="s">
        <v>237</v>
      </c>
      <c r="C215" s="4" t="s">
        <v>16</v>
      </c>
      <c r="D215" s="4">
        <v>145</v>
      </c>
      <c r="E215" s="5" t="s">
        <v>10</v>
      </c>
      <c r="F215" s="9">
        <v>44998</v>
      </c>
      <c r="G215" s="4">
        <v>136</v>
      </c>
      <c r="H215" s="23">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Row],[Duration]]&lt;=30,"10 TO 30 MINS",
     CALLS[[#This Row],[Duration]]&lt;=120,"1 TO 2 HOURS",
     TRUE,"&gt; 2 HOURS")</f>
        <v>&gt; 2 HOURS</v>
      </c>
      <c r="L215">
        <f>ROUND(CALLS[[#This Row],[Satisfaction Rating]],0)</f>
        <v>4</v>
      </c>
      <c r="M215" cm="1">
        <f t="array" ref="M215">_xlfn.IFS(CALLS[[#This Row],[DURATION BACKET]]="UNDER 10 MINS",1,
     CALLS[[#This Row],[DURATION BACKET]]="10 TO 30 MINS",2,
     CALLS[[#This Row],[DURATION BACKET]]="1 TO 2 HOURS",3,
     CALLS[[#This Row],[DURATION BACKET]]="&gt; 2 HOURS",4)</f>
        <v>4</v>
      </c>
      <c r="N215">
        <f>(CALLS[[#This Row],[Purchase Amount]]/ 1)</f>
        <v>136</v>
      </c>
    </row>
    <row r="216" spans="2:14" x14ac:dyDescent="0.25">
      <c r="B216" s="22" t="s">
        <v>238</v>
      </c>
      <c r="C216" s="4" t="s">
        <v>23</v>
      </c>
      <c r="D216" s="4">
        <v>85</v>
      </c>
      <c r="E216" s="5" t="s">
        <v>6</v>
      </c>
      <c r="F216" s="9">
        <v>44998</v>
      </c>
      <c r="G216" s="4">
        <v>66</v>
      </c>
      <c r="H216" s="23">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Row],[Duration]]&lt;=30,"10 TO 30 MINS",
     CALLS[[#This Row],[Duration]]&lt;=120,"1 TO 2 HOURS",
     TRUE,"&gt; 2 HOURS")</f>
        <v>1 TO 2 HOURS</v>
      </c>
      <c r="L216">
        <f>ROUND(CALLS[[#This Row],[Satisfaction Rating]],0)</f>
        <v>3</v>
      </c>
      <c r="M216" cm="1">
        <f t="array" ref="M216">_xlfn.IFS(CALLS[[#This Row],[DURATION BACKET]]="UNDER 10 MINS",1,
     CALLS[[#This Row],[DURATION BACKET]]="10 TO 30 MINS",2,
     CALLS[[#This Row],[DURATION BACKET]]="1 TO 2 HOURS",3,
     CALLS[[#This Row],[DURATION BACKET]]="&gt; 2 HOURS",4)</f>
        <v>3</v>
      </c>
      <c r="N216">
        <f>(CALLS[[#This Row],[Purchase Amount]]/ 1)</f>
        <v>66</v>
      </c>
    </row>
    <row r="217" spans="2:14" x14ac:dyDescent="0.25">
      <c r="B217" s="22" t="s">
        <v>239</v>
      </c>
      <c r="C217" s="4" t="s">
        <v>16</v>
      </c>
      <c r="D217" s="4">
        <v>13</v>
      </c>
      <c r="E217" s="5" t="s">
        <v>11</v>
      </c>
      <c r="F217" s="9">
        <v>44999</v>
      </c>
      <c r="G217" s="4">
        <v>63</v>
      </c>
      <c r="H217" s="23">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Row],[Duration]]&lt;=30,"10 TO 30 MINS",
     CALLS[[#This Row],[Duration]]&lt;=120,"1 TO 2 HOURS",
     TRUE,"&gt; 2 HOURS")</f>
        <v>10 TO 30 MINS</v>
      </c>
      <c r="L217">
        <f>ROUND(CALLS[[#This Row],[Satisfaction Rating]],0)</f>
        <v>4</v>
      </c>
      <c r="M217" cm="1">
        <f t="array" ref="M217">_xlfn.IFS(CALLS[[#This Row],[DURATION BACKET]]="UNDER 10 MINS",1,
     CALLS[[#This Row],[DURATION BACKET]]="10 TO 30 MINS",2,
     CALLS[[#This Row],[DURATION BACKET]]="1 TO 2 HOURS",3,
     CALLS[[#This Row],[DURATION BACKET]]="&gt; 2 HOURS",4)</f>
        <v>2</v>
      </c>
      <c r="N217">
        <f>(CALLS[[#This Row],[Purchase Amount]]/ 1)</f>
        <v>63</v>
      </c>
    </row>
    <row r="218" spans="2:14" x14ac:dyDescent="0.25">
      <c r="B218" s="22" t="s">
        <v>240</v>
      </c>
      <c r="C218" s="4" t="s">
        <v>20</v>
      </c>
      <c r="D218" s="4">
        <v>142</v>
      </c>
      <c r="E218" s="5" t="s">
        <v>13</v>
      </c>
      <c r="F218" s="9">
        <v>44999</v>
      </c>
      <c r="G218" s="4">
        <v>44</v>
      </c>
      <c r="H218" s="23">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Row],[Duration]]&lt;=30,"10 TO 30 MINS",
     CALLS[[#This Row],[Duration]]&lt;=120,"1 TO 2 HOURS",
     TRUE,"&gt; 2 HOURS")</f>
        <v>&gt; 2 HOURS</v>
      </c>
      <c r="L218">
        <f>ROUND(CALLS[[#This Row],[Satisfaction Rating]],0)</f>
        <v>4</v>
      </c>
      <c r="M218" cm="1">
        <f t="array" ref="M218">_xlfn.IFS(CALLS[[#This Row],[DURATION BACKET]]="UNDER 10 MINS",1,
     CALLS[[#This Row],[DURATION BACKET]]="10 TO 30 MINS",2,
     CALLS[[#This Row],[DURATION BACKET]]="1 TO 2 HOURS",3,
     CALLS[[#This Row],[DURATION BACKET]]="&gt; 2 HOURS",4)</f>
        <v>4</v>
      </c>
      <c r="N218">
        <f>(CALLS[[#This Row],[Purchase Amount]]/ 1)</f>
        <v>44</v>
      </c>
    </row>
    <row r="219" spans="2:14" x14ac:dyDescent="0.25">
      <c r="B219" s="22" t="s">
        <v>241</v>
      </c>
      <c r="C219" s="4" t="s">
        <v>14</v>
      </c>
      <c r="D219" s="4">
        <v>28</v>
      </c>
      <c r="E219" s="5" t="s">
        <v>9</v>
      </c>
      <c r="F219" s="9">
        <v>44999</v>
      </c>
      <c r="G219" s="4">
        <v>78</v>
      </c>
      <c r="H219" s="23">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Row],[Duration]]&lt;=30,"10 TO 30 MINS",
     CALLS[[#This Row],[Duration]]&lt;=120,"1 TO 2 HOURS",
     TRUE,"&gt; 2 HOURS")</f>
        <v>10 TO 30 MINS</v>
      </c>
      <c r="L219">
        <f>ROUND(CALLS[[#This Row],[Satisfaction Rating]],0)</f>
        <v>4</v>
      </c>
      <c r="M219" cm="1">
        <f t="array" ref="M219">_xlfn.IFS(CALLS[[#This Row],[DURATION BACKET]]="UNDER 10 MINS",1,
     CALLS[[#This Row],[DURATION BACKET]]="10 TO 30 MINS",2,
     CALLS[[#This Row],[DURATION BACKET]]="1 TO 2 HOURS",3,
     CALLS[[#This Row],[DURATION BACKET]]="&gt; 2 HOURS",4)</f>
        <v>2</v>
      </c>
      <c r="N219">
        <f>(CALLS[[#This Row],[Purchase Amount]]/ 1)</f>
        <v>78</v>
      </c>
    </row>
    <row r="220" spans="2:14" x14ac:dyDescent="0.25">
      <c r="B220" s="22" t="s">
        <v>242</v>
      </c>
      <c r="C220" s="4" t="s">
        <v>14</v>
      </c>
      <c r="D220" s="4">
        <v>119</v>
      </c>
      <c r="E220" s="5" t="s">
        <v>13</v>
      </c>
      <c r="F220" s="9">
        <v>44999</v>
      </c>
      <c r="G220" s="4">
        <v>20</v>
      </c>
      <c r="H220" s="23">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Row],[Duration]]&lt;=30,"10 TO 30 MINS",
     CALLS[[#This Row],[Duration]]&lt;=120,"1 TO 2 HOURS",
     TRUE,"&gt; 2 HOURS")</f>
        <v>1 TO 2 HOURS</v>
      </c>
      <c r="L220">
        <f>ROUND(CALLS[[#This Row],[Satisfaction Rating]],0)</f>
        <v>4</v>
      </c>
      <c r="M220" cm="1">
        <f t="array" ref="M220">_xlfn.IFS(CALLS[[#This Row],[DURATION BACKET]]="UNDER 10 MINS",1,
     CALLS[[#This Row],[DURATION BACKET]]="10 TO 30 MINS",2,
     CALLS[[#This Row],[DURATION BACKET]]="1 TO 2 HOURS",3,
     CALLS[[#This Row],[DURATION BACKET]]="&gt; 2 HOURS",4)</f>
        <v>3</v>
      </c>
      <c r="N220">
        <f>(CALLS[[#This Row],[Purchase Amount]]/ 1)</f>
        <v>20</v>
      </c>
    </row>
    <row r="221" spans="2:14" x14ac:dyDescent="0.25">
      <c r="B221" s="22" t="s">
        <v>243</v>
      </c>
      <c r="C221" s="4" t="s">
        <v>5</v>
      </c>
      <c r="D221" s="4">
        <v>65</v>
      </c>
      <c r="E221" s="5" t="s">
        <v>6</v>
      </c>
      <c r="F221" s="9">
        <v>44999</v>
      </c>
      <c r="G221" s="4">
        <v>84</v>
      </c>
      <c r="H221" s="23">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Row],[Duration]]&lt;=30,"10 TO 30 MINS",
     CALLS[[#This Row],[Duration]]&lt;=120,"1 TO 2 HOURS",
     TRUE,"&gt; 2 HOURS")</f>
        <v>1 TO 2 HOURS</v>
      </c>
      <c r="L221">
        <f>ROUND(CALLS[[#This Row],[Satisfaction Rating]],0)</f>
        <v>3</v>
      </c>
      <c r="M221" cm="1">
        <f t="array" ref="M221">_xlfn.IFS(CALLS[[#This Row],[DURATION BACKET]]="UNDER 10 MINS",1,
     CALLS[[#This Row],[DURATION BACKET]]="10 TO 30 MINS",2,
     CALLS[[#This Row],[DURATION BACKET]]="1 TO 2 HOURS",3,
     CALLS[[#This Row],[DURATION BACKET]]="&gt; 2 HOURS",4)</f>
        <v>3</v>
      </c>
      <c r="N221">
        <f>(CALLS[[#This Row],[Purchase Amount]]/ 1)</f>
        <v>84</v>
      </c>
    </row>
    <row r="222" spans="2:14" x14ac:dyDescent="0.25">
      <c r="B222" s="22" t="s">
        <v>244</v>
      </c>
      <c r="C222" s="4" t="s">
        <v>24</v>
      </c>
      <c r="D222" s="4">
        <v>68</v>
      </c>
      <c r="E222" s="5" t="s">
        <v>6</v>
      </c>
      <c r="F222" s="9">
        <v>44999</v>
      </c>
      <c r="G222" s="4">
        <v>32</v>
      </c>
      <c r="H222" s="23">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Row],[Duration]]&lt;=30,"10 TO 30 MINS",
     CALLS[[#This Row],[Duration]]&lt;=120,"1 TO 2 HOURS",
     TRUE,"&gt; 2 HOURS")</f>
        <v>1 TO 2 HOURS</v>
      </c>
      <c r="L222">
        <f>ROUND(CALLS[[#This Row],[Satisfaction Rating]],0)</f>
        <v>5</v>
      </c>
      <c r="M222" cm="1">
        <f t="array" ref="M222">_xlfn.IFS(CALLS[[#This Row],[DURATION BACKET]]="UNDER 10 MINS",1,
     CALLS[[#This Row],[DURATION BACKET]]="10 TO 30 MINS",2,
     CALLS[[#This Row],[DURATION BACKET]]="1 TO 2 HOURS",3,
     CALLS[[#This Row],[DURATION BACKET]]="&gt; 2 HOURS",4)</f>
        <v>3</v>
      </c>
      <c r="N222">
        <f>(CALLS[[#This Row],[Purchase Amount]]/ 1)</f>
        <v>32</v>
      </c>
    </row>
    <row r="223" spans="2:14" x14ac:dyDescent="0.25">
      <c r="B223" s="22" t="s">
        <v>245</v>
      </c>
      <c r="C223" s="4" t="s">
        <v>22</v>
      </c>
      <c r="D223" s="4">
        <v>72</v>
      </c>
      <c r="E223" s="5" t="s">
        <v>9</v>
      </c>
      <c r="F223" s="9">
        <v>44999</v>
      </c>
      <c r="G223" s="4">
        <v>132</v>
      </c>
      <c r="H223" s="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Row],[Duration]]&lt;=30,"10 TO 30 MINS",
     CALLS[[#This Row],[Duration]]&lt;=120,"1 TO 2 HOURS",
     TRUE,"&gt; 2 HOURS")</f>
        <v>1 TO 2 HOURS</v>
      </c>
      <c r="L223">
        <f>ROUND(CALLS[[#This Row],[Satisfaction Rating]],0)</f>
        <v>3</v>
      </c>
      <c r="M223" cm="1">
        <f t="array" ref="M223">_xlfn.IFS(CALLS[[#This Row],[DURATION BACKET]]="UNDER 10 MINS",1,
     CALLS[[#This Row],[DURATION BACKET]]="10 TO 30 MINS",2,
     CALLS[[#This Row],[DURATION BACKET]]="1 TO 2 HOURS",3,
     CALLS[[#This Row],[DURATION BACKET]]="&gt; 2 HOURS",4)</f>
        <v>3</v>
      </c>
      <c r="N223">
        <f>(CALLS[[#This Row],[Purchase Amount]]/ 1)</f>
        <v>132</v>
      </c>
    </row>
    <row r="224" spans="2:14" x14ac:dyDescent="0.25">
      <c r="B224" s="22" t="s">
        <v>246</v>
      </c>
      <c r="C224" s="4" t="s">
        <v>22</v>
      </c>
      <c r="D224" s="4">
        <v>63</v>
      </c>
      <c r="E224" s="5" t="s">
        <v>10</v>
      </c>
      <c r="F224" s="9">
        <v>44999</v>
      </c>
      <c r="G224" s="4">
        <v>105</v>
      </c>
      <c r="H224" s="23">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Row],[Duration]]&lt;=30,"10 TO 30 MINS",
     CALLS[[#This Row],[Duration]]&lt;=120,"1 TO 2 HOURS",
     TRUE,"&gt; 2 HOURS")</f>
        <v>1 TO 2 HOURS</v>
      </c>
      <c r="L224">
        <f>ROUND(CALLS[[#This Row],[Satisfaction Rating]],0)</f>
        <v>3</v>
      </c>
      <c r="M224" cm="1">
        <f t="array" ref="M224">_xlfn.IFS(CALLS[[#This Row],[DURATION BACKET]]="UNDER 10 MINS",1,
     CALLS[[#This Row],[DURATION BACKET]]="10 TO 30 MINS",2,
     CALLS[[#This Row],[DURATION BACKET]]="1 TO 2 HOURS",3,
     CALLS[[#This Row],[DURATION BACKET]]="&gt; 2 HOURS",4)</f>
        <v>3</v>
      </c>
      <c r="N224">
        <f>(CALLS[[#This Row],[Purchase Amount]]/ 1)</f>
        <v>105</v>
      </c>
    </row>
    <row r="225" spans="2:14" x14ac:dyDescent="0.25">
      <c r="B225" s="22" t="s">
        <v>247</v>
      </c>
      <c r="C225" s="4" t="s">
        <v>12</v>
      </c>
      <c r="D225" s="4">
        <v>139</v>
      </c>
      <c r="E225" s="5" t="s">
        <v>13</v>
      </c>
      <c r="F225" s="9">
        <v>45000</v>
      </c>
      <c r="G225" s="4">
        <v>48</v>
      </c>
      <c r="H225" s="23">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Row],[Duration]]&lt;=30,"10 TO 30 MINS",
     CALLS[[#This Row],[Duration]]&lt;=120,"1 TO 2 HOURS",
     TRUE,"&gt; 2 HOURS")</f>
        <v>&gt; 2 HOURS</v>
      </c>
      <c r="L225">
        <f>ROUND(CALLS[[#This Row],[Satisfaction Rating]],0)</f>
        <v>5</v>
      </c>
      <c r="M225" cm="1">
        <f t="array" ref="M225">_xlfn.IFS(CALLS[[#This Row],[DURATION BACKET]]="UNDER 10 MINS",1,
     CALLS[[#This Row],[DURATION BACKET]]="10 TO 30 MINS",2,
     CALLS[[#This Row],[DURATION BACKET]]="1 TO 2 HOURS",3,
     CALLS[[#This Row],[DURATION BACKET]]="&gt; 2 HOURS",4)</f>
        <v>4</v>
      </c>
      <c r="N225">
        <f>(CALLS[[#This Row],[Purchase Amount]]/ 1)</f>
        <v>48</v>
      </c>
    </row>
    <row r="226" spans="2:14" x14ac:dyDescent="0.25">
      <c r="B226" s="22" t="s">
        <v>248</v>
      </c>
      <c r="C226" s="4" t="s">
        <v>14</v>
      </c>
      <c r="D226" s="4">
        <v>59</v>
      </c>
      <c r="E226" s="5" t="s">
        <v>13</v>
      </c>
      <c r="F226" s="9">
        <v>45000</v>
      </c>
      <c r="G226" s="4">
        <v>64</v>
      </c>
      <c r="H226" s="23">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Row],[Duration]]&lt;=30,"10 TO 30 MINS",
     CALLS[[#This Row],[Duration]]&lt;=120,"1 TO 2 HOURS",
     TRUE,"&gt; 2 HOURS")</f>
        <v>1 TO 2 HOURS</v>
      </c>
      <c r="L226">
        <f>ROUND(CALLS[[#This Row],[Satisfaction Rating]],0)</f>
        <v>4</v>
      </c>
      <c r="M226" cm="1">
        <f t="array" ref="M226">_xlfn.IFS(CALLS[[#This Row],[DURATION BACKET]]="UNDER 10 MINS",1,
     CALLS[[#This Row],[DURATION BACKET]]="10 TO 30 MINS",2,
     CALLS[[#This Row],[DURATION BACKET]]="1 TO 2 HOURS",3,
     CALLS[[#This Row],[DURATION BACKET]]="&gt; 2 HOURS",4)</f>
        <v>3</v>
      </c>
      <c r="N226">
        <f>(CALLS[[#This Row],[Purchase Amount]]/ 1)</f>
        <v>64</v>
      </c>
    </row>
    <row r="227" spans="2:14" x14ac:dyDescent="0.25">
      <c r="B227" s="22" t="s">
        <v>249</v>
      </c>
      <c r="C227" s="4" t="s">
        <v>7</v>
      </c>
      <c r="D227" s="4">
        <v>138</v>
      </c>
      <c r="E227" s="5" t="s">
        <v>10</v>
      </c>
      <c r="F227" s="9">
        <v>45000</v>
      </c>
      <c r="G227" s="4">
        <v>44</v>
      </c>
      <c r="H227" s="23">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Row],[Duration]]&lt;=30,"10 TO 30 MINS",
     CALLS[[#This Row],[Duration]]&lt;=120,"1 TO 2 HOURS",
     TRUE,"&gt; 2 HOURS")</f>
        <v>&gt; 2 HOURS</v>
      </c>
      <c r="L227">
        <f>ROUND(CALLS[[#This Row],[Satisfaction Rating]],0)</f>
        <v>4</v>
      </c>
      <c r="M227" cm="1">
        <f t="array" ref="M227">_xlfn.IFS(CALLS[[#This Row],[DURATION BACKET]]="UNDER 10 MINS",1,
     CALLS[[#This Row],[DURATION BACKET]]="10 TO 30 MINS",2,
     CALLS[[#This Row],[DURATION BACKET]]="1 TO 2 HOURS",3,
     CALLS[[#This Row],[DURATION BACKET]]="&gt; 2 HOURS",4)</f>
        <v>4</v>
      </c>
      <c r="N227">
        <f>(CALLS[[#This Row],[Purchase Amount]]/ 1)</f>
        <v>44</v>
      </c>
    </row>
    <row r="228" spans="2:14" x14ac:dyDescent="0.25">
      <c r="B228" s="22" t="s">
        <v>250</v>
      </c>
      <c r="C228" s="4" t="s">
        <v>12</v>
      </c>
      <c r="D228" s="4">
        <v>47</v>
      </c>
      <c r="E228" s="5" t="s">
        <v>9</v>
      </c>
      <c r="F228" s="9">
        <v>45000</v>
      </c>
      <c r="G228" s="4">
        <v>120</v>
      </c>
      <c r="H228" s="23">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Row],[Duration]]&lt;=30,"10 TO 30 MINS",
     CALLS[[#This Row],[Duration]]&lt;=120,"1 TO 2 HOURS",
     TRUE,"&gt; 2 HOURS")</f>
        <v>1 TO 2 HOURS</v>
      </c>
      <c r="L228">
        <f>ROUND(CALLS[[#This Row],[Satisfaction Rating]],0)</f>
        <v>3</v>
      </c>
      <c r="M228" cm="1">
        <f t="array" ref="M228">_xlfn.IFS(CALLS[[#This Row],[DURATION BACKET]]="UNDER 10 MINS",1,
     CALLS[[#This Row],[DURATION BACKET]]="10 TO 30 MINS",2,
     CALLS[[#This Row],[DURATION BACKET]]="1 TO 2 HOURS",3,
     CALLS[[#This Row],[DURATION BACKET]]="&gt; 2 HOURS",4)</f>
        <v>3</v>
      </c>
      <c r="N228">
        <f>(CALLS[[#This Row],[Purchase Amount]]/ 1)</f>
        <v>120</v>
      </c>
    </row>
    <row r="229" spans="2:14" x14ac:dyDescent="0.25">
      <c r="B229" s="22" t="s">
        <v>251</v>
      </c>
      <c r="C229" s="4" t="s">
        <v>7</v>
      </c>
      <c r="D229" s="4">
        <v>74</v>
      </c>
      <c r="E229" s="5" t="s">
        <v>9</v>
      </c>
      <c r="F229" s="9">
        <v>45000</v>
      </c>
      <c r="G229" s="4">
        <v>144</v>
      </c>
      <c r="H229" s="23">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Row],[Duration]]&lt;=30,"10 TO 30 MINS",
     CALLS[[#This Row],[Duration]]&lt;=120,"1 TO 2 HOURS",
     TRUE,"&gt; 2 HOURS")</f>
        <v>1 TO 2 HOURS</v>
      </c>
      <c r="L229">
        <f>ROUND(CALLS[[#This Row],[Satisfaction Rating]],0)</f>
        <v>5</v>
      </c>
      <c r="M229" cm="1">
        <f t="array" ref="M229">_xlfn.IFS(CALLS[[#This Row],[DURATION BACKET]]="UNDER 10 MINS",1,
     CALLS[[#This Row],[DURATION BACKET]]="10 TO 30 MINS",2,
     CALLS[[#This Row],[DURATION BACKET]]="1 TO 2 HOURS",3,
     CALLS[[#This Row],[DURATION BACKET]]="&gt; 2 HOURS",4)</f>
        <v>3</v>
      </c>
      <c r="N229">
        <f>(CALLS[[#This Row],[Purchase Amount]]/ 1)</f>
        <v>144</v>
      </c>
    </row>
    <row r="230" spans="2:14" x14ac:dyDescent="0.25">
      <c r="B230" s="22" t="s">
        <v>252</v>
      </c>
      <c r="C230" s="4" t="s">
        <v>22</v>
      </c>
      <c r="D230" s="4">
        <v>65</v>
      </c>
      <c r="E230" s="5" t="s">
        <v>9</v>
      </c>
      <c r="F230" s="9">
        <v>45000</v>
      </c>
      <c r="G230" s="4">
        <v>87</v>
      </c>
      <c r="H230" s="23">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Row],[Duration]]&lt;=30,"10 TO 30 MINS",
     CALLS[[#This Row],[Duration]]&lt;=120,"1 TO 2 HOURS",
     TRUE,"&gt; 2 HOURS")</f>
        <v>1 TO 2 HOURS</v>
      </c>
      <c r="L230">
        <f>ROUND(CALLS[[#This Row],[Satisfaction Rating]],0)</f>
        <v>3</v>
      </c>
      <c r="M230" cm="1">
        <f t="array" ref="M230">_xlfn.IFS(CALLS[[#This Row],[DURATION BACKET]]="UNDER 10 MINS",1,
     CALLS[[#This Row],[DURATION BACKET]]="10 TO 30 MINS",2,
     CALLS[[#This Row],[DURATION BACKET]]="1 TO 2 HOURS",3,
     CALLS[[#This Row],[DURATION BACKET]]="&gt; 2 HOURS",4)</f>
        <v>3</v>
      </c>
      <c r="N230">
        <f>(CALLS[[#This Row],[Purchase Amount]]/ 1)</f>
        <v>87</v>
      </c>
    </row>
    <row r="231" spans="2:14" x14ac:dyDescent="0.25">
      <c r="B231" s="22" t="s">
        <v>253</v>
      </c>
      <c r="C231" s="4" t="s">
        <v>8</v>
      </c>
      <c r="D231" s="4">
        <v>123</v>
      </c>
      <c r="E231" s="5" t="s">
        <v>6</v>
      </c>
      <c r="F231" s="9">
        <v>45000</v>
      </c>
      <c r="G231" s="4">
        <v>36</v>
      </c>
      <c r="H231" s="23">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Row],[Duration]]&lt;=30,"10 TO 30 MINS",
     CALLS[[#This Row],[Duration]]&lt;=120,"1 TO 2 HOURS",
     TRUE,"&gt; 2 HOURS")</f>
        <v>&gt; 2 HOURS</v>
      </c>
      <c r="L231">
        <f>ROUND(CALLS[[#This Row],[Satisfaction Rating]],0)</f>
        <v>4</v>
      </c>
      <c r="M231" cm="1">
        <f t="array" ref="M231">_xlfn.IFS(CALLS[[#This Row],[DURATION BACKET]]="UNDER 10 MINS",1,
     CALLS[[#This Row],[DURATION BACKET]]="10 TO 30 MINS",2,
     CALLS[[#This Row],[DURATION BACKET]]="1 TO 2 HOURS",3,
     CALLS[[#This Row],[DURATION BACKET]]="&gt; 2 HOURS",4)</f>
        <v>4</v>
      </c>
      <c r="N231">
        <f>(CALLS[[#This Row],[Purchase Amount]]/ 1)</f>
        <v>36</v>
      </c>
    </row>
    <row r="232" spans="2:14" x14ac:dyDescent="0.25">
      <c r="B232" s="22" t="s">
        <v>254</v>
      </c>
      <c r="C232" s="4" t="s">
        <v>22</v>
      </c>
      <c r="D232" s="4">
        <v>90</v>
      </c>
      <c r="E232" s="5" t="s">
        <v>13</v>
      </c>
      <c r="F232" s="9">
        <v>45001</v>
      </c>
      <c r="G232" s="4">
        <v>72</v>
      </c>
      <c r="H232" s="23">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Row],[Duration]]&lt;=30,"10 TO 30 MINS",
     CALLS[[#This Row],[Duration]]&lt;=120,"1 TO 2 HOURS",
     TRUE,"&gt; 2 HOURS")</f>
        <v>1 TO 2 HOURS</v>
      </c>
      <c r="L232">
        <f>ROUND(CALLS[[#This Row],[Satisfaction Rating]],0)</f>
        <v>5</v>
      </c>
      <c r="M232" cm="1">
        <f t="array" ref="M232">_xlfn.IFS(CALLS[[#This Row],[DURATION BACKET]]="UNDER 10 MINS",1,
     CALLS[[#This Row],[DURATION BACKET]]="10 TO 30 MINS",2,
     CALLS[[#This Row],[DURATION BACKET]]="1 TO 2 HOURS",3,
     CALLS[[#This Row],[DURATION BACKET]]="&gt; 2 HOURS",4)</f>
        <v>3</v>
      </c>
      <c r="N232">
        <f>(CALLS[[#This Row],[Purchase Amount]]/ 1)</f>
        <v>72</v>
      </c>
    </row>
    <row r="233" spans="2:14" x14ac:dyDescent="0.25">
      <c r="B233" s="22" t="s">
        <v>255</v>
      </c>
      <c r="C233" s="4" t="s">
        <v>17</v>
      </c>
      <c r="D233" s="4">
        <v>127</v>
      </c>
      <c r="E233" s="5" t="s">
        <v>10</v>
      </c>
      <c r="F233" s="9">
        <v>45001</v>
      </c>
      <c r="G233" s="4">
        <v>150</v>
      </c>
      <c r="H233" s="2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Row],[Duration]]&lt;=30,"10 TO 30 MINS",
     CALLS[[#This Row],[Duration]]&lt;=120,"1 TO 2 HOURS",
     TRUE,"&gt; 2 HOURS")</f>
        <v>&gt; 2 HOURS</v>
      </c>
      <c r="L233">
        <f>ROUND(CALLS[[#This Row],[Satisfaction Rating]],0)</f>
        <v>4</v>
      </c>
      <c r="M233" cm="1">
        <f t="array" ref="M233">_xlfn.IFS(CALLS[[#This Row],[DURATION BACKET]]="UNDER 10 MINS",1,
     CALLS[[#This Row],[DURATION BACKET]]="10 TO 30 MINS",2,
     CALLS[[#This Row],[DURATION BACKET]]="1 TO 2 HOURS",3,
     CALLS[[#This Row],[DURATION BACKET]]="&gt; 2 HOURS",4)</f>
        <v>4</v>
      </c>
      <c r="N233">
        <f>(CALLS[[#This Row],[Purchase Amount]]/ 1)</f>
        <v>150</v>
      </c>
    </row>
    <row r="234" spans="2:14" x14ac:dyDescent="0.25">
      <c r="B234" s="22" t="s">
        <v>256</v>
      </c>
      <c r="C234" s="4" t="s">
        <v>21</v>
      </c>
      <c r="D234" s="4">
        <v>60</v>
      </c>
      <c r="E234" s="5" t="s">
        <v>9</v>
      </c>
      <c r="F234" s="9">
        <v>45001</v>
      </c>
      <c r="G234" s="4">
        <v>68</v>
      </c>
      <c r="H234" s="23">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Row],[Duration]]&lt;=30,"10 TO 30 MINS",
     CALLS[[#This Row],[Duration]]&lt;=120,"1 TO 2 HOURS",
     TRUE,"&gt; 2 HOURS")</f>
        <v>1 TO 2 HOURS</v>
      </c>
      <c r="L234">
        <f>ROUND(CALLS[[#This Row],[Satisfaction Rating]],0)</f>
        <v>4</v>
      </c>
      <c r="M234" cm="1">
        <f t="array" ref="M234">_xlfn.IFS(CALLS[[#This Row],[DURATION BACKET]]="UNDER 10 MINS",1,
     CALLS[[#This Row],[DURATION BACKET]]="10 TO 30 MINS",2,
     CALLS[[#This Row],[DURATION BACKET]]="1 TO 2 HOURS",3,
     CALLS[[#This Row],[DURATION BACKET]]="&gt; 2 HOURS",4)</f>
        <v>3</v>
      </c>
      <c r="N234">
        <f>(CALLS[[#This Row],[Purchase Amount]]/ 1)</f>
        <v>68</v>
      </c>
    </row>
    <row r="235" spans="2:14" x14ac:dyDescent="0.25">
      <c r="B235" s="22" t="s">
        <v>257</v>
      </c>
      <c r="C235" s="4" t="s">
        <v>12</v>
      </c>
      <c r="D235" s="4">
        <v>94</v>
      </c>
      <c r="E235" s="5" t="s">
        <v>10</v>
      </c>
      <c r="F235" s="9">
        <v>45001</v>
      </c>
      <c r="G235" s="4">
        <v>99</v>
      </c>
      <c r="H235" s="23">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Row],[Duration]]&lt;=30,"10 TO 30 MINS",
     CALLS[[#This Row],[Duration]]&lt;=120,"1 TO 2 HOURS",
     TRUE,"&gt; 2 HOURS")</f>
        <v>1 TO 2 HOURS</v>
      </c>
      <c r="L235">
        <f>ROUND(CALLS[[#This Row],[Satisfaction Rating]],0)</f>
        <v>5</v>
      </c>
      <c r="M235" cm="1">
        <f t="array" ref="M235">_xlfn.IFS(CALLS[[#This Row],[DURATION BACKET]]="UNDER 10 MINS",1,
     CALLS[[#This Row],[DURATION BACKET]]="10 TO 30 MINS",2,
     CALLS[[#This Row],[DURATION BACKET]]="1 TO 2 HOURS",3,
     CALLS[[#This Row],[DURATION BACKET]]="&gt; 2 HOURS",4)</f>
        <v>3</v>
      </c>
      <c r="N235">
        <f>(CALLS[[#This Row],[Purchase Amount]]/ 1)</f>
        <v>99</v>
      </c>
    </row>
    <row r="236" spans="2:14" x14ac:dyDescent="0.25">
      <c r="B236" s="22" t="s">
        <v>258</v>
      </c>
      <c r="C236" s="4" t="s">
        <v>8</v>
      </c>
      <c r="D236" s="4">
        <v>54</v>
      </c>
      <c r="E236" s="5" t="s">
        <v>9</v>
      </c>
      <c r="F236" s="9">
        <v>45001</v>
      </c>
      <c r="G236" s="4">
        <v>26</v>
      </c>
      <c r="H236" s="23">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Row],[Duration]]&lt;=30,"10 TO 30 MINS",
     CALLS[[#This Row],[Duration]]&lt;=120,"1 TO 2 HOURS",
     TRUE,"&gt; 2 HOURS")</f>
        <v>1 TO 2 HOURS</v>
      </c>
      <c r="L236">
        <f>ROUND(CALLS[[#This Row],[Satisfaction Rating]],0)</f>
        <v>5</v>
      </c>
      <c r="M236" cm="1">
        <f t="array" ref="M236">_xlfn.IFS(CALLS[[#This Row],[DURATION BACKET]]="UNDER 10 MINS",1,
     CALLS[[#This Row],[DURATION BACKET]]="10 TO 30 MINS",2,
     CALLS[[#This Row],[DURATION BACKET]]="1 TO 2 HOURS",3,
     CALLS[[#This Row],[DURATION BACKET]]="&gt; 2 HOURS",4)</f>
        <v>3</v>
      </c>
      <c r="N236">
        <f>(CALLS[[#This Row],[Purchase Amount]]/ 1)</f>
        <v>26</v>
      </c>
    </row>
    <row r="237" spans="2:14" x14ac:dyDescent="0.25">
      <c r="B237" s="22" t="s">
        <v>259</v>
      </c>
      <c r="C237" s="4" t="s">
        <v>22</v>
      </c>
      <c r="D237" s="4">
        <v>104</v>
      </c>
      <c r="E237" s="5" t="s">
        <v>9</v>
      </c>
      <c r="F237" s="9">
        <v>45001</v>
      </c>
      <c r="G237" s="4">
        <v>88</v>
      </c>
      <c r="H237" s="23">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Row],[Duration]]&lt;=30,"10 TO 30 MINS",
     CALLS[[#This Row],[Duration]]&lt;=120,"1 TO 2 HOURS",
     TRUE,"&gt; 2 HOURS")</f>
        <v>1 TO 2 HOURS</v>
      </c>
      <c r="L237">
        <f>ROUND(CALLS[[#This Row],[Satisfaction Rating]],0)</f>
        <v>3</v>
      </c>
      <c r="M237" cm="1">
        <f t="array" ref="M237">_xlfn.IFS(CALLS[[#This Row],[DURATION BACKET]]="UNDER 10 MINS",1,
     CALLS[[#This Row],[DURATION BACKET]]="10 TO 30 MINS",2,
     CALLS[[#This Row],[DURATION BACKET]]="1 TO 2 HOURS",3,
     CALLS[[#This Row],[DURATION BACKET]]="&gt; 2 HOURS",4)</f>
        <v>3</v>
      </c>
      <c r="N237">
        <f>(CALLS[[#This Row],[Purchase Amount]]/ 1)</f>
        <v>88</v>
      </c>
    </row>
    <row r="238" spans="2:14" x14ac:dyDescent="0.25">
      <c r="B238" s="22" t="s">
        <v>260</v>
      </c>
      <c r="C238" s="4" t="s">
        <v>15</v>
      </c>
      <c r="D238" s="4">
        <v>100</v>
      </c>
      <c r="E238" s="5" t="s">
        <v>9</v>
      </c>
      <c r="F238" s="9">
        <v>45001</v>
      </c>
      <c r="G238" s="4">
        <v>124</v>
      </c>
      <c r="H238" s="23">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Row],[Duration]]&lt;=30,"10 TO 30 MINS",
     CALLS[[#This Row],[Duration]]&lt;=120,"1 TO 2 HOURS",
     TRUE,"&gt; 2 HOURS")</f>
        <v>1 TO 2 HOURS</v>
      </c>
      <c r="L238">
        <f>ROUND(CALLS[[#This Row],[Satisfaction Rating]],0)</f>
        <v>3</v>
      </c>
      <c r="M238" cm="1">
        <f t="array" ref="M238">_xlfn.IFS(CALLS[[#This Row],[DURATION BACKET]]="UNDER 10 MINS",1,
     CALLS[[#This Row],[DURATION BACKET]]="10 TO 30 MINS",2,
     CALLS[[#This Row],[DURATION BACKET]]="1 TO 2 HOURS",3,
     CALLS[[#This Row],[DURATION BACKET]]="&gt; 2 HOURS",4)</f>
        <v>3</v>
      </c>
      <c r="N238">
        <f>(CALLS[[#This Row],[Purchase Amount]]/ 1)</f>
        <v>124</v>
      </c>
    </row>
    <row r="239" spans="2:14" x14ac:dyDescent="0.25">
      <c r="B239" s="22" t="s">
        <v>261</v>
      </c>
      <c r="C239" s="4" t="s">
        <v>7</v>
      </c>
      <c r="D239" s="4">
        <v>84</v>
      </c>
      <c r="E239" s="5" t="s">
        <v>9</v>
      </c>
      <c r="F239" s="9">
        <v>45001</v>
      </c>
      <c r="G239" s="4">
        <v>72</v>
      </c>
      <c r="H239" s="23">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Row],[Duration]]&lt;=30,"10 TO 30 MINS",
     CALLS[[#This Row],[Duration]]&lt;=120,"1 TO 2 HOURS",
     TRUE,"&gt; 2 HOURS")</f>
        <v>1 TO 2 HOURS</v>
      </c>
      <c r="L239">
        <f>ROUND(CALLS[[#This Row],[Satisfaction Rating]],0)</f>
        <v>4</v>
      </c>
      <c r="M239" cm="1">
        <f t="array" ref="M239">_xlfn.IFS(CALLS[[#This Row],[DURATION BACKET]]="UNDER 10 MINS",1,
     CALLS[[#This Row],[DURATION BACKET]]="10 TO 30 MINS",2,
     CALLS[[#This Row],[DURATION BACKET]]="1 TO 2 HOURS",3,
     CALLS[[#This Row],[DURATION BACKET]]="&gt; 2 HOURS",4)</f>
        <v>3</v>
      </c>
      <c r="N239">
        <f>(CALLS[[#This Row],[Purchase Amount]]/ 1)</f>
        <v>72</v>
      </c>
    </row>
    <row r="240" spans="2:14" x14ac:dyDescent="0.25">
      <c r="B240" s="22" t="s">
        <v>262</v>
      </c>
      <c r="C240" s="4" t="s">
        <v>20</v>
      </c>
      <c r="D240" s="4">
        <v>92</v>
      </c>
      <c r="E240" s="5" t="s">
        <v>11</v>
      </c>
      <c r="F240" s="9">
        <v>45002</v>
      </c>
      <c r="G240" s="4">
        <v>125</v>
      </c>
      <c r="H240" s="23">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Row],[Duration]]&lt;=30,"10 TO 30 MINS",
     CALLS[[#This Row],[Duration]]&lt;=120,"1 TO 2 HOURS",
     TRUE,"&gt; 2 HOURS")</f>
        <v>1 TO 2 HOURS</v>
      </c>
      <c r="L240">
        <f>ROUND(CALLS[[#This Row],[Satisfaction Rating]],0)</f>
        <v>5</v>
      </c>
      <c r="M240" cm="1">
        <f t="array" ref="M240">_xlfn.IFS(CALLS[[#This Row],[DURATION BACKET]]="UNDER 10 MINS",1,
     CALLS[[#This Row],[DURATION BACKET]]="10 TO 30 MINS",2,
     CALLS[[#This Row],[DURATION BACKET]]="1 TO 2 HOURS",3,
     CALLS[[#This Row],[DURATION BACKET]]="&gt; 2 HOURS",4)</f>
        <v>3</v>
      </c>
      <c r="N240">
        <f>(CALLS[[#This Row],[Purchase Amount]]/ 1)</f>
        <v>125</v>
      </c>
    </row>
    <row r="241" spans="2:14" x14ac:dyDescent="0.25">
      <c r="B241" s="22" t="s">
        <v>263</v>
      </c>
      <c r="C241" s="4" t="s">
        <v>18</v>
      </c>
      <c r="D241" s="4">
        <v>64</v>
      </c>
      <c r="E241" s="5" t="s">
        <v>10</v>
      </c>
      <c r="F241" s="9">
        <v>45002</v>
      </c>
      <c r="G241" s="4">
        <v>22</v>
      </c>
      <c r="H241" s="23">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Row],[Duration]]&lt;=30,"10 TO 30 MINS",
     CALLS[[#This Row],[Duration]]&lt;=120,"1 TO 2 HOURS",
     TRUE,"&gt; 2 HOURS")</f>
        <v>1 TO 2 HOURS</v>
      </c>
      <c r="L241">
        <f>ROUND(CALLS[[#This Row],[Satisfaction Rating]],0)</f>
        <v>4</v>
      </c>
      <c r="M241" cm="1">
        <f t="array" ref="M241">_xlfn.IFS(CALLS[[#This Row],[DURATION BACKET]]="UNDER 10 MINS",1,
     CALLS[[#This Row],[DURATION BACKET]]="10 TO 30 MINS",2,
     CALLS[[#This Row],[DURATION BACKET]]="1 TO 2 HOURS",3,
     CALLS[[#This Row],[DURATION BACKET]]="&gt; 2 HOURS",4)</f>
        <v>3</v>
      </c>
      <c r="N241">
        <f>(CALLS[[#This Row],[Purchase Amount]]/ 1)</f>
        <v>22</v>
      </c>
    </row>
    <row r="242" spans="2:14" x14ac:dyDescent="0.25">
      <c r="B242" s="22" t="s">
        <v>264</v>
      </c>
      <c r="C242" s="4" t="s">
        <v>23</v>
      </c>
      <c r="D242" s="4">
        <v>89</v>
      </c>
      <c r="E242" s="5" t="s">
        <v>13</v>
      </c>
      <c r="F242" s="9">
        <v>45003</v>
      </c>
      <c r="G242" s="4">
        <v>70</v>
      </c>
      <c r="H242" s="23">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Row],[Duration]]&lt;=30,"10 TO 30 MINS",
     CALLS[[#This Row],[Duration]]&lt;=120,"1 TO 2 HOURS",
     TRUE,"&gt; 2 HOURS")</f>
        <v>1 TO 2 HOURS</v>
      </c>
      <c r="L242">
        <f>ROUND(CALLS[[#This Row],[Satisfaction Rating]],0)</f>
        <v>5</v>
      </c>
      <c r="M242" cm="1">
        <f t="array" ref="M242">_xlfn.IFS(CALLS[[#This Row],[DURATION BACKET]]="UNDER 10 MINS",1,
     CALLS[[#This Row],[DURATION BACKET]]="10 TO 30 MINS",2,
     CALLS[[#This Row],[DURATION BACKET]]="1 TO 2 HOURS",3,
     CALLS[[#This Row],[DURATION BACKET]]="&gt; 2 HOURS",4)</f>
        <v>3</v>
      </c>
      <c r="N242">
        <f>(CALLS[[#This Row],[Purchase Amount]]/ 1)</f>
        <v>70</v>
      </c>
    </row>
    <row r="243" spans="2:14" x14ac:dyDescent="0.25">
      <c r="B243" s="22" t="s">
        <v>265</v>
      </c>
      <c r="C243" s="4" t="s">
        <v>19</v>
      </c>
      <c r="D243" s="4">
        <v>40</v>
      </c>
      <c r="E243" s="5" t="s">
        <v>9</v>
      </c>
      <c r="F243" s="9">
        <v>45003</v>
      </c>
      <c r="G243" s="4">
        <v>24</v>
      </c>
      <c r="H243" s="2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Row],[Duration]]&lt;=30,"10 TO 30 MINS",
     CALLS[[#This Row],[Duration]]&lt;=120,"1 TO 2 HOURS",
     TRUE,"&gt; 2 HOURS")</f>
        <v>1 TO 2 HOURS</v>
      </c>
      <c r="L243">
        <f>ROUND(CALLS[[#This Row],[Satisfaction Rating]],0)</f>
        <v>4</v>
      </c>
      <c r="M243" cm="1">
        <f t="array" ref="M243">_xlfn.IFS(CALLS[[#This Row],[DURATION BACKET]]="UNDER 10 MINS",1,
     CALLS[[#This Row],[DURATION BACKET]]="10 TO 30 MINS",2,
     CALLS[[#This Row],[DURATION BACKET]]="1 TO 2 HOURS",3,
     CALLS[[#This Row],[DURATION BACKET]]="&gt; 2 HOURS",4)</f>
        <v>3</v>
      </c>
      <c r="N243">
        <f>(CALLS[[#This Row],[Purchase Amount]]/ 1)</f>
        <v>24</v>
      </c>
    </row>
    <row r="244" spans="2:14" x14ac:dyDescent="0.25">
      <c r="B244" s="22" t="s">
        <v>266</v>
      </c>
      <c r="C244" s="4" t="s">
        <v>14</v>
      </c>
      <c r="D244" s="4">
        <v>75</v>
      </c>
      <c r="E244" s="5" t="s">
        <v>6</v>
      </c>
      <c r="F244" s="9">
        <v>45003</v>
      </c>
      <c r="G244" s="4">
        <v>32</v>
      </c>
      <c r="H244" s="23">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Row],[Duration]]&lt;=30,"10 TO 30 MINS",
     CALLS[[#This Row],[Duration]]&lt;=120,"1 TO 2 HOURS",
     TRUE,"&gt; 2 HOURS")</f>
        <v>1 TO 2 HOURS</v>
      </c>
      <c r="L244">
        <f>ROUND(CALLS[[#This Row],[Satisfaction Rating]],0)</f>
        <v>4</v>
      </c>
      <c r="M244" cm="1">
        <f t="array" ref="M244">_xlfn.IFS(CALLS[[#This Row],[DURATION BACKET]]="UNDER 10 MINS",1,
     CALLS[[#This Row],[DURATION BACKET]]="10 TO 30 MINS",2,
     CALLS[[#This Row],[DURATION BACKET]]="1 TO 2 HOURS",3,
     CALLS[[#This Row],[DURATION BACKET]]="&gt; 2 HOURS",4)</f>
        <v>3</v>
      </c>
      <c r="N244">
        <f>(CALLS[[#This Row],[Purchase Amount]]/ 1)</f>
        <v>32</v>
      </c>
    </row>
    <row r="245" spans="2:14" x14ac:dyDescent="0.25">
      <c r="B245" s="22" t="s">
        <v>267</v>
      </c>
      <c r="C245" s="4" t="s">
        <v>17</v>
      </c>
      <c r="D245" s="4">
        <v>106</v>
      </c>
      <c r="E245" s="5" t="s">
        <v>11</v>
      </c>
      <c r="F245" s="9">
        <v>45003</v>
      </c>
      <c r="G245" s="4">
        <v>112</v>
      </c>
      <c r="H245" s="23">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Row],[Duration]]&lt;=30,"10 TO 30 MINS",
     CALLS[[#This Row],[Duration]]&lt;=120,"1 TO 2 HOURS",
     TRUE,"&gt; 2 HOURS")</f>
        <v>1 TO 2 HOURS</v>
      </c>
      <c r="L245">
        <f>ROUND(CALLS[[#This Row],[Satisfaction Rating]],0)</f>
        <v>4</v>
      </c>
      <c r="M245" cm="1">
        <f t="array" ref="M245">_xlfn.IFS(CALLS[[#This Row],[DURATION BACKET]]="UNDER 10 MINS",1,
     CALLS[[#This Row],[DURATION BACKET]]="10 TO 30 MINS",2,
     CALLS[[#This Row],[DURATION BACKET]]="1 TO 2 HOURS",3,
     CALLS[[#This Row],[DURATION BACKET]]="&gt; 2 HOURS",4)</f>
        <v>3</v>
      </c>
      <c r="N245">
        <f>(CALLS[[#This Row],[Purchase Amount]]/ 1)</f>
        <v>112</v>
      </c>
    </row>
    <row r="246" spans="2:14" x14ac:dyDescent="0.25">
      <c r="B246" s="22" t="s">
        <v>268</v>
      </c>
      <c r="C246" s="4" t="s">
        <v>18</v>
      </c>
      <c r="D246" s="4">
        <v>58</v>
      </c>
      <c r="E246" s="5" t="s">
        <v>9</v>
      </c>
      <c r="F246" s="9">
        <v>45004</v>
      </c>
      <c r="G246" s="4">
        <v>43</v>
      </c>
      <c r="H246" s="23">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Row],[Duration]]&lt;=30,"10 TO 30 MINS",
     CALLS[[#This Row],[Duration]]&lt;=120,"1 TO 2 HOURS",
     TRUE,"&gt; 2 HOURS")</f>
        <v>1 TO 2 HOURS</v>
      </c>
      <c r="L246">
        <f>ROUND(CALLS[[#This Row],[Satisfaction Rating]],0)</f>
        <v>5</v>
      </c>
      <c r="M246" cm="1">
        <f t="array" ref="M246">_xlfn.IFS(CALLS[[#This Row],[DURATION BACKET]]="UNDER 10 MINS",1,
     CALLS[[#This Row],[DURATION BACKET]]="10 TO 30 MINS",2,
     CALLS[[#This Row],[DURATION BACKET]]="1 TO 2 HOURS",3,
     CALLS[[#This Row],[DURATION BACKET]]="&gt; 2 HOURS",4)</f>
        <v>3</v>
      </c>
      <c r="N246">
        <f>(CALLS[[#This Row],[Purchase Amount]]/ 1)</f>
        <v>43</v>
      </c>
    </row>
    <row r="247" spans="2:14" x14ac:dyDescent="0.25">
      <c r="B247" s="22" t="s">
        <v>269</v>
      </c>
      <c r="C247" s="4" t="s">
        <v>7</v>
      </c>
      <c r="D247" s="4">
        <v>84</v>
      </c>
      <c r="E247" s="5" t="s">
        <v>11</v>
      </c>
      <c r="F247" s="9">
        <v>45004</v>
      </c>
      <c r="G247" s="4">
        <v>22</v>
      </c>
      <c r="H247" s="23">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Row],[Duration]]&lt;=30,"10 TO 30 MINS",
     CALLS[[#This Row],[Duration]]&lt;=120,"1 TO 2 HOURS",
     TRUE,"&gt; 2 HOURS")</f>
        <v>1 TO 2 HOURS</v>
      </c>
      <c r="L247">
        <f>ROUND(CALLS[[#This Row],[Satisfaction Rating]],0)</f>
        <v>4</v>
      </c>
      <c r="M247" cm="1">
        <f t="array" ref="M247">_xlfn.IFS(CALLS[[#This Row],[DURATION BACKET]]="UNDER 10 MINS",1,
     CALLS[[#This Row],[DURATION BACKET]]="10 TO 30 MINS",2,
     CALLS[[#This Row],[DURATION BACKET]]="1 TO 2 HOURS",3,
     CALLS[[#This Row],[DURATION BACKET]]="&gt; 2 HOURS",4)</f>
        <v>3</v>
      </c>
      <c r="N247">
        <f>(CALLS[[#This Row],[Purchase Amount]]/ 1)</f>
        <v>22</v>
      </c>
    </row>
    <row r="248" spans="2:14" x14ac:dyDescent="0.25">
      <c r="B248" s="22" t="s">
        <v>270</v>
      </c>
      <c r="C248" s="4" t="s">
        <v>22</v>
      </c>
      <c r="D248" s="4">
        <v>140</v>
      </c>
      <c r="E248" s="5" t="s">
        <v>11</v>
      </c>
      <c r="F248" s="9">
        <v>45004</v>
      </c>
      <c r="G248" s="4">
        <v>93</v>
      </c>
      <c r="H248" s="23">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Row],[Duration]]&lt;=30,"10 TO 30 MINS",
     CALLS[[#This Row],[Duration]]&lt;=120,"1 TO 2 HOURS",
     TRUE,"&gt; 2 HOURS")</f>
        <v>&gt; 2 HOURS</v>
      </c>
      <c r="L248">
        <f>ROUND(CALLS[[#This Row],[Satisfaction Rating]],0)</f>
        <v>4</v>
      </c>
      <c r="M248" cm="1">
        <f t="array" ref="M248">_xlfn.IFS(CALLS[[#This Row],[DURATION BACKET]]="UNDER 10 MINS",1,
     CALLS[[#This Row],[DURATION BACKET]]="10 TO 30 MINS",2,
     CALLS[[#This Row],[DURATION BACKET]]="1 TO 2 HOURS",3,
     CALLS[[#This Row],[DURATION BACKET]]="&gt; 2 HOURS",4)</f>
        <v>4</v>
      </c>
      <c r="N248">
        <f>(CALLS[[#This Row],[Purchase Amount]]/ 1)</f>
        <v>93</v>
      </c>
    </row>
    <row r="249" spans="2:14" x14ac:dyDescent="0.25">
      <c r="B249" s="22" t="s">
        <v>271</v>
      </c>
      <c r="C249" s="4" t="s">
        <v>18</v>
      </c>
      <c r="D249" s="4">
        <v>67</v>
      </c>
      <c r="E249" s="5" t="s">
        <v>11</v>
      </c>
      <c r="F249" s="9">
        <v>45004</v>
      </c>
      <c r="G249" s="4">
        <v>45</v>
      </c>
      <c r="H249" s="23">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Row],[Duration]]&lt;=30,"10 TO 30 MINS",
     CALLS[[#This Row],[Duration]]&lt;=120,"1 TO 2 HOURS",
     TRUE,"&gt; 2 HOURS")</f>
        <v>1 TO 2 HOURS</v>
      </c>
      <c r="L249">
        <f>ROUND(CALLS[[#This Row],[Satisfaction Rating]],0)</f>
        <v>4</v>
      </c>
      <c r="M249" cm="1">
        <f t="array" ref="M249">_xlfn.IFS(CALLS[[#This Row],[DURATION BACKET]]="UNDER 10 MINS",1,
     CALLS[[#This Row],[DURATION BACKET]]="10 TO 30 MINS",2,
     CALLS[[#This Row],[DURATION BACKET]]="1 TO 2 HOURS",3,
     CALLS[[#This Row],[DURATION BACKET]]="&gt; 2 HOURS",4)</f>
        <v>3</v>
      </c>
      <c r="N249">
        <f>(CALLS[[#This Row],[Purchase Amount]]/ 1)</f>
        <v>45</v>
      </c>
    </row>
    <row r="250" spans="2:14" x14ac:dyDescent="0.25">
      <c r="B250" s="22" t="s">
        <v>272</v>
      </c>
      <c r="C250" s="4" t="s">
        <v>12</v>
      </c>
      <c r="D250" s="4">
        <v>126</v>
      </c>
      <c r="E250" s="5" t="s">
        <v>11</v>
      </c>
      <c r="F250" s="9">
        <v>45005</v>
      </c>
      <c r="G250" s="4">
        <v>96</v>
      </c>
      <c r="H250" s="23">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Row],[Duration]]&lt;=30,"10 TO 30 MINS",
     CALLS[[#This Row],[Duration]]&lt;=120,"1 TO 2 HOURS",
     TRUE,"&gt; 2 HOURS")</f>
        <v>&gt; 2 HOURS</v>
      </c>
      <c r="L250">
        <f>ROUND(CALLS[[#This Row],[Satisfaction Rating]],0)</f>
        <v>4</v>
      </c>
      <c r="M250" cm="1">
        <f t="array" ref="M250">_xlfn.IFS(CALLS[[#This Row],[DURATION BACKET]]="UNDER 10 MINS",1,
     CALLS[[#This Row],[DURATION BACKET]]="10 TO 30 MINS",2,
     CALLS[[#This Row],[DURATION BACKET]]="1 TO 2 HOURS",3,
     CALLS[[#This Row],[DURATION BACKET]]="&gt; 2 HOURS",4)</f>
        <v>4</v>
      </c>
      <c r="N250">
        <f>(CALLS[[#This Row],[Purchase Amount]]/ 1)</f>
        <v>96</v>
      </c>
    </row>
    <row r="251" spans="2:14" x14ac:dyDescent="0.25">
      <c r="B251" s="22" t="s">
        <v>273</v>
      </c>
      <c r="C251" s="4" t="s">
        <v>12</v>
      </c>
      <c r="D251" s="4">
        <v>89</v>
      </c>
      <c r="E251" s="5" t="s">
        <v>9</v>
      </c>
      <c r="F251" s="9">
        <v>45005</v>
      </c>
      <c r="G251" s="4">
        <v>96</v>
      </c>
      <c r="H251" s="23">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Row],[Duration]]&lt;=30,"10 TO 30 MINS",
     CALLS[[#This Row],[Duration]]&lt;=120,"1 TO 2 HOURS",
     TRUE,"&gt; 2 HOURS")</f>
        <v>1 TO 2 HOURS</v>
      </c>
      <c r="L251">
        <f>ROUND(CALLS[[#This Row],[Satisfaction Rating]],0)</f>
        <v>3</v>
      </c>
      <c r="M251" cm="1">
        <f t="array" ref="M251">_xlfn.IFS(CALLS[[#This Row],[DURATION BACKET]]="UNDER 10 MINS",1,
     CALLS[[#This Row],[DURATION BACKET]]="10 TO 30 MINS",2,
     CALLS[[#This Row],[DURATION BACKET]]="1 TO 2 HOURS",3,
     CALLS[[#This Row],[DURATION BACKET]]="&gt; 2 HOURS",4)</f>
        <v>3</v>
      </c>
      <c r="N251">
        <f>(CALLS[[#This Row],[Purchase Amount]]/ 1)</f>
        <v>96</v>
      </c>
    </row>
    <row r="252" spans="2:14" x14ac:dyDescent="0.25">
      <c r="B252" s="22" t="s">
        <v>274</v>
      </c>
      <c r="C252" s="4" t="s">
        <v>23</v>
      </c>
      <c r="D252" s="4">
        <v>56</v>
      </c>
      <c r="E252" s="5" t="s">
        <v>10</v>
      </c>
      <c r="F252" s="9">
        <v>45005</v>
      </c>
      <c r="G252" s="4">
        <v>31</v>
      </c>
      <c r="H252" s="23">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Row],[Duration]]&lt;=30,"10 TO 30 MINS",
     CALLS[[#This Row],[Duration]]&lt;=120,"1 TO 2 HOURS",
     TRUE,"&gt; 2 HOURS")</f>
        <v>1 TO 2 HOURS</v>
      </c>
      <c r="L252">
        <f>ROUND(CALLS[[#This Row],[Satisfaction Rating]],0)</f>
        <v>4</v>
      </c>
      <c r="M252" cm="1">
        <f t="array" ref="M252">_xlfn.IFS(CALLS[[#This Row],[DURATION BACKET]]="UNDER 10 MINS",1,
     CALLS[[#This Row],[DURATION BACKET]]="10 TO 30 MINS",2,
     CALLS[[#This Row],[DURATION BACKET]]="1 TO 2 HOURS",3,
     CALLS[[#This Row],[DURATION BACKET]]="&gt; 2 HOURS",4)</f>
        <v>3</v>
      </c>
      <c r="N252">
        <f>(CALLS[[#This Row],[Purchase Amount]]/ 1)</f>
        <v>31</v>
      </c>
    </row>
    <row r="253" spans="2:14" x14ac:dyDescent="0.25">
      <c r="B253" s="22" t="s">
        <v>275</v>
      </c>
      <c r="C253" s="4" t="s">
        <v>8</v>
      </c>
      <c r="D253" s="4">
        <v>48</v>
      </c>
      <c r="E253" s="5" t="s">
        <v>9</v>
      </c>
      <c r="F253" s="9">
        <v>45005</v>
      </c>
      <c r="G253" s="4">
        <v>200</v>
      </c>
      <c r="H253" s="2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Row],[Duration]]&lt;=30,"10 TO 30 MINS",
     CALLS[[#This Row],[Duration]]&lt;=120,"1 TO 2 HOURS",
     TRUE,"&gt; 2 HOURS")</f>
        <v>1 TO 2 HOURS</v>
      </c>
      <c r="L253">
        <f>ROUND(CALLS[[#This Row],[Satisfaction Rating]],0)</f>
        <v>4</v>
      </c>
      <c r="M253" cm="1">
        <f t="array" ref="M253">_xlfn.IFS(CALLS[[#This Row],[DURATION BACKET]]="UNDER 10 MINS",1,
     CALLS[[#This Row],[DURATION BACKET]]="10 TO 30 MINS",2,
     CALLS[[#This Row],[DURATION BACKET]]="1 TO 2 HOURS",3,
     CALLS[[#This Row],[DURATION BACKET]]="&gt; 2 HOURS",4)</f>
        <v>3</v>
      </c>
      <c r="N253">
        <f>(CALLS[[#This Row],[Purchase Amount]]/ 1)</f>
        <v>200</v>
      </c>
    </row>
    <row r="254" spans="2:14" x14ac:dyDescent="0.25">
      <c r="B254" s="22" t="s">
        <v>276</v>
      </c>
      <c r="C254" s="4" t="s">
        <v>12</v>
      </c>
      <c r="D254" s="4">
        <v>55</v>
      </c>
      <c r="E254" s="5" t="s">
        <v>10</v>
      </c>
      <c r="F254" s="9">
        <v>45005</v>
      </c>
      <c r="G254" s="4">
        <v>99</v>
      </c>
      <c r="H254" s="23">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Row],[Duration]]&lt;=30,"10 TO 30 MINS",
     CALLS[[#This Row],[Duration]]&lt;=120,"1 TO 2 HOURS",
     TRUE,"&gt; 2 HOURS")</f>
        <v>1 TO 2 HOURS</v>
      </c>
      <c r="L254">
        <f>ROUND(CALLS[[#This Row],[Satisfaction Rating]],0)</f>
        <v>3</v>
      </c>
      <c r="M254" cm="1">
        <f t="array" ref="M254">_xlfn.IFS(CALLS[[#This Row],[DURATION BACKET]]="UNDER 10 MINS",1,
     CALLS[[#This Row],[DURATION BACKET]]="10 TO 30 MINS",2,
     CALLS[[#This Row],[DURATION BACKET]]="1 TO 2 HOURS",3,
     CALLS[[#This Row],[DURATION BACKET]]="&gt; 2 HOURS",4)</f>
        <v>3</v>
      </c>
      <c r="N254">
        <f>(CALLS[[#This Row],[Purchase Amount]]/ 1)</f>
        <v>99</v>
      </c>
    </row>
    <row r="255" spans="2:14" x14ac:dyDescent="0.25">
      <c r="B255" s="22" t="s">
        <v>277</v>
      </c>
      <c r="C255" s="4" t="s">
        <v>21</v>
      </c>
      <c r="D255" s="4">
        <v>88</v>
      </c>
      <c r="E255" s="5" t="s">
        <v>6</v>
      </c>
      <c r="F255" s="9">
        <v>45005</v>
      </c>
      <c r="G255" s="4">
        <v>144</v>
      </c>
      <c r="H255" s="23">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Row],[Duration]]&lt;=30,"10 TO 30 MINS",
     CALLS[[#This Row],[Duration]]&lt;=120,"1 TO 2 HOURS",
     TRUE,"&gt; 2 HOURS")</f>
        <v>1 TO 2 HOURS</v>
      </c>
      <c r="L255">
        <f>ROUND(CALLS[[#This Row],[Satisfaction Rating]],0)</f>
        <v>3</v>
      </c>
      <c r="M255" cm="1">
        <f t="array" ref="M255">_xlfn.IFS(CALLS[[#This Row],[DURATION BACKET]]="UNDER 10 MINS",1,
     CALLS[[#This Row],[DURATION BACKET]]="10 TO 30 MINS",2,
     CALLS[[#This Row],[DURATION BACKET]]="1 TO 2 HOURS",3,
     CALLS[[#This Row],[DURATION BACKET]]="&gt; 2 HOURS",4)</f>
        <v>3</v>
      </c>
      <c r="N255">
        <f>(CALLS[[#This Row],[Purchase Amount]]/ 1)</f>
        <v>144</v>
      </c>
    </row>
    <row r="256" spans="2:14" x14ac:dyDescent="0.25">
      <c r="B256" s="22" t="s">
        <v>278</v>
      </c>
      <c r="C256" s="4" t="s">
        <v>23</v>
      </c>
      <c r="D256" s="4">
        <v>102</v>
      </c>
      <c r="E256" s="5" t="s">
        <v>11</v>
      </c>
      <c r="F256" s="9">
        <v>45006</v>
      </c>
      <c r="G256" s="4">
        <v>81</v>
      </c>
      <c r="H256" s="23">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Row],[Duration]]&lt;=30,"10 TO 30 MINS",
     CALLS[[#This Row],[Duration]]&lt;=120,"1 TO 2 HOURS",
     TRUE,"&gt; 2 HOURS")</f>
        <v>1 TO 2 HOURS</v>
      </c>
      <c r="L256">
        <f>ROUND(CALLS[[#This Row],[Satisfaction Rating]],0)</f>
        <v>4</v>
      </c>
      <c r="M256" cm="1">
        <f t="array" ref="M256">_xlfn.IFS(CALLS[[#This Row],[DURATION BACKET]]="UNDER 10 MINS",1,
     CALLS[[#This Row],[DURATION BACKET]]="10 TO 30 MINS",2,
     CALLS[[#This Row],[DURATION BACKET]]="1 TO 2 HOURS",3,
     CALLS[[#This Row],[DURATION BACKET]]="&gt; 2 HOURS",4)</f>
        <v>3</v>
      </c>
      <c r="N256">
        <f>(CALLS[[#This Row],[Purchase Amount]]/ 1)</f>
        <v>81</v>
      </c>
    </row>
    <row r="257" spans="2:14" x14ac:dyDescent="0.25">
      <c r="B257" s="22" t="s">
        <v>279</v>
      </c>
      <c r="C257" s="4" t="s">
        <v>21</v>
      </c>
      <c r="D257" s="4">
        <v>155</v>
      </c>
      <c r="E257" s="5" t="s">
        <v>6</v>
      </c>
      <c r="F257" s="9">
        <v>45006</v>
      </c>
      <c r="G257" s="4">
        <v>70</v>
      </c>
      <c r="H257" s="23">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Row],[Duration]]&lt;=30,"10 TO 30 MINS",
     CALLS[[#This Row],[Duration]]&lt;=120,"1 TO 2 HOURS",
     TRUE,"&gt; 2 HOURS")</f>
        <v>&gt; 2 HOURS</v>
      </c>
      <c r="L257">
        <f>ROUND(CALLS[[#This Row],[Satisfaction Rating]],0)</f>
        <v>4</v>
      </c>
      <c r="M257" cm="1">
        <f t="array" ref="M257">_xlfn.IFS(CALLS[[#This Row],[DURATION BACKET]]="UNDER 10 MINS",1,
     CALLS[[#This Row],[DURATION BACKET]]="10 TO 30 MINS",2,
     CALLS[[#This Row],[DURATION BACKET]]="1 TO 2 HOURS",3,
     CALLS[[#This Row],[DURATION BACKET]]="&gt; 2 HOURS",4)</f>
        <v>4</v>
      </c>
      <c r="N257">
        <f>(CALLS[[#This Row],[Purchase Amount]]/ 1)</f>
        <v>70</v>
      </c>
    </row>
    <row r="258" spans="2:14" x14ac:dyDescent="0.25">
      <c r="B258" s="22" t="s">
        <v>280</v>
      </c>
      <c r="C258" s="4" t="s">
        <v>12</v>
      </c>
      <c r="D258" s="4">
        <v>63</v>
      </c>
      <c r="E258" s="5" t="s">
        <v>6</v>
      </c>
      <c r="F258" s="9">
        <v>45006</v>
      </c>
      <c r="G258" s="4">
        <v>148</v>
      </c>
      <c r="H258" s="23">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Row],[Duration]]&lt;=30,"10 TO 30 MINS",
     CALLS[[#This Row],[Duration]]&lt;=120,"1 TO 2 HOURS",
     TRUE,"&gt; 2 HOURS")</f>
        <v>1 TO 2 HOURS</v>
      </c>
      <c r="L258">
        <f>ROUND(CALLS[[#This Row],[Satisfaction Rating]],0)</f>
        <v>5</v>
      </c>
      <c r="M258" cm="1">
        <f t="array" ref="M258">_xlfn.IFS(CALLS[[#This Row],[DURATION BACKET]]="UNDER 10 MINS",1,
     CALLS[[#This Row],[DURATION BACKET]]="10 TO 30 MINS",2,
     CALLS[[#This Row],[DURATION BACKET]]="1 TO 2 HOURS",3,
     CALLS[[#This Row],[DURATION BACKET]]="&gt; 2 HOURS",4)</f>
        <v>3</v>
      </c>
      <c r="N258">
        <f>(CALLS[[#This Row],[Purchase Amount]]/ 1)</f>
        <v>148</v>
      </c>
    </row>
    <row r="259" spans="2:14" x14ac:dyDescent="0.25">
      <c r="B259" s="22" t="s">
        <v>281</v>
      </c>
      <c r="C259" s="4" t="s">
        <v>15</v>
      </c>
      <c r="D259" s="4">
        <v>59</v>
      </c>
      <c r="E259" s="5" t="s">
        <v>11</v>
      </c>
      <c r="F259" s="9">
        <v>45006</v>
      </c>
      <c r="G259" s="4">
        <v>215</v>
      </c>
      <c r="H259" s="23">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Row],[Duration]]&lt;=30,"10 TO 30 MINS",
     CALLS[[#This Row],[Duration]]&lt;=120,"1 TO 2 HOURS",
     TRUE,"&gt; 2 HOURS")</f>
        <v>1 TO 2 HOURS</v>
      </c>
      <c r="L259">
        <f>ROUND(CALLS[[#This Row],[Satisfaction Rating]],0)</f>
        <v>4</v>
      </c>
      <c r="M259" cm="1">
        <f t="array" ref="M259">_xlfn.IFS(CALLS[[#This Row],[DURATION BACKET]]="UNDER 10 MINS",1,
     CALLS[[#This Row],[DURATION BACKET]]="10 TO 30 MINS",2,
     CALLS[[#This Row],[DURATION BACKET]]="1 TO 2 HOURS",3,
     CALLS[[#This Row],[DURATION BACKET]]="&gt; 2 HOURS",4)</f>
        <v>3</v>
      </c>
      <c r="N259">
        <f>(CALLS[[#This Row],[Purchase Amount]]/ 1)</f>
        <v>215</v>
      </c>
    </row>
    <row r="260" spans="2:14" x14ac:dyDescent="0.25">
      <c r="B260" s="22" t="s">
        <v>282</v>
      </c>
      <c r="C260" s="4" t="s">
        <v>15</v>
      </c>
      <c r="D260" s="4">
        <v>144</v>
      </c>
      <c r="E260" s="5" t="s">
        <v>9</v>
      </c>
      <c r="F260" s="9">
        <v>45006</v>
      </c>
      <c r="G260" s="4">
        <v>124</v>
      </c>
      <c r="H260" s="23">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Row],[Duration]]&lt;=30,"10 TO 30 MINS",
     CALLS[[#This Row],[Duration]]&lt;=120,"1 TO 2 HOURS",
     TRUE,"&gt; 2 HOURS")</f>
        <v>&gt; 2 HOURS</v>
      </c>
      <c r="L260">
        <f>ROUND(CALLS[[#This Row],[Satisfaction Rating]],0)</f>
        <v>4</v>
      </c>
      <c r="M260" cm="1">
        <f t="array" ref="M260">_xlfn.IFS(CALLS[[#This Row],[DURATION BACKET]]="UNDER 10 MINS",1,
     CALLS[[#This Row],[DURATION BACKET]]="10 TO 30 MINS",2,
     CALLS[[#This Row],[DURATION BACKET]]="1 TO 2 HOURS",3,
     CALLS[[#This Row],[DURATION BACKET]]="&gt; 2 HOURS",4)</f>
        <v>4</v>
      </c>
      <c r="N260">
        <f>(CALLS[[#This Row],[Purchase Amount]]/ 1)</f>
        <v>124</v>
      </c>
    </row>
    <row r="261" spans="2:14" x14ac:dyDescent="0.25">
      <c r="B261" s="22" t="s">
        <v>283</v>
      </c>
      <c r="C261" s="4" t="s">
        <v>7</v>
      </c>
      <c r="D261" s="4">
        <v>113</v>
      </c>
      <c r="E261" s="5" t="s">
        <v>13</v>
      </c>
      <c r="F261" s="9">
        <v>45006</v>
      </c>
      <c r="G261" s="4">
        <v>168</v>
      </c>
      <c r="H261" s="23">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Row],[Duration]]&lt;=30,"10 TO 30 MINS",
     CALLS[[#This Row],[Duration]]&lt;=120,"1 TO 2 HOURS",
     TRUE,"&gt; 2 HOURS")</f>
        <v>1 TO 2 HOURS</v>
      </c>
      <c r="L261">
        <f>ROUND(CALLS[[#This Row],[Satisfaction Rating]],0)</f>
        <v>4</v>
      </c>
      <c r="M261" cm="1">
        <f t="array" ref="M261">_xlfn.IFS(CALLS[[#This Row],[DURATION BACKET]]="UNDER 10 MINS",1,
     CALLS[[#This Row],[DURATION BACKET]]="10 TO 30 MINS",2,
     CALLS[[#This Row],[DURATION BACKET]]="1 TO 2 HOURS",3,
     CALLS[[#This Row],[DURATION BACKET]]="&gt; 2 HOURS",4)</f>
        <v>3</v>
      </c>
      <c r="N261">
        <f>(CALLS[[#This Row],[Purchase Amount]]/ 1)</f>
        <v>168</v>
      </c>
    </row>
    <row r="262" spans="2:14" x14ac:dyDescent="0.25">
      <c r="B262" s="22" t="s">
        <v>284</v>
      </c>
      <c r="C262" s="4" t="s">
        <v>16</v>
      </c>
      <c r="D262" s="4">
        <v>154</v>
      </c>
      <c r="E262" s="5" t="s">
        <v>10</v>
      </c>
      <c r="F262" s="9">
        <v>45006</v>
      </c>
      <c r="G262" s="4">
        <v>90</v>
      </c>
      <c r="H262" s="23">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Row],[Duration]]&lt;=30,"10 TO 30 MINS",
     CALLS[[#This Row],[Duration]]&lt;=120,"1 TO 2 HOURS",
     TRUE,"&gt; 2 HOURS")</f>
        <v>&gt; 2 HOURS</v>
      </c>
      <c r="L262">
        <f>ROUND(CALLS[[#This Row],[Satisfaction Rating]],0)</f>
        <v>5</v>
      </c>
      <c r="M262" cm="1">
        <f t="array" ref="M262">_xlfn.IFS(CALLS[[#This Row],[DURATION BACKET]]="UNDER 10 MINS",1,
     CALLS[[#This Row],[DURATION BACKET]]="10 TO 30 MINS",2,
     CALLS[[#This Row],[DURATION BACKET]]="1 TO 2 HOURS",3,
     CALLS[[#This Row],[DURATION BACKET]]="&gt; 2 HOURS",4)</f>
        <v>4</v>
      </c>
      <c r="N262">
        <f>(CALLS[[#This Row],[Purchase Amount]]/ 1)</f>
        <v>90</v>
      </c>
    </row>
    <row r="263" spans="2:14" x14ac:dyDescent="0.25">
      <c r="B263" s="22" t="s">
        <v>285</v>
      </c>
      <c r="C263" s="4" t="s">
        <v>16</v>
      </c>
      <c r="D263" s="4">
        <v>58</v>
      </c>
      <c r="E263" s="5" t="s">
        <v>11</v>
      </c>
      <c r="F263" s="9">
        <v>45007</v>
      </c>
      <c r="G263" s="4">
        <v>176</v>
      </c>
      <c r="H263" s="2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Row],[Duration]]&lt;=30,"10 TO 30 MINS",
     CALLS[[#This Row],[Duration]]&lt;=120,"1 TO 2 HOURS",
     TRUE,"&gt; 2 HOURS")</f>
        <v>1 TO 2 HOURS</v>
      </c>
      <c r="L263">
        <f>ROUND(CALLS[[#This Row],[Satisfaction Rating]],0)</f>
        <v>4</v>
      </c>
      <c r="M263" cm="1">
        <f t="array" ref="M263">_xlfn.IFS(CALLS[[#This Row],[DURATION BACKET]]="UNDER 10 MINS",1,
     CALLS[[#This Row],[DURATION BACKET]]="10 TO 30 MINS",2,
     CALLS[[#This Row],[DURATION BACKET]]="1 TO 2 HOURS",3,
     CALLS[[#This Row],[DURATION BACKET]]="&gt; 2 HOURS",4)</f>
        <v>3</v>
      </c>
      <c r="N263">
        <f>(CALLS[[#This Row],[Purchase Amount]]/ 1)</f>
        <v>176</v>
      </c>
    </row>
    <row r="264" spans="2:14" x14ac:dyDescent="0.25">
      <c r="B264" s="22" t="s">
        <v>286</v>
      </c>
      <c r="C264" s="4" t="s">
        <v>8</v>
      </c>
      <c r="D264" s="4">
        <v>63</v>
      </c>
      <c r="E264" s="5" t="s">
        <v>6</v>
      </c>
      <c r="F264" s="9">
        <v>45007</v>
      </c>
      <c r="G264" s="4">
        <v>87</v>
      </c>
      <c r="H264" s="23">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Row],[Duration]]&lt;=30,"10 TO 30 MINS",
     CALLS[[#This Row],[Duration]]&lt;=120,"1 TO 2 HOURS",
     TRUE,"&gt; 2 HOURS")</f>
        <v>1 TO 2 HOURS</v>
      </c>
      <c r="L264">
        <f>ROUND(CALLS[[#This Row],[Satisfaction Rating]],0)</f>
        <v>5</v>
      </c>
      <c r="M264" cm="1">
        <f t="array" ref="M264">_xlfn.IFS(CALLS[[#This Row],[DURATION BACKET]]="UNDER 10 MINS",1,
     CALLS[[#This Row],[DURATION BACKET]]="10 TO 30 MINS",2,
     CALLS[[#This Row],[DURATION BACKET]]="1 TO 2 HOURS",3,
     CALLS[[#This Row],[DURATION BACKET]]="&gt; 2 HOURS",4)</f>
        <v>3</v>
      </c>
      <c r="N264">
        <f>(CALLS[[#This Row],[Purchase Amount]]/ 1)</f>
        <v>87</v>
      </c>
    </row>
    <row r="265" spans="2:14" x14ac:dyDescent="0.25">
      <c r="B265" s="22" t="s">
        <v>287</v>
      </c>
      <c r="C265" s="4" t="s">
        <v>22</v>
      </c>
      <c r="D265" s="4">
        <v>59</v>
      </c>
      <c r="E265" s="5" t="s">
        <v>9</v>
      </c>
      <c r="F265" s="9">
        <v>45007</v>
      </c>
      <c r="G265" s="4">
        <v>128</v>
      </c>
      <c r="H265" s="23">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Row],[Duration]]&lt;=30,"10 TO 30 MINS",
     CALLS[[#This Row],[Duration]]&lt;=120,"1 TO 2 HOURS",
     TRUE,"&gt; 2 HOURS")</f>
        <v>1 TO 2 HOURS</v>
      </c>
      <c r="L265">
        <f>ROUND(CALLS[[#This Row],[Satisfaction Rating]],0)</f>
        <v>5</v>
      </c>
      <c r="M265" cm="1">
        <f t="array" ref="M265">_xlfn.IFS(CALLS[[#This Row],[DURATION BACKET]]="UNDER 10 MINS",1,
     CALLS[[#This Row],[DURATION BACKET]]="10 TO 30 MINS",2,
     CALLS[[#This Row],[DURATION BACKET]]="1 TO 2 HOURS",3,
     CALLS[[#This Row],[DURATION BACKET]]="&gt; 2 HOURS",4)</f>
        <v>3</v>
      </c>
      <c r="N265">
        <f>(CALLS[[#This Row],[Purchase Amount]]/ 1)</f>
        <v>128</v>
      </c>
    </row>
    <row r="266" spans="2:14" x14ac:dyDescent="0.25">
      <c r="B266" s="22" t="s">
        <v>288</v>
      </c>
      <c r="C266" s="4" t="s">
        <v>5</v>
      </c>
      <c r="D266" s="4">
        <v>129</v>
      </c>
      <c r="E266" s="5" t="s">
        <v>6</v>
      </c>
      <c r="F266" s="9">
        <v>45007</v>
      </c>
      <c r="G266" s="4">
        <v>120</v>
      </c>
      <c r="H266" s="23">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Row],[Duration]]&lt;=30,"10 TO 30 MINS",
     CALLS[[#This Row],[Duration]]&lt;=120,"1 TO 2 HOURS",
     TRUE,"&gt; 2 HOURS")</f>
        <v>&gt; 2 HOURS</v>
      </c>
      <c r="L266">
        <f>ROUND(CALLS[[#This Row],[Satisfaction Rating]],0)</f>
        <v>4</v>
      </c>
      <c r="M266" cm="1">
        <f t="array" ref="M266">_xlfn.IFS(CALLS[[#This Row],[DURATION BACKET]]="UNDER 10 MINS",1,
     CALLS[[#This Row],[DURATION BACKET]]="10 TO 30 MINS",2,
     CALLS[[#This Row],[DURATION BACKET]]="1 TO 2 HOURS",3,
     CALLS[[#This Row],[DURATION BACKET]]="&gt; 2 HOURS",4)</f>
        <v>4</v>
      </c>
      <c r="N266">
        <f>(CALLS[[#This Row],[Purchase Amount]]/ 1)</f>
        <v>120</v>
      </c>
    </row>
    <row r="267" spans="2:14" x14ac:dyDescent="0.25">
      <c r="B267" s="22" t="s">
        <v>289</v>
      </c>
      <c r="C267" s="4" t="s">
        <v>24</v>
      </c>
      <c r="D267" s="4">
        <v>101</v>
      </c>
      <c r="E267" s="5" t="s">
        <v>13</v>
      </c>
      <c r="F267" s="9">
        <v>45007</v>
      </c>
      <c r="G267" s="4">
        <v>130</v>
      </c>
      <c r="H267" s="23">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Row],[Duration]]&lt;=30,"10 TO 30 MINS",
     CALLS[[#This Row],[Duration]]&lt;=120,"1 TO 2 HOURS",
     TRUE,"&gt; 2 HOURS")</f>
        <v>1 TO 2 HOURS</v>
      </c>
      <c r="L267">
        <f>ROUND(CALLS[[#This Row],[Satisfaction Rating]],0)</f>
        <v>5</v>
      </c>
      <c r="M267" cm="1">
        <f t="array" ref="M267">_xlfn.IFS(CALLS[[#This Row],[DURATION BACKET]]="UNDER 10 MINS",1,
     CALLS[[#This Row],[DURATION BACKET]]="10 TO 30 MINS",2,
     CALLS[[#This Row],[DURATION BACKET]]="1 TO 2 HOURS",3,
     CALLS[[#This Row],[DURATION BACKET]]="&gt; 2 HOURS",4)</f>
        <v>3</v>
      </c>
      <c r="N267">
        <f>(CALLS[[#This Row],[Purchase Amount]]/ 1)</f>
        <v>130</v>
      </c>
    </row>
    <row r="268" spans="2:14" x14ac:dyDescent="0.25">
      <c r="B268" s="22" t="s">
        <v>290</v>
      </c>
      <c r="C268" s="4" t="s">
        <v>19</v>
      </c>
      <c r="D268" s="4">
        <v>154</v>
      </c>
      <c r="E268" s="5" t="s">
        <v>9</v>
      </c>
      <c r="F268" s="9">
        <v>45007</v>
      </c>
      <c r="G268" s="4">
        <v>172</v>
      </c>
      <c r="H268" s="23">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Row],[Duration]]&lt;=30,"10 TO 30 MINS",
     CALLS[[#This Row],[Duration]]&lt;=120,"1 TO 2 HOURS",
     TRUE,"&gt; 2 HOURS")</f>
        <v>&gt; 2 HOURS</v>
      </c>
      <c r="L268">
        <f>ROUND(CALLS[[#This Row],[Satisfaction Rating]],0)</f>
        <v>3</v>
      </c>
      <c r="M268" cm="1">
        <f t="array" ref="M268">_xlfn.IFS(CALLS[[#This Row],[DURATION BACKET]]="UNDER 10 MINS",1,
     CALLS[[#This Row],[DURATION BACKET]]="10 TO 30 MINS",2,
     CALLS[[#This Row],[DURATION BACKET]]="1 TO 2 HOURS",3,
     CALLS[[#This Row],[DURATION BACKET]]="&gt; 2 HOURS",4)</f>
        <v>4</v>
      </c>
      <c r="N268">
        <f>(CALLS[[#This Row],[Purchase Amount]]/ 1)</f>
        <v>172</v>
      </c>
    </row>
    <row r="269" spans="2:14" x14ac:dyDescent="0.25">
      <c r="B269" s="22" t="s">
        <v>291</v>
      </c>
      <c r="C269" s="4" t="s">
        <v>18</v>
      </c>
      <c r="D269" s="4">
        <v>131</v>
      </c>
      <c r="E269" s="5" t="s">
        <v>9</v>
      </c>
      <c r="F269" s="9">
        <v>45007</v>
      </c>
      <c r="G269" s="4">
        <v>58</v>
      </c>
      <c r="H269" s="23">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Row],[Duration]]&lt;=30,"10 TO 30 MINS",
     CALLS[[#This Row],[Duration]]&lt;=120,"1 TO 2 HOURS",
     TRUE,"&gt; 2 HOURS")</f>
        <v>&gt; 2 HOURS</v>
      </c>
      <c r="L269">
        <f>ROUND(CALLS[[#This Row],[Satisfaction Rating]],0)</f>
        <v>5</v>
      </c>
      <c r="M269" cm="1">
        <f t="array" ref="M269">_xlfn.IFS(CALLS[[#This Row],[DURATION BACKET]]="UNDER 10 MINS",1,
     CALLS[[#This Row],[DURATION BACKET]]="10 TO 30 MINS",2,
     CALLS[[#This Row],[DURATION BACKET]]="1 TO 2 HOURS",3,
     CALLS[[#This Row],[DURATION BACKET]]="&gt; 2 HOURS",4)</f>
        <v>4</v>
      </c>
      <c r="N269">
        <f>(CALLS[[#This Row],[Purchase Amount]]/ 1)</f>
        <v>58</v>
      </c>
    </row>
    <row r="270" spans="2:14" x14ac:dyDescent="0.25">
      <c r="B270" s="22" t="s">
        <v>292</v>
      </c>
      <c r="C270" s="4" t="s">
        <v>15</v>
      </c>
      <c r="D270" s="4">
        <v>111</v>
      </c>
      <c r="E270" s="5" t="s">
        <v>13</v>
      </c>
      <c r="F270" s="9">
        <v>45008</v>
      </c>
      <c r="G270" s="4">
        <v>86</v>
      </c>
      <c r="H270" s="23">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Row],[Duration]]&lt;=30,"10 TO 30 MINS",
     CALLS[[#This Row],[Duration]]&lt;=120,"1 TO 2 HOURS",
     TRUE,"&gt; 2 HOURS")</f>
        <v>1 TO 2 HOURS</v>
      </c>
      <c r="L270">
        <f>ROUND(CALLS[[#This Row],[Satisfaction Rating]],0)</f>
        <v>4</v>
      </c>
      <c r="M270" cm="1">
        <f t="array" ref="M270">_xlfn.IFS(CALLS[[#This Row],[DURATION BACKET]]="UNDER 10 MINS",1,
     CALLS[[#This Row],[DURATION BACKET]]="10 TO 30 MINS",2,
     CALLS[[#This Row],[DURATION BACKET]]="1 TO 2 HOURS",3,
     CALLS[[#This Row],[DURATION BACKET]]="&gt; 2 HOURS",4)</f>
        <v>3</v>
      </c>
      <c r="N270">
        <f>(CALLS[[#This Row],[Purchase Amount]]/ 1)</f>
        <v>86</v>
      </c>
    </row>
    <row r="271" spans="2:14" x14ac:dyDescent="0.25">
      <c r="B271" s="22" t="s">
        <v>293</v>
      </c>
      <c r="C271" s="4" t="s">
        <v>16</v>
      </c>
      <c r="D271" s="4">
        <v>142</v>
      </c>
      <c r="E271" s="5" t="s">
        <v>13</v>
      </c>
      <c r="F271" s="9">
        <v>45009</v>
      </c>
      <c r="G271" s="4">
        <v>31</v>
      </c>
      <c r="H271" s="23">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Row],[Duration]]&lt;=30,"10 TO 30 MINS",
     CALLS[[#This Row],[Duration]]&lt;=120,"1 TO 2 HOURS",
     TRUE,"&gt; 2 HOURS")</f>
        <v>&gt; 2 HOURS</v>
      </c>
      <c r="L271">
        <f>ROUND(CALLS[[#This Row],[Satisfaction Rating]],0)</f>
        <v>4</v>
      </c>
      <c r="M271" cm="1">
        <f t="array" ref="M271">_xlfn.IFS(CALLS[[#This Row],[DURATION BACKET]]="UNDER 10 MINS",1,
     CALLS[[#This Row],[DURATION BACKET]]="10 TO 30 MINS",2,
     CALLS[[#This Row],[DURATION BACKET]]="1 TO 2 HOURS",3,
     CALLS[[#This Row],[DURATION BACKET]]="&gt; 2 HOURS",4)</f>
        <v>4</v>
      </c>
      <c r="N271">
        <f>(CALLS[[#This Row],[Purchase Amount]]/ 1)</f>
        <v>31</v>
      </c>
    </row>
    <row r="272" spans="2:14" x14ac:dyDescent="0.25">
      <c r="B272" s="22" t="s">
        <v>294</v>
      </c>
      <c r="C272" s="4" t="s">
        <v>23</v>
      </c>
      <c r="D272" s="4">
        <v>93</v>
      </c>
      <c r="E272" s="5" t="s">
        <v>6</v>
      </c>
      <c r="F272" s="9">
        <v>45009</v>
      </c>
      <c r="G272" s="4">
        <v>72</v>
      </c>
      <c r="H272" s="23">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Row],[Duration]]&lt;=30,"10 TO 30 MINS",
     CALLS[[#This Row],[Duration]]&lt;=120,"1 TO 2 HOURS",
     TRUE,"&gt; 2 HOURS")</f>
        <v>1 TO 2 HOURS</v>
      </c>
      <c r="L272">
        <f>ROUND(CALLS[[#This Row],[Satisfaction Rating]],0)</f>
        <v>4</v>
      </c>
      <c r="M272" cm="1">
        <f t="array" ref="M272">_xlfn.IFS(CALLS[[#This Row],[DURATION BACKET]]="UNDER 10 MINS",1,
     CALLS[[#This Row],[DURATION BACKET]]="10 TO 30 MINS",2,
     CALLS[[#This Row],[DURATION BACKET]]="1 TO 2 HOURS",3,
     CALLS[[#This Row],[DURATION BACKET]]="&gt; 2 HOURS",4)</f>
        <v>3</v>
      </c>
      <c r="N272">
        <f>(CALLS[[#This Row],[Purchase Amount]]/ 1)</f>
        <v>72</v>
      </c>
    </row>
    <row r="273" spans="2:14" x14ac:dyDescent="0.25">
      <c r="B273" s="22" t="s">
        <v>295</v>
      </c>
      <c r="C273" s="4" t="s">
        <v>16</v>
      </c>
      <c r="D273" s="4">
        <v>125</v>
      </c>
      <c r="E273" s="5" t="s">
        <v>10</v>
      </c>
      <c r="F273" s="9">
        <v>45010</v>
      </c>
      <c r="G273" s="4">
        <v>27</v>
      </c>
      <c r="H273" s="2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Row],[Duration]]&lt;=30,"10 TO 30 MINS",
     CALLS[[#This Row],[Duration]]&lt;=120,"1 TO 2 HOURS",
     TRUE,"&gt; 2 HOURS")</f>
        <v>&gt; 2 HOURS</v>
      </c>
      <c r="L273">
        <f>ROUND(CALLS[[#This Row],[Satisfaction Rating]],0)</f>
        <v>3</v>
      </c>
      <c r="M273" cm="1">
        <f t="array" ref="M273">_xlfn.IFS(CALLS[[#This Row],[DURATION BACKET]]="UNDER 10 MINS",1,
     CALLS[[#This Row],[DURATION BACKET]]="10 TO 30 MINS",2,
     CALLS[[#This Row],[DURATION BACKET]]="1 TO 2 HOURS",3,
     CALLS[[#This Row],[DURATION BACKET]]="&gt; 2 HOURS",4)</f>
        <v>4</v>
      </c>
      <c r="N273">
        <f>(CALLS[[#This Row],[Purchase Amount]]/ 1)</f>
        <v>27</v>
      </c>
    </row>
    <row r="274" spans="2:14" x14ac:dyDescent="0.25">
      <c r="B274" s="22" t="s">
        <v>296</v>
      </c>
      <c r="C274" s="4" t="s">
        <v>5</v>
      </c>
      <c r="D274" s="4">
        <v>76</v>
      </c>
      <c r="E274" s="5" t="s">
        <v>9</v>
      </c>
      <c r="F274" s="9">
        <v>45010</v>
      </c>
      <c r="G274" s="4">
        <v>110</v>
      </c>
      <c r="H274" s="23">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Row],[Duration]]&lt;=30,"10 TO 30 MINS",
     CALLS[[#This Row],[Duration]]&lt;=120,"1 TO 2 HOURS",
     TRUE,"&gt; 2 HOURS")</f>
        <v>1 TO 2 HOURS</v>
      </c>
      <c r="L274">
        <f>ROUND(CALLS[[#This Row],[Satisfaction Rating]],0)</f>
        <v>4</v>
      </c>
      <c r="M274" cm="1">
        <f t="array" ref="M274">_xlfn.IFS(CALLS[[#This Row],[DURATION BACKET]]="UNDER 10 MINS",1,
     CALLS[[#This Row],[DURATION BACKET]]="10 TO 30 MINS",2,
     CALLS[[#This Row],[DURATION BACKET]]="1 TO 2 HOURS",3,
     CALLS[[#This Row],[DURATION BACKET]]="&gt; 2 HOURS",4)</f>
        <v>3</v>
      </c>
      <c r="N274">
        <f>(CALLS[[#This Row],[Purchase Amount]]/ 1)</f>
        <v>110</v>
      </c>
    </row>
    <row r="275" spans="2:14" x14ac:dyDescent="0.25">
      <c r="B275" s="22" t="s">
        <v>297</v>
      </c>
      <c r="C275" s="4" t="s">
        <v>7</v>
      </c>
      <c r="D275" s="4">
        <v>69</v>
      </c>
      <c r="E275" s="5" t="s">
        <v>6</v>
      </c>
      <c r="F275" s="9">
        <v>45010</v>
      </c>
      <c r="G275" s="4">
        <v>126</v>
      </c>
      <c r="H275" s="23">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Row],[Duration]]&lt;=30,"10 TO 30 MINS",
     CALLS[[#This Row],[Duration]]&lt;=120,"1 TO 2 HOURS",
     TRUE,"&gt; 2 HOURS")</f>
        <v>1 TO 2 HOURS</v>
      </c>
      <c r="L275">
        <f>ROUND(CALLS[[#This Row],[Satisfaction Rating]],0)</f>
        <v>4</v>
      </c>
      <c r="M275" cm="1">
        <f t="array" ref="M275">_xlfn.IFS(CALLS[[#This Row],[DURATION BACKET]]="UNDER 10 MINS",1,
     CALLS[[#This Row],[DURATION BACKET]]="10 TO 30 MINS",2,
     CALLS[[#This Row],[DURATION BACKET]]="1 TO 2 HOURS",3,
     CALLS[[#This Row],[DURATION BACKET]]="&gt; 2 HOURS",4)</f>
        <v>3</v>
      </c>
      <c r="N275">
        <f>(CALLS[[#This Row],[Purchase Amount]]/ 1)</f>
        <v>126</v>
      </c>
    </row>
    <row r="276" spans="2:14" x14ac:dyDescent="0.25">
      <c r="B276" s="22" t="s">
        <v>298</v>
      </c>
      <c r="C276" s="4" t="s">
        <v>22</v>
      </c>
      <c r="D276" s="4">
        <v>149</v>
      </c>
      <c r="E276" s="5" t="s">
        <v>10</v>
      </c>
      <c r="F276" s="9">
        <v>45010</v>
      </c>
      <c r="G276" s="4">
        <v>60</v>
      </c>
      <c r="H276" s="23">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Row],[Duration]]&lt;=30,"10 TO 30 MINS",
     CALLS[[#This Row],[Duration]]&lt;=120,"1 TO 2 HOURS",
     TRUE,"&gt; 2 HOURS")</f>
        <v>&gt; 2 HOURS</v>
      </c>
      <c r="L276">
        <f>ROUND(CALLS[[#This Row],[Satisfaction Rating]],0)</f>
        <v>4</v>
      </c>
      <c r="M276" cm="1">
        <f t="array" ref="M276">_xlfn.IFS(CALLS[[#This Row],[DURATION BACKET]]="UNDER 10 MINS",1,
     CALLS[[#This Row],[DURATION BACKET]]="10 TO 30 MINS",2,
     CALLS[[#This Row],[DURATION BACKET]]="1 TO 2 HOURS",3,
     CALLS[[#This Row],[DURATION BACKET]]="&gt; 2 HOURS",4)</f>
        <v>4</v>
      </c>
      <c r="N276">
        <f>(CALLS[[#This Row],[Purchase Amount]]/ 1)</f>
        <v>60</v>
      </c>
    </row>
    <row r="277" spans="2:14" x14ac:dyDescent="0.25">
      <c r="B277" s="22" t="s">
        <v>299</v>
      </c>
      <c r="C277" s="4" t="s">
        <v>16</v>
      </c>
      <c r="D277" s="4">
        <v>57</v>
      </c>
      <c r="E277" s="5" t="s">
        <v>6</v>
      </c>
      <c r="F277" s="9">
        <v>45010</v>
      </c>
      <c r="G277" s="4">
        <v>35</v>
      </c>
      <c r="H277" s="23">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Row],[Duration]]&lt;=30,"10 TO 30 MINS",
     CALLS[[#This Row],[Duration]]&lt;=120,"1 TO 2 HOURS",
     TRUE,"&gt; 2 HOURS")</f>
        <v>1 TO 2 HOURS</v>
      </c>
      <c r="L277">
        <f>ROUND(CALLS[[#This Row],[Satisfaction Rating]],0)</f>
        <v>4</v>
      </c>
      <c r="M277" cm="1">
        <f t="array" ref="M277">_xlfn.IFS(CALLS[[#This Row],[DURATION BACKET]]="UNDER 10 MINS",1,
     CALLS[[#This Row],[DURATION BACKET]]="10 TO 30 MINS",2,
     CALLS[[#This Row],[DURATION BACKET]]="1 TO 2 HOURS",3,
     CALLS[[#This Row],[DURATION BACKET]]="&gt; 2 HOURS",4)</f>
        <v>3</v>
      </c>
      <c r="N277">
        <f>(CALLS[[#This Row],[Purchase Amount]]/ 1)</f>
        <v>35</v>
      </c>
    </row>
    <row r="278" spans="2:14" x14ac:dyDescent="0.25">
      <c r="B278" s="22" t="s">
        <v>300</v>
      </c>
      <c r="C278" s="4" t="s">
        <v>12</v>
      </c>
      <c r="D278" s="4">
        <v>113</v>
      </c>
      <c r="E278" s="5" t="s">
        <v>9</v>
      </c>
      <c r="F278" s="9">
        <v>45010</v>
      </c>
      <c r="G278" s="4">
        <v>81</v>
      </c>
      <c r="H278" s="23">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Row],[Duration]]&lt;=30,"10 TO 30 MINS",
     CALLS[[#This Row],[Duration]]&lt;=120,"1 TO 2 HOURS",
     TRUE,"&gt; 2 HOURS")</f>
        <v>1 TO 2 HOURS</v>
      </c>
      <c r="L278">
        <f>ROUND(CALLS[[#This Row],[Satisfaction Rating]],0)</f>
        <v>4</v>
      </c>
      <c r="M278" cm="1">
        <f t="array" ref="M278">_xlfn.IFS(CALLS[[#This Row],[DURATION BACKET]]="UNDER 10 MINS",1,
     CALLS[[#This Row],[DURATION BACKET]]="10 TO 30 MINS",2,
     CALLS[[#This Row],[DURATION BACKET]]="1 TO 2 HOURS",3,
     CALLS[[#This Row],[DURATION BACKET]]="&gt; 2 HOURS",4)</f>
        <v>3</v>
      </c>
      <c r="N278">
        <f>(CALLS[[#This Row],[Purchase Amount]]/ 1)</f>
        <v>81</v>
      </c>
    </row>
    <row r="279" spans="2:14" x14ac:dyDescent="0.25">
      <c r="B279" s="22" t="s">
        <v>301</v>
      </c>
      <c r="C279" s="4" t="s">
        <v>20</v>
      </c>
      <c r="D279" s="4">
        <v>160</v>
      </c>
      <c r="E279" s="5" t="s">
        <v>10</v>
      </c>
      <c r="F279" s="9">
        <v>45010</v>
      </c>
      <c r="G279" s="4">
        <v>116</v>
      </c>
      <c r="H279" s="23">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Row],[Duration]]&lt;=30,"10 TO 30 MINS",
     CALLS[[#This Row],[Duration]]&lt;=120,"1 TO 2 HOURS",
     TRUE,"&gt; 2 HOURS")</f>
        <v>&gt; 2 HOURS</v>
      </c>
      <c r="L279">
        <f>ROUND(CALLS[[#This Row],[Satisfaction Rating]],0)</f>
        <v>3</v>
      </c>
      <c r="M279" cm="1">
        <f t="array" ref="M279">_xlfn.IFS(CALLS[[#This Row],[DURATION BACKET]]="UNDER 10 MINS",1,
     CALLS[[#This Row],[DURATION BACKET]]="10 TO 30 MINS",2,
     CALLS[[#This Row],[DURATION BACKET]]="1 TO 2 HOURS",3,
     CALLS[[#This Row],[DURATION BACKET]]="&gt; 2 HOURS",4)</f>
        <v>4</v>
      </c>
      <c r="N279">
        <f>(CALLS[[#This Row],[Purchase Amount]]/ 1)</f>
        <v>116</v>
      </c>
    </row>
    <row r="280" spans="2:14" x14ac:dyDescent="0.25">
      <c r="B280" s="22" t="s">
        <v>302</v>
      </c>
      <c r="C280" s="4" t="s">
        <v>8</v>
      </c>
      <c r="D280" s="4">
        <v>158</v>
      </c>
      <c r="E280" s="5" t="s">
        <v>11</v>
      </c>
      <c r="F280" s="9">
        <v>45010</v>
      </c>
      <c r="G280" s="4">
        <v>60</v>
      </c>
      <c r="H280" s="23">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Row],[Duration]]&lt;=30,"10 TO 30 MINS",
     CALLS[[#This Row],[Duration]]&lt;=120,"1 TO 2 HOURS",
     TRUE,"&gt; 2 HOURS")</f>
        <v>&gt; 2 HOURS</v>
      </c>
      <c r="L280">
        <f>ROUND(CALLS[[#This Row],[Satisfaction Rating]],0)</f>
        <v>5</v>
      </c>
      <c r="M280" cm="1">
        <f t="array" ref="M280">_xlfn.IFS(CALLS[[#This Row],[DURATION BACKET]]="UNDER 10 MINS",1,
     CALLS[[#This Row],[DURATION BACKET]]="10 TO 30 MINS",2,
     CALLS[[#This Row],[DURATION BACKET]]="1 TO 2 HOURS",3,
     CALLS[[#This Row],[DURATION BACKET]]="&gt; 2 HOURS",4)</f>
        <v>4</v>
      </c>
      <c r="N280">
        <f>(CALLS[[#This Row],[Purchase Amount]]/ 1)</f>
        <v>60</v>
      </c>
    </row>
    <row r="281" spans="2:14" x14ac:dyDescent="0.25">
      <c r="B281" s="22" t="s">
        <v>303</v>
      </c>
      <c r="C281" s="4" t="s">
        <v>7</v>
      </c>
      <c r="D281" s="4">
        <v>77</v>
      </c>
      <c r="E281" s="5" t="s">
        <v>10</v>
      </c>
      <c r="F281" s="9">
        <v>45011</v>
      </c>
      <c r="G281" s="4">
        <v>130</v>
      </c>
      <c r="H281" s="23">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Row],[Duration]]&lt;=30,"10 TO 30 MINS",
     CALLS[[#This Row],[Duration]]&lt;=120,"1 TO 2 HOURS",
     TRUE,"&gt; 2 HOURS")</f>
        <v>1 TO 2 HOURS</v>
      </c>
      <c r="L281">
        <f>ROUND(CALLS[[#This Row],[Satisfaction Rating]],0)</f>
        <v>4</v>
      </c>
      <c r="M281" cm="1">
        <f t="array" ref="M281">_xlfn.IFS(CALLS[[#This Row],[DURATION BACKET]]="UNDER 10 MINS",1,
     CALLS[[#This Row],[DURATION BACKET]]="10 TO 30 MINS",2,
     CALLS[[#This Row],[DURATION BACKET]]="1 TO 2 HOURS",3,
     CALLS[[#This Row],[DURATION BACKET]]="&gt; 2 HOURS",4)</f>
        <v>3</v>
      </c>
      <c r="N281">
        <f>(CALLS[[#This Row],[Purchase Amount]]/ 1)</f>
        <v>130</v>
      </c>
    </row>
    <row r="282" spans="2:14" x14ac:dyDescent="0.25">
      <c r="B282" s="22" t="s">
        <v>304</v>
      </c>
      <c r="C282" s="4" t="s">
        <v>14</v>
      </c>
      <c r="D282" s="4">
        <v>118</v>
      </c>
      <c r="E282" s="5" t="s">
        <v>13</v>
      </c>
      <c r="F282" s="9">
        <v>45011</v>
      </c>
      <c r="G282" s="4">
        <v>99</v>
      </c>
      <c r="H282" s="23">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Row],[Duration]]&lt;=30,"10 TO 30 MINS",
     CALLS[[#This Row],[Duration]]&lt;=120,"1 TO 2 HOURS",
     TRUE,"&gt; 2 HOURS")</f>
        <v>1 TO 2 HOURS</v>
      </c>
      <c r="L282">
        <f>ROUND(CALLS[[#This Row],[Satisfaction Rating]],0)</f>
        <v>5</v>
      </c>
      <c r="M282" cm="1">
        <f t="array" ref="M282">_xlfn.IFS(CALLS[[#This Row],[DURATION BACKET]]="UNDER 10 MINS",1,
     CALLS[[#This Row],[DURATION BACKET]]="10 TO 30 MINS",2,
     CALLS[[#This Row],[DURATION BACKET]]="1 TO 2 HOURS",3,
     CALLS[[#This Row],[DURATION BACKET]]="&gt; 2 HOURS",4)</f>
        <v>3</v>
      </c>
      <c r="N282">
        <f>(CALLS[[#This Row],[Purchase Amount]]/ 1)</f>
        <v>99</v>
      </c>
    </row>
    <row r="283" spans="2:14" x14ac:dyDescent="0.25">
      <c r="B283" s="22" t="s">
        <v>305</v>
      </c>
      <c r="C283" s="4" t="s">
        <v>19</v>
      </c>
      <c r="D283" s="4">
        <v>75</v>
      </c>
      <c r="E283" s="5" t="s">
        <v>9</v>
      </c>
      <c r="F283" s="9">
        <v>45011</v>
      </c>
      <c r="G283" s="4">
        <v>135</v>
      </c>
      <c r="H283" s="2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Row],[Duration]]&lt;=30,"10 TO 30 MINS",
     CALLS[[#This Row],[Duration]]&lt;=120,"1 TO 2 HOURS",
     TRUE,"&gt; 2 HOURS")</f>
        <v>1 TO 2 HOURS</v>
      </c>
      <c r="L283">
        <f>ROUND(CALLS[[#This Row],[Satisfaction Rating]],0)</f>
        <v>5</v>
      </c>
      <c r="M283" cm="1">
        <f t="array" ref="M283">_xlfn.IFS(CALLS[[#This Row],[DURATION BACKET]]="UNDER 10 MINS",1,
     CALLS[[#This Row],[DURATION BACKET]]="10 TO 30 MINS",2,
     CALLS[[#This Row],[DURATION BACKET]]="1 TO 2 HOURS",3,
     CALLS[[#This Row],[DURATION BACKET]]="&gt; 2 HOURS",4)</f>
        <v>3</v>
      </c>
      <c r="N283">
        <f>(CALLS[[#This Row],[Purchase Amount]]/ 1)</f>
        <v>135</v>
      </c>
    </row>
    <row r="284" spans="2:14" x14ac:dyDescent="0.25">
      <c r="B284" s="22" t="s">
        <v>306</v>
      </c>
      <c r="C284" s="4" t="s">
        <v>12</v>
      </c>
      <c r="D284" s="4">
        <v>103</v>
      </c>
      <c r="E284" s="5" t="s">
        <v>10</v>
      </c>
      <c r="F284" s="9">
        <v>45011</v>
      </c>
      <c r="G284" s="4">
        <v>42</v>
      </c>
      <c r="H284" s="23">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Row],[Duration]]&lt;=30,"10 TO 30 MINS",
     CALLS[[#This Row],[Duration]]&lt;=120,"1 TO 2 HOURS",
     TRUE,"&gt; 2 HOURS")</f>
        <v>1 TO 2 HOURS</v>
      </c>
      <c r="L284">
        <f>ROUND(CALLS[[#This Row],[Satisfaction Rating]],0)</f>
        <v>3</v>
      </c>
      <c r="M284" cm="1">
        <f t="array" ref="M284">_xlfn.IFS(CALLS[[#This Row],[DURATION BACKET]]="UNDER 10 MINS",1,
     CALLS[[#This Row],[DURATION BACKET]]="10 TO 30 MINS",2,
     CALLS[[#This Row],[DURATION BACKET]]="1 TO 2 HOURS",3,
     CALLS[[#This Row],[DURATION BACKET]]="&gt; 2 HOURS",4)</f>
        <v>3</v>
      </c>
      <c r="N284">
        <f>(CALLS[[#This Row],[Purchase Amount]]/ 1)</f>
        <v>42</v>
      </c>
    </row>
    <row r="285" spans="2:14" x14ac:dyDescent="0.25">
      <c r="B285" s="22" t="s">
        <v>307</v>
      </c>
      <c r="C285" s="4" t="s">
        <v>7</v>
      </c>
      <c r="D285" s="4">
        <v>116</v>
      </c>
      <c r="E285" s="5" t="s">
        <v>13</v>
      </c>
      <c r="F285" s="9">
        <v>45012</v>
      </c>
      <c r="G285" s="4">
        <v>63</v>
      </c>
      <c r="H285" s="23">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Row],[Duration]]&lt;=30,"10 TO 30 MINS",
     CALLS[[#This Row],[Duration]]&lt;=120,"1 TO 2 HOURS",
     TRUE,"&gt; 2 HOURS")</f>
        <v>1 TO 2 HOURS</v>
      </c>
      <c r="L285">
        <f>ROUND(CALLS[[#This Row],[Satisfaction Rating]],0)</f>
        <v>3</v>
      </c>
      <c r="M285" cm="1">
        <f t="array" ref="M285">_xlfn.IFS(CALLS[[#This Row],[DURATION BACKET]]="UNDER 10 MINS",1,
     CALLS[[#This Row],[DURATION BACKET]]="10 TO 30 MINS",2,
     CALLS[[#This Row],[DURATION BACKET]]="1 TO 2 HOURS",3,
     CALLS[[#This Row],[DURATION BACKET]]="&gt; 2 HOURS",4)</f>
        <v>3</v>
      </c>
      <c r="N285">
        <f>(CALLS[[#This Row],[Purchase Amount]]/ 1)</f>
        <v>63</v>
      </c>
    </row>
    <row r="286" spans="2:14" x14ac:dyDescent="0.25">
      <c r="B286" s="22" t="s">
        <v>308</v>
      </c>
      <c r="C286" s="4" t="s">
        <v>15</v>
      </c>
      <c r="D286" s="4">
        <v>61</v>
      </c>
      <c r="E286" s="5" t="s">
        <v>11</v>
      </c>
      <c r="F286" s="9">
        <v>45012</v>
      </c>
      <c r="G286" s="4">
        <v>140</v>
      </c>
      <c r="H286" s="23">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Row],[Duration]]&lt;=30,"10 TO 30 MINS",
     CALLS[[#This Row],[Duration]]&lt;=120,"1 TO 2 HOURS",
     TRUE,"&gt; 2 HOURS")</f>
        <v>1 TO 2 HOURS</v>
      </c>
      <c r="L286">
        <f>ROUND(CALLS[[#This Row],[Satisfaction Rating]],0)</f>
        <v>2</v>
      </c>
      <c r="M286" cm="1">
        <f t="array" ref="M286">_xlfn.IFS(CALLS[[#This Row],[DURATION BACKET]]="UNDER 10 MINS",1,
     CALLS[[#This Row],[DURATION BACKET]]="10 TO 30 MINS",2,
     CALLS[[#This Row],[DURATION BACKET]]="1 TO 2 HOURS",3,
     CALLS[[#This Row],[DURATION BACKET]]="&gt; 2 HOURS",4)</f>
        <v>3</v>
      </c>
      <c r="N286">
        <f>(CALLS[[#This Row],[Purchase Amount]]/ 1)</f>
        <v>140</v>
      </c>
    </row>
    <row r="287" spans="2:14" x14ac:dyDescent="0.25">
      <c r="B287" s="22" t="s">
        <v>309</v>
      </c>
      <c r="C287" s="4" t="s">
        <v>16</v>
      </c>
      <c r="D287" s="4">
        <v>126</v>
      </c>
      <c r="E287" s="5" t="s">
        <v>9</v>
      </c>
      <c r="F287" s="9">
        <v>45012</v>
      </c>
      <c r="G287" s="4">
        <v>128</v>
      </c>
      <c r="H287" s="23">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Row],[Duration]]&lt;=30,"10 TO 30 MINS",
     CALLS[[#This Row],[Duration]]&lt;=120,"1 TO 2 HOURS",
     TRUE,"&gt; 2 HOURS")</f>
        <v>&gt; 2 HOURS</v>
      </c>
      <c r="L287">
        <f>ROUND(CALLS[[#This Row],[Satisfaction Rating]],0)</f>
        <v>4</v>
      </c>
      <c r="M287" cm="1">
        <f t="array" ref="M287">_xlfn.IFS(CALLS[[#This Row],[DURATION BACKET]]="UNDER 10 MINS",1,
     CALLS[[#This Row],[DURATION BACKET]]="10 TO 30 MINS",2,
     CALLS[[#This Row],[DURATION BACKET]]="1 TO 2 HOURS",3,
     CALLS[[#This Row],[DURATION BACKET]]="&gt; 2 HOURS",4)</f>
        <v>4</v>
      </c>
      <c r="N287">
        <f>(CALLS[[#This Row],[Purchase Amount]]/ 1)</f>
        <v>128</v>
      </c>
    </row>
    <row r="288" spans="2:14" x14ac:dyDescent="0.25">
      <c r="B288" s="22" t="s">
        <v>310</v>
      </c>
      <c r="C288" s="4" t="s">
        <v>24</v>
      </c>
      <c r="D288" s="4">
        <v>141</v>
      </c>
      <c r="E288" s="5" t="s">
        <v>6</v>
      </c>
      <c r="F288" s="9">
        <v>45012</v>
      </c>
      <c r="G288" s="4">
        <v>80</v>
      </c>
      <c r="H288" s="23">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Row],[Duration]]&lt;=30,"10 TO 30 MINS",
     CALLS[[#This Row],[Duration]]&lt;=120,"1 TO 2 HOURS",
     TRUE,"&gt; 2 HOURS")</f>
        <v>&gt; 2 HOURS</v>
      </c>
      <c r="L288">
        <f>ROUND(CALLS[[#This Row],[Satisfaction Rating]],0)</f>
        <v>4</v>
      </c>
      <c r="M288" cm="1">
        <f t="array" ref="M288">_xlfn.IFS(CALLS[[#This Row],[DURATION BACKET]]="UNDER 10 MINS",1,
     CALLS[[#This Row],[DURATION BACKET]]="10 TO 30 MINS",2,
     CALLS[[#This Row],[DURATION BACKET]]="1 TO 2 HOURS",3,
     CALLS[[#This Row],[DURATION BACKET]]="&gt; 2 HOURS",4)</f>
        <v>4</v>
      </c>
      <c r="N288">
        <f>(CALLS[[#This Row],[Purchase Amount]]/ 1)</f>
        <v>80</v>
      </c>
    </row>
    <row r="289" spans="2:14" x14ac:dyDescent="0.25">
      <c r="B289" s="22" t="s">
        <v>311</v>
      </c>
      <c r="C289" s="4" t="s">
        <v>8</v>
      </c>
      <c r="D289" s="4">
        <v>95</v>
      </c>
      <c r="E289" s="5" t="s">
        <v>13</v>
      </c>
      <c r="F289" s="9">
        <v>45012</v>
      </c>
      <c r="G289" s="4">
        <v>28</v>
      </c>
      <c r="H289" s="23">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Row],[Duration]]&lt;=30,"10 TO 30 MINS",
     CALLS[[#This Row],[Duration]]&lt;=120,"1 TO 2 HOURS",
     TRUE,"&gt; 2 HOURS")</f>
        <v>1 TO 2 HOURS</v>
      </c>
      <c r="L289">
        <f>ROUND(CALLS[[#This Row],[Satisfaction Rating]],0)</f>
        <v>3</v>
      </c>
      <c r="M289" cm="1">
        <f t="array" ref="M289">_xlfn.IFS(CALLS[[#This Row],[DURATION BACKET]]="UNDER 10 MINS",1,
     CALLS[[#This Row],[DURATION BACKET]]="10 TO 30 MINS",2,
     CALLS[[#This Row],[DURATION BACKET]]="1 TO 2 HOURS",3,
     CALLS[[#This Row],[DURATION BACKET]]="&gt; 2 HOURS",4)</f>
        <v>3</v>
      </c>
      <c r="N289">
        <f>(CALLS[[#This Row],[Purchase Amount]]/ 1)</f>
        <v>28</v>
      </c>
    </row>
    <row r="290" spans="2:14" x14ac:dyDescent="0.25">
      <c r="B290" s="22" t="s">
        <v>312</v>
      </c>
      <c r="C290" s="4" t="s">
        <v>19</v>
      </c>
      <c r="D290" s="4">
        <v>39</v>
      </c>
      <c r="E290" s="5" t="s">
        <v>11</v>
      </c>
      <c r="F290" s="9">
        <v>45013</v>
      </c>
      <c r="G290" s="4">
        <v>81</v>
      </c>
      <c r="H290" s="23">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Row],[Duration]]&lt;=30,"10 TO 30 MINS",
     CALLS[[#This Row],[Duration]]&lt;=120,"1 TO 2 HOURS",
     TRUE,"&gt; 2 HOURS")</f>
        <v>1 TO 2 HOURS</v>
      </c>
      <c r="L290">
        <f>ROUND(CALLS[[#This Row],[Satisfaction Rating]],0)</f>
        <v>5</v>
      </c>
      <c r="M290" cm="1">
        <f t="array" ref="M290">_xlfn.IFS(CALLS[[#This Row],[DURATION BACKET]]="UNDER 10 MINS",1,
     CALLS[[#This Row],[DURATION BACKET]]="10 TO 30 MINS",2,
     CALLS[[#This Row],[DURATION BACKET]]="1 TO 2 HOURS",3,
     CALLS[[#This Row],[DURATION BACKET]]="&gt; 2 HOURS",4)</f>
        <v>3</v>
      </c>
      <c r="N290">
        <f>(CALLS[[#This Row],[Purchase Amount]]/ 1)</f>
        <v>81</v>
      </c>
    </row>
    <row r="291" spans="2:14" x14ac:dyDescent="0.25">
      <c r="B291" s="22" t="s">
        <v>313</v>
      </c>
      <c r="C291" s="4" t="s">
        <v>12</v>
      </c>
      <c r="D291" s="4">
        <v>127</v>
      </c>
      <c r="E291" s="5" t="s">
        <v>9</v>
      </c>
      <c r="F291" s="9">
        <v>45013</v>
      </c>
      <c r="G291" s="4">
        <v>99</v>
      </c>
      <c r="H291" s="23">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Row],[Duration]]&lt;=30,"10 TO 30 MINS",
     CALLS[[#This Row],[Duration]]&lt;=120,"1 TO 2 HOURS",
     TRUE,"&gt; 2 HOURS")</f>
        <v>&gt; 2 HOURS</v>
      </c>
      <c r="L291">
        <f>ROUND(CALLS[[#This Row],[Satisfaction Rating]],0)</f>
        <v>4</v>
      </c>
      <c r="M291" cm="1">
        <f t="array" ref="M291">_xlfn.IFS(CALLS[[#This Row],[DURATION BACKET]]="UNDER 10 MINS",1,
     CALLS[[#This Row],[DURATION BACKET]]="10 TO 30 MINS",2,
     CALLS[[#This Row],[DURATION BACKET]]="1 TO 2 HOURS",3,
     CALLS[[#This Row],[DURATION BACKET]]="&gt; 2 HOURS",4)</f>
        <v>4</v>
      </c>
      <c r="N291">
        <f>(CALLS[[#This Row],[Purchase Amount]]/ 1)</f>
        <v>99</v>
      </c>
    </row>
    <row r="292" spans="2:14" x14ac:dyDescent="0.25">
      <c r="B292" s="22" t="s">
        <v>314</v>
      </c>
      <c r="C292" s="4" t="s">
        <v>15</v>
      </c>
      <c r="D292" s="4">
        <v>78</v>
      </c>
      <c r="E292" s="5" t="s">
        <v>9</v>
      </c>
      <c r="F292" s="9">
        <v>45013</v>
      </c>
      <c r="G292" s="4">
        <v>43</v>
      </c>
      <c r="H292" s="23">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Row],[Duration]]&lt;=30,"10 TO 30 MINS",
     CALLS[[#This Row],[Duration]]&lt;=120,"1 TO 2 HOURS",
     TRUE,"&gt; 2 HOURS")</f>
        <v>1 TO 2 HOURS</v>
      </c>
      <c r="L292">
        <f>ROUND(CALLS[[#This Row],[Satisfaction Rating]],0)</f>
        <v>4</v>
      </c>
      <c r="M292" cm="1">
        <f t="array" ref="M292">_xlfn.IFS(CALLS[[#This Row],[DURATION BACKET]]="UNDER 10 MINS",1,
     CALLS[[#This Row],[DURATION BACKET]]="10 TO 30 MINS",2,
     CALLS[[#This Row],[DURATION BACKET]]="1 TO 2 HOURS",3,
     CALLS[[#This Row],[DURATION BACKET]]="&gt; 2 HOURS",4)</f>
        <v>3</v>
      </c>
      <c r="N292">
        <f>(CALLS[[#This Row],[Purchase Amount]]/ 1)</f>
        <v>43</v>
      </c>
    </row>
    <row r="293" spans="2:14" x14ac:dyDescent="0.25">
      <c r="B293" s="22" t="s">
        <v>315</v>
      </c>
      <c r="C293" s="4" t="s">
        <v>14</v>
      </c>
      <c r="D293" s="4">
        <v>40</v>
      </c>
      <c r="E293" s="5" t="s">
        <v>9</v>
      </c>
      <c r="F293" s="9">
        <v>45013</v>
      </c>
      <c r="G293" s="4">
        <v>34</v>
      </c>
      <c r="H293" s="2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Row],[Duration]]&lt;=30,"10 TO 30 MINS",
     CALLS[[#This Row],[Duration]]&lt;=120,"1 TO 2 HOURS",
     TRUE,"&gt; 2 HOURS")</f>
        <v>1 TO 2 HOURS</v>
      </c>
      <c r="L293">
        <f>ROUND(CALLS[[#This Row],[Satisfaction Rating]],0)</f>
        <v>5</v>
      </c>
      <c r="M293" cm="1">
        <f t="array" ref="M293">_xlfn.IFS(CALLS[[#This Row],[DURATION BACKET]]="UNDER 10 MINS",1,
     CALLS[[#This Row],[DURATION BACKET]]="10 TO 30 MINS",2,
     CALLS[[#This Row],[DURATION BACKET]]="1 TO 2 HOURS",3,
     CALLS[[#This Row],[DURATION BACKET]]="&gt; 2 HOURS",4)</f>
        <v>3</v>
      </c>
      <c r="N293">
        <f>(CALLS[[#This Row],[Purchase Amount]]/ 1)</f>
        <v>34</v>
      </c>
    </row>
    <row r="294" spans="2:14" x14ac:dyDescent="0.25">
      <c r="B294" s="22" t="s">
        <v>316</v>
      </c>
      <c r="C294" s="4" t="s">
        <v>15</v>
      </c>
      <c r="D294" s="4">
        <v>56</v>
      </c>
      <c r="E294" s="5" t="s">
        <v>11</v>
      </c>
      <c r="F294" s="9">
        <v>45013</v>
      </c>
      <c r="G294" s="4">
        <v>225</v>
      </c>
      <c r="H294" s="23">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Row],[Duration]]&lt;=30,"10 TO 30 MINS",
     CALLS[[#This Row],[Duration]]&lt;=120,"1 TO 2 HOURS",
     TRUE,"&gt; 2 HOURS")</f>
        <v>1 TO 2 HOURS</v>
      </c>
      <c r="L294">
        <f>ROUND(CALLS[[#This Row],[Satisfaction Rating]],0)</f>
        <v>5</v>
      </c>
      <c r="M294" cm="1">
        <f t="array" ref="M294">_xlfn.IFS(CALLS[[#This Row],[DURATION BACKET]]="UNDER 10 MINS",1,
     CALLS[[#This Row],[DURATION BACKET]]="10 TO 30 MINS",2,
     CALLS[[#This Row],[DURATION BACKET]]="1 TO 2 HOURS",3,
     CALLS[[#This Row],[DURATION BACKET]]="&gt; 2 HOURS",4)</f>
        <v>3</v>
      </c>
      <c r="N294">
        <f>(CALLS[[#This Row],[Purchase Amount]]/ 1)</f>
        <v>225</v>
      </c>
    </row>
    <row r="295" spans="2:14" x14ac:dyDescent="0.25">
      <c r="B295" s="22" t="s">
        <v>317</v>
      </c>
      <c r="C295" s="4" t="s">
        <v>19</v>
      </c>
      <c r="D295" s="4">
        <v>59</v>
      </c>
      <c r="E295" s="5" t="s">
        <v>6</v>
      </c>
      <c r="F295" s="9">
        <v>45013</v>
      </c>
      <c r="G295" s="4">
        <v>210</v>
      </c>
      <c r="H295" s="23">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Row],[Duration]]&lt;=30,"10 TO 30 MINS",
     CALLS[[#This Row],[Duration]]&lt;=120,"1 TO 2 HOURS",
     TRUE,"&gt; 2 HOURS")</f>
        <v>1 TO 2 HOURS</v>
      </c>
      <c r="L295">
        <f>ROUND(CALLS[[#This Row],[Satisfaction Rating]],0)</f>
        <v>5</v>
      </c>
      <c r="M295" cm="1">
        <f t="array" ref="M295">_xlfn.IFS(CALLS[[#This Row],[DURATION BACKET]]="UNDER 10 MINS",1,
     CALLS[[#This Row],[DURATION BACKET]]="10 TO 30 MINS",2,
     CALLS[[#This Row],[DURATION BACKET]]="1 TO 2 HOURS",3,
     CALLS[[#This Row],[DURATION BACKET]]="&gt; 2 HOURS",4)</f>
        <v>3</v>
      </c>
      <c r="N295">
        <f>(CALLS[[#This Row],[Purchase Amount]]/ 1)</f>
        <v>210</v>
      </c>
    </row>
    <row r="296" spans="2:14" x14ac:dyDescent="0.25">
      <c r="B296" s="22" t="s">
        <v>318</v>
      </c>
      <c r="C296" s="4" t="s">
        <v>16</v>
      </c>
      <c r="D296" s="4">
        <v>30</v>
      </c>
      <c r="E296" s="5" t="s">
        <v>9</v>
      </c>
      <c r="F296" s="9">
        <v>45013</v>
      </c>
      <c r="G296" s="4">
        <v>168</v>
      </c>
      <c r="H296" s="23">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Row],[Duration]]&lt;=30,"10 TO 30 MINS",
     CALLS[[#This Row],[Duration]]&lt;=120,"1 TO 2 HOURS",
     TRUE,"&gt; 2 HOURS")</f>
        <v>10 TO 30 MINS</v>
      </c>
      <c r="L296">
        <f>ROUND(CALLS[[#This Row],[Satisfaction Rating]],0)</f>
        <v>4</v>
      </c>
      <c r="M296" cm="1">
        <f t="array" ref="M296">_xlfn.IFS(CALLS[[#This Row],[DURATION BACKET]]="UNDER 10 MINS",1,
     CALLS[[#This Row],[DURATION BACKET]]="10 TO 30 MINS",2,
     CALLS[[#This Row],[DURATION BACKET]]="1 TO 2 HOURS",3,
     CALLS[[#This Row],[DURATION BACKET]]="&gt; 2 HOURS",4)</f>
        <v>2</v>
      </c>
      <c r="N296">
        <f>(CALLS[[#This Row],[Purchase Amount]]/ 1)</f>
        <v>168</v>
      </c>
    </row>
    <row r="297" spans="2:14" x14ac:dyDescent="0.25">
      <c r="B297" s="22" t="s">
        <v>319</v>
      </c>
      <c r="C297" s="4" t="s">
        <v>14</v>
      </c>
      <c r="D297" s="4">
        <v>63</v>
      </c>
      <c r="E297" s="5" t="s">
        <v>10</v>
      </c>
      <c r="F297" s="9">
        <v>45014</v>
      </c>
      <c r="G297" s="4">
        <v>82</v>
      </c>
      <c r="H297" s="23">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Row],[Duration]]&lt;=30,"10 TO 30 MINS",
     CALLS[[#This Row],[Duration]]&lt;=120,"1 TO 2 HOURS",
     TRUE,"&gt; 2 HOURS")</f>
        <v>1 TO 2 HOURS</v>
      </c>
      <c r="L297">
        <f>ROUND(CALLS[[#This Row],[Satisfaction Rating]],0)</f>
        <v>5</v>
      </c>
      <c r="M297" cm="1">
        <f t="array" ref="M297">_xlfn.IFS(CALLS[[#This Row],[DURATION BACKET]]="UNDER 10 MINS",1,
     CALLS[[#This Row],[DURATION BACKET]]="10 TO 30 MINS",2,
     CALLS[[#This Row],[DURATION BACKET]]="1 TO 2 HOURS",3,
     CALLS[[#This Row],[DURATION BACKET]]="&gt; 2 HOURS",4)</f>
        <v>3</v>
      </c>
      <c r="N297">
        <f>(CALLS[[#This Row],[Purchase Amount]]/ 1)</f>
        <v>82</v>
      </c>
    </row>
    <row r="298" spans="2:14" x14ac:dyDescent="0.25">
      <c r="B298" s="22" t="s">
        <v>320</v>
      </c>
      <c r="C298" s="4" t="s">
        <v>23</v>
      </c>
      <c r="D298" s="4">
        <v>56</v>
      </c>
      <c r="E298" s="5" t="s">
        <v>13</v>
      </c>
      <c r="F298" s="9">
        <v>45014</v>
      </c>
      <c r="G298" s="4">
        <v>88</v>
      </c>
      <c r="H298" s="23">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Row],[Duration]]&lt;=30,"10 TO 30 MINS",
     CALLS[[#This Row],[Duration]]&lt;=120,"1 TO 2 HOURS",
     TRUE,"&gt; 2 HOURS")</f>
        <v>1 TO 2 HOURS</v>
      </c>
      <c r="L298">
        <f>ROUND(CALLS[[#This Row],[Satisfaction Rating]],0)</f>
        <v>4</v>
      </c>
      <c r="M298" cm="1">
        <f t="array" ref="M298">_xlfn.IFS(CALLS[[#This Row],[DURATION BACKET]]="UNDER 10 MINS",1,
     CALLS[[#This Row],[DURATION BACKET]]="10 TO 30 MINS",2,
     CALLS[[#This Row],[DURATION BACKET]]="1 TO 2 HOURS",3,
     CALLS[[#This Row],[DURATION BACKET]]="&gt; 2 HOURS",4)</f>
        <v>3</v>
      </c>
      <c r="N298">
        <f>(CALLS[[#This Row],[Purchase Amount]]/ 1)</f>
        <v>88</v>
      </c>
    </row>
    <row r="299" spans="2:14" x14ac:dyDescent="0.25">
      <c r="B299" s="22" t="s">
        <v>321</v>
      </c>
      <c r="C299" s="4" t="s">
        <v>5</v>
      </c>
      <c r="D299" s="4">
        <v>95</v>
      </c>
      <c r="E299" s="5" t="s">
        <v>10</v>
      </c>
      <c r="F299" s="9">
        <v>45014</v>
      </c>
      <c r="G299" s="4">
        <v>111</v>
      </c>
      <c r="H299" s="23">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Row],[Duration]]&lt;=30,"10 TO 30 MINS",
     CALLS[[#This Row],[Duration]]&lt;=120,"1 TO 2 HOURS",
     TRUE,"&gt; 2 HOURS")</f>
        <v>1 TO 2 HOURS</v>
      </c>
      <c r="L299">
        <f>ROUND(CALLS[[#This Row],[Satisfaction Rating]],0)</f>
        <v>3</v>
      </c>
      <c r="M299" cm="1">
        <f t="array" ref="M299">_xlfn.IFS(CALLS[[#This Row],[DURATION BACKET]]="UNDER 10 MINS",1,
     CALLS[[#This Row],[DURATION BACKET]]="10 TO 30 MINS",2,
     CALLS[[#This Row],[DURATION BACKET]]="1 TO 2 HOURS",3,
     CALLS[[#This Row],[DURATION BACKET]]="&gt; 2 HOURS",4)</f>
        <v>3</v>
      </c>
      <c r="N299">
        <f>(CALLS[[#This Row],[Purchase Amount]]/ 1)</f>
        <v>111</v>
      </c>
    </row>
    <row r="300" spans="2:14" x14ac:dyDescent="0.25">
      <c r="B300" s="22" t="s">
        <v>322</v>
      </c>
      <c r="C300" s="4" t="s">
        <v>17</v>
      </c>
      <c r="D300" s="4">
        <v>128</v>
      </c>
      <c r="E300" s="5" t="s">
        <v>6</v>
      </c>
      <c r="F300" s="9">
        <v>45014</v>
      </c>
      <c r="G300" s="4">
        <v>60</v>
      </c>
      <c r="H300" s="23">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Row],[Duration]]&lt;=30,"10 TO 30 MINS",
     CALLS[[#This Row],[Duration]]&lt;=120,"1 TO 2 HOURS",
     TRUE,"&gt; 2 HOURS")</f>
        <v>&gt; 2 HOURS</v>
      </c>
      <c r="L300">
        <f>ROUND(CALLS[[#This Row],[Satisfaction Rating]],0)</f>
        <v>4</v>
      </c>
      <c r="M300" cm="1">
        <f t="array" ref="M300">_xlfn.IFS(CALLS[[#This Row],[DURATION BACKET]]="UNDER 10 MINS",1,
     CALLS[[#This Row],[DURATION BACKET]]="10 TO 30 MINS",2,
     CALLS[[#This Row],[DURATION BACKET]]="1 TO 2 HOURS",3,
     CALLS[[#This Row],[DURATION BACKET]]="&gt; 2 HOURS",4)</f>
        <v>4</v>
      </c>
      <c r="N300">
        <f>(CALLS[[#This Row],[Purchase Amount]]/ 1)</f>
        <v>60</v>
      </c>
    </row>
    <row r="301" spans="2:14" x14ac:dyDescent="0.25">
      <c r="B301" s="22" t="s">
        <v>323</v>
      </c>
      <c r="C301" s="4" t="s">
        <v>8</v>
      </c>
      <c r="D301" s="4">
        <v>49</v>
      </c>
      <c r="E301" s="5" t="s">
        <v>10</v>
      </c>
      <c r="F301" s="9">
        <v>45014</v>
      </c>
      <c r="G301" s="4">
        <v>80</v>
      </c>
      <c r="H301" s="23">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Row],[Duration]]&lt;=30,"10 TO 30 MINS",
     CALLS[[#This Row],[Duration]]&lt;=120,"1 TO 2 HOURS",
     TRUE,"&gt; 2 HOURS")</f>
        <v>1 TO 2 HOURS</v>
      </c>
      <c r="L301">
        <f>ROUND(CALLS[[#This Row],[Satisfaction Rating]],0)</f>
        <v>3</v>
      </c>
      <c r="M301" cm="1">
        <f t="array" ref="M301">_xlfn.IFS(CALLS[[#This Row],[DURATION BACKET]]="UNDER 10 MINS",1,
     CALLS[[#This Row],[DURATION BACKET]]="10 TO 30 MINS",2,
     CALLS[[#This Row],[DURATION BACKET]]="1 TO 2 HOURS",3,
     CALLS[[#This Row],[DURATION BACKET]]="&gt; 2 HOURS",4)</f>
        <v>3</v>
      </c>
      <c r="N301">
        <f>(CALLS[[#This Row],[Purchase Amount]]/ 1)</f>
        <v>80</v>
      </c>
    </row>
    <row r="302" spans="2:14" x14ac:dyDescent="0.25">
      <c r="B302" s="22" t="s">
        <v>324</v>
      </c>
      <c r="C302" s="4" t="s">
        <v>17</v>
      </c>
      <c r="D302" s="4">
        <v>89</v>
      </c>
      <c r="E302" s="5" t="s">
        <v>11</v>
      </c>
      <c r="F302" s="9">
        <v>45016</v>
      </c>
      <c r="G302" s="4">
        <v>90</v>
      </c>
      <c r="H302" s="23">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Row],[Duration]]&lt;=30,"10 TO 30 MINS",
     CALLS[[#This Row],[Duration]]&lt;=120,"1 TO 2 HOURS",
     TRUE,"&gt; 2 HOURS")</f>
        <v>1 TO 2 HOURS</v>
      </c>
      <c r="L302">
        <f>ROUND(CALLS[[#This Row],[Satisfaction Rating]],0)</f>
        <v>5</v>
      </c>
      <c r="M302" cm="1">
        <f t="array" ref="M302">_xlfn.IFS(CALLS[[#This Row],[DURATION BACKET]]="UNDER 10 MINS",1,
     CALLS[[#This Row],[DURATION BACKET]]="10 TO 30 MINS",2,
     CALLS[[#This Row],[DURATION BACKET]]="1 TO 2 HOURS",3,
     CALLS[[#This Row],[DURATION BACKET]]="&gt; 2 HOURS",4)</f>
        <v>3</v>
      </c>
      <c r="N302">
        <f>(CALLS[[#This Row],[Purchase Amount]]/ 1)</f>
        <v>90</v>
      </c>
    </row>
    <row r="303" spans="2:14" x14ac:dyDescent="0.25">
      <c r="B303" s="22" t="s">
        <v>325</v>
      </c>
      <c r="C303" s="4" t="s">
        <v>22</v>
      </c>
      <c r="D303" s="4">
        <v>87</v>
      </c>
      <c r="E303" s="5" t="s">
        <v>10</v>
      </c>
      <c r="F303" s="9">
        <v>45016</v>
      </c>
      <c r="G303" s="4">
        <v>225</v>
      </c>
      <c r="H303" s="2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Row],[Duration]]&lt;=30,"10 TO 30 MINS",
     CALLS[[#This Row],[Duration]]&lt;=120,"1 TO 2 HOURS",
     TRUE,"&gt; 2 HOURS")</f>
        <v>1 TO 2 HOURS</v>
      </c>
      <c r="L303">
        <f>ROUND(CALLS[[#This Row],[Satisfaction Rating]],0)</f>
        <v>3</v>
      </c>
      <c r="M303" cm="1">
        <f t="array" ref="M303">_xlfn.IFS(CALLS[[#This Row],[DURATION BACKET]]="UNDER 10 MINS",1,
     CALLS[[#This Row],[DURATION BACKET]]="10 TO 30 MINS",2,
     CALLS[[#This Row],[DURATION BACKET]]="1 TO 2 HOURS",3,
     CALLS[[#This Row],[DURATION BACKET]]="&gt; 2 HOURS",4)</f>
        <v>3</v>
      </c>
      <c r="N303">
        <f>(CALLS[[#This Row],[Purchase Amount]]/ 1)</f>
        <v>225</v>
      </c>
    </row>
    <row r="304" spans="2:14" x14ac:dyDescent="0.25">
      <c r="B304" s="22" t="s">
        <v>326</v>
      </c>
      <c r="C304" s="4" t="s">
        <v>20</v>
      </c>
      <c r="D304" s="4">
        <v>60</v>
      </c>
      <c r="E304" s="5" t="s">
        <v>9</v>
      </c>
      <c r="F304" s="9">
        <v>45017</v>
      </c>
      <c r="G304" s="4">
        <v>215</v>
      </c>
      <c r="H304" s="23">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Row],[Duration]]&lt;=30,"10 TO 30 MINS",
     CALLS[[#This Row],[Duration]]&lt;=120,"1 TO 2 HOURS",
     TRUE,"&gt; 2 HOURS")</f>
        <v>1 TO 2 HOURS</v>
      </c>
      <c r="L304">
        <f>ROUND(CALLS[[#This Row],[Satisfaction Rating]],0)</f>
        <v>3</v>
      </c>
      <c r="M304" cm="1">
        <f t="array" ref="M304">_xlfn.IFS(CALLS[[#This Row],[DURATION BACKET]]="UNDER 10 MINS",1,
     CALLS[[#This Row],[DURATION BACKET]]="10 TO 30 MINS",2,
     CALLS[[#This Row],[DURATION BACKET]]="1 TO 2 HOURS",3,
     CALLS[[#This Row],[DURATION BACKET]]="&gt; 2 HOURS",4)</f>
        <v>3</v>
      </c>
      <c r="N304">
        <f>(CALLS[[#This Row],[Purchase Amount]]/ 1)</f>
        <v>215</v>
      </c>
    </row>
    <row r="305" spans="2:14" x14ac:dyDescent="0.25">
      <c r="B305" s="22" t="s">
        <v>327</v>
      </c>
      <c r="C305" s="4" t="s">
        <v>21</v>
      </c>
      <c r="D305" s="4">
        <v>42</v>
      </c>
      <c r="E305" s="5" t="s">
        <v>11</v>
      </c>
      <c r="F305" s="9">
        <v>45017</v>
      </c>
      <c r="G305" s="4">
        <v>45</v>
      </c>
      <c r="H305" s="23">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Row],[Duration]]&lt;=30,"10 TO 30 MINS",
     CALLS[[#This Row],[Duration]]&lt;=120,"1 TO 2 HOURS",
     TRUE,"&gt; 2 HOURS")</f>
        <v>1 TO 2 HOURS</v>
      </c>
      <c r="L305">
        <f>ROUND(CALLS[[#This Row],[Satisfaction Rating]],0)</f>
        <v>2</v>
      </c>
      <c r="M305" cm="1">
        <f t="array" ref="M305">_xlfn.IFS(CALLS[[#This Row],[DURATION BACKET]]="UNDER 10 MINS",1,
     CALLS[[#This Row],[DURATION BACKET]]="10 TO 30 MINS",2,
     CALLS[[#This Row],[DURATION BACKET]]="1 TO 2 HOURS",3,
     CALLS[[#This Row],[DURATION BACKET]]="&gt; 2 HOURS",4)</f>
        <v>3</v>
      </c>
      <c r="N305">
        <f>(CALLS[[#This Row],[Purchase Amount]]/ 1)</f>
        <v>45</v>
      </c>
    </row>
    <row r="306" spans="2:14" x14ac:dyDescent="0.25">
      <c r="B306" s="22" t="s">
        <v>328</v>
      </c>
      <c r="C306" s="4" t="s">
        <v>18</v>
      </c>
      <c r="D306" s="4">
        <v>99</v>
      </c>
      <c r="E306" s="5" t="s">
        <v>9</v>
      </c>
      <c r="F306" s="9">
        <v>45017</v>
      </c>
      <c r="G306" s="4">
        <v>74</v>
      </c>
      <c r="H306" s="23">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Row],[Duration]]&lt;=30,"10 TO 30 MINS",
     CALLS[[#This Row],[Duration]]&lt;=120,"1 TO 2 HOURS",
     TRUE,"&gt; 2 HOURS")</f>
        <v>1 TO 2 HOURS</v>
      </c>
      <c r="L306">
        <f>ROUND(CALLS[[#This Row],[Satisfaction Rating]],0)</f>
        <v>4</v>
      </c>
      <c r="M306" cm="1">
        <f t="array" ref="M306">_xlfn.IFS(CALLS[[#This Row],[DURATION BACKET]]="UNDER 10 MINS",1,
     CALLS[[#This Row],[DURATION BACKET]]="10 TO 30 MINS",2,
     CALLS[[#This Row],[DURATION BACKET]]="1 TO 2 HOURS",3,
     CALLS[[#This Row],[DURATION BACKET]]="&gt; 2 HOURS",4)</f>
        <v>3</v>
      </c>
      <c r="N306">
        <f>(CALLS[[#This Row],[Purchase Amount]]/ 1)</f>
        <v>74</v>
      </c>
    </row>
    <row r="307" spans="2:14" x14ac:dyDescent="0.25">
      <c r="B307" s="22" t="s">
        <v>329</v>
      </c>
      <c r="C307" s="4" t="s">
        <v>23</v>
      </c>
      <c r="D307" s="4">
        <v>20</v>
      </c>
      <c r="E307" s="5" t="s">
        <v>11</v>
      </c>
      <c r="F307" s="9">
        <v>45017</v>
      </c>
      <c r="G307" s="4">
        <v>60</v>
      </c>
      <c r="H307" s="23">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Row],[Duration]]&lt;=30,"10 TO 30 MINS",
     CALLS[[#This Row],[Duration]]&lt;=120,"1 TO 2 HOURS",
     TRUE,"&gt; 2 HOURS")</f>
        <v>10 TO 30 MINS</v>
      </c>
      <c r="L307">
        <f>ROUND(CALLS[[#This Row],[Satisfaction Rating]],0)</f>
        <v>4</v>
      </c>
      <c r="M307" cm="1">
        <f t="array" ref="M307">_xlfn.IFS(CALLS[[#This Row],[DURATION BACKET]]="UNDER 10 MINS",1,
     CALLS[[#This Row],[DURATION BACKET]]="10 TO 30 MINS",2,
     CALLS[[#This Row],[DURATION BACKET]]="1 TO 2 HOURS",3,
     CALLS[[#This Row],[DURATION BACKET]]="&gt; 2 HOURS",4)</f>
        <v>2</v>
      </c>
      <c r="N307">
        <f>(CALLS[[#This Row],[Purchase Amount]]/ 1)</f>
        <v>60</v>
      </c>
    </row>
    <row r="308" spans="2:14" x14ac:dyDescent="0.25">
      <c r="B308" s="22" t="s">
        <v>330</v>
      </c>
      <c r="C308" s="4" t="s">
        <v>14</v>
      </c>
      <c r="D308" s="4">
        <v>65</v>
      </c>
      <c r="E308" s="5" t="s">
        <v>9</v>
      </c>
      <c r="F308" s="9">
        <v>45017</v>
      </c>
      <c r="G308" s="4">
        <v>64</v>
      </c>
      <c r="H308" s="23">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Row],[Duration]]&lt;=30,"10 TO 30 MINS",
     CALLS[[#This Row],[Duration]]&lt;=120,"1 TO 2 HOURS",
     TRUE,"&gt; 2 HOURS")</f>
        <v>1 TO 2 HOURS</v>
      </c>
      <c r="L308">
        <f>ROUND(CALLS[[#This Row],[Satisfaction Rating]],0)</f>
        <v>4</v>
      </c>
      <c r="M308" cm="1">
        <f t="array" ref="M308">_xlfn.IFS(CALLS[[#This Row],[DURATION BACKET]]="UNDER 10 MINS",1,
     CALLS[[#This Row],[DURATION BACKET]]="10 TO 30 MINS",2,
     CALLS[[#This Row],[DURATION BACKET]]="1 TO 2 HOURS",3,
     CALLS[[#This Row],[DURATION BACKET]]="&gt; 2 HOURS",4)</f>
        <v>3</v>
      </c>
      <c r="N308">
        <f>(CALLS[[#This Row],[Purchase Amount]]/ 1)</f>
        <v>64</v>
      </c>
    </row>
    <row r="309" spans="2:14" x14ac:dyDescent="0.25">
      <c r="B309" s="22" t="s">
        <v>331</v>
      </c>
      <c r="C309" s="4" t="s">
        <v>16</v>
      </c>
      <c r="D309" s="4">
        <v>71</v>
      </c>
      <c r="E309" s="5" t="s">
        <v>10</v>
      </c>
      <c r="F309" s="9">
        <v>45018</v>
      </c>
      <c r="G309" s="4">
        <v>110</v>
      </c>
      <c r="H309" s="23">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Row],[Duration]]&lt;=30,"10 TO 30 MINS",
     CALLS[[#This Row],[Duration]]&lt;=120,"1 TO 2 HOURS",
     TRUE,"&gt; 2 HOURS")</f>
        <v>1 TO 2 HOURS</v>
      </c>
      <c r="L309">
        <f>ROUND(CALLS[[#This Row],[Satisfaction Rating]],0)</f>
        <v>5</v>
      </c>
      <c r="M309" cm="1">
        <f t="array" ref="M309">_xlfn.IFS(CALLS[[#This Row],[DURATION BACKET]]="UNDER 10 MINS",1,
     CALLS[[#This Row],[DURATION BACKET]]="10 TO 30 MINS",2,
     CALLS[[#This Row],[DURATION BACKET]]="1 TO 2 HOURS",3,
     CALLS[[#This Row],[DURATION BACKET]]="&gt; 2 HOURS",4)</f>
        <v>3</v>
      </c>
      <c r="N309">
        <f>(CALLS[[#This Row],[Purchase Amount]]/ 1)</f>
        <v>110</v>
      </c>
    </row>
    <row r="310" spans="2:14" x14ac:dyDescent="0.25">
      <c r="B310" s="22" t="s">
        <v>332</v>
      </c>
      <c r="C310" s="4" t="s">
        <v>12</v>
      </c>
      <c r="D310" s="4">
        <v>95</v>
      </c>
      <c r="E310" s="5" t="s">
        <v>6</v>
      </c>
      <c r="F310" s="9">
        <v>45018</v>
      </c>
      <c r="G310" s="4">
        <v>52</v>
      </c>
      <c r="H310" s="23">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Row],[Duration]]&lt;=30,"10 TO 30 MINS",
     CALLS[[#This Row],[Duration]]&lt;=120,"1 TO 2 HOURS",
     TRUE,"&gt; 2 HOURS")</f>
        <v>1 TO 2 HOURS</v>
      </c>
      <c r="L310">
        <f>ROUND(CALLS[[#This Row],[Satisfaction Rating]],0)</f>
        <v>1</v>
      </c>
      <c r="M310" cm="1">
        <f t="array" ref="M310">_xlfn.IFS(CALLS[[#This Row],[DURATION BACKET]]="UNDER 10 MINS",1,
     CALLS[[#This Row],[DURATION BACKET]]="10 TO 30 MINS",2,
     CALLS[[#This Row],[DURATION BACKET]]="1 TO 2 HOURS",3,
     CALLS[[#This Row],[DURATION BACKET]]="&gt; 2 HOURS",4)</f>
        <v>3</v>
      </c>
      <c r="N310">
        <f>(CALLS[[#This Row],[Purchase Amount]]/ 1)</f>
        <v>52</v>
      </c>
    </row>
    <row r="311" spans="2:14" x14ac:dyDescent="0.25">
      <c r="B311" s="22" t="s">
        <v>333</v>
      </c>
      <c r="C311" s="4" t="s">
        <v>23</v>
      </c>
      <c r="D311" s="4">
        <v>81</v>
      </c>
      <c r="E311" s="5" t="s">
        <v>13</v>
      </c>
      <c r="F311" s="9">
        <v>45019</v>
      </c>
      <c r="G311" s="4">
        <v>160</v>
      </c>
      <c r="H311" s="23">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Row],[Duration]]&lt;=30,"10 TO 30 MINS",
     CALLS[[#This Row],[Duration]]&lt;=120,"1 TO 2 HOURS",
     TRUE,"&gt; 2 HOURS")</f>
        <v>1 TO 2 HOURS</v>
      </c>
      <c r="L311">
        <f>ROUND(CALLS[[#This Row],[Satisfaction Rating]],0)</f>
        <v>5</v>
      </c>
      <c r="M311" cm="1">
        <f t="array" ref="M311">_xlfn.IFS(CALLS[[#This Row],[DURATION BACKET]]="UNDER 10 MINS",1,
     CALLS[[#This Row],[DURATION BACKET]]="10 TO 30 MINS",2,
     CALLS[[#This Row],[DURATION BACKET]]="1 TO 2 HOURS",3,
     CALLS[[#This Row],[DURATION BACKET]]="&gt; 2 HOURS",4)</f>
        <v>3</v>
      </c>
      <c r="N311">
        <f>(CALLS[[#This Row],[Purchase Amount]]/ 1)</f>
        <v>160</v>
      </c>
    </row>
    <row r="312" spans="2:14" x14ac:dyDescent="0.25">
      <c r="B312" s="22" t="s">
        <v>334</v>
      </c>
      <c r="C312" s="4" t="s">
        <v>7</v>
      </c>
      <c r="D312" s="4">
        <v>137</v>
      </c>
      <c r="E312" s="5" t="s">
        <v>13</v>
      </c>
      <c r="F312" s="9">
        <v>45019</v>
      </c>
      <c r="G312" s="4">
        <v>215</v>
      </c>
      <c r="H312" s="23">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Row],[Duration]]&lt;=30,"10 TO 30 MINS",
     CALLS[[#This Row],[Duration]]&lt;=120,"1 TO 2 HOURS",
     TRUE,"&gt; 2 HOURS")</f>
        <v>&gt; 2 HOURS</v>
      </c>
      <c r="L312">
        <f>ROUND(CALLS[[#This Row],[Satisfaction Rating]],0)</f>
        <v>5</v>
      </c>
      <c r="M312" cm="1">
        <f t="array" ref="M312">_xlfn.IFS(CALLS[[#This Row],[DURATION BACKET]]="UNDER 10 MINS",1,
     CALLS[[#This Row],[DURATION BACKET]]="10 TO 30 MINS",2,
     CALLS[[#This Row],[DURATION BACKET]]="1 TO 2 HOURS",3,
     CALLS[[#This Row],[DURATION BACKET]]="&gt; 2 HOURS",4)</f>
        <v>4</v>
      </c>
      <c r="N312">
        <f>(CALLS[[#This Row],[Purchase Amount]]/ 1)</f>
        <v>215</v>
      </c>
    </row>
    <row r="313" spans="2:14" x14ac:dyDescent="0.25">
      <c r="B313" s="22" t="s">
        <v>335</v>
      </c>
      <c r="C313" s="4" t="s">
        <v>7</v>
      </c>
      <c r="D313" s="4">
        <v>40</v>
      </c>
      <c r="E313" s="5" t="s">
        <v>6</v>
      </c>
      <c r="F313" s="9">
        <v>45019</v>
      </c>
      <c r="G313" s="4">
        <v>220</v>
      </c>
      <c r="H313" s="2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Row],[Duration]]&lt;=30,"10 TO 30 MINS",
     CALLS[[#This Row],[Duration]]&lt;=120,"1 TO 2 HOURS",
     TRUE,"&gt; 2 HOURS")</f>
        <v>1 TO 2 HOURS</v>
      </c>
      <c r="L313">
        <f>ROUND(CALLS[[#This Row],[Satisfaction Rating]],0)</f>
        <v>5</v>
      </c>
      <c r="M313" cm="1">
        <f t="array" ref="M313">_xlfn.IFS(CALLS[[#This Row],[DURATION BACKET]]="UNDER 10 MINS",1,
     CALLS[[#This Row],[DURATION BACKET]]="10 TO 30 MINS",2,
     CALLS[[#This Row],[DURATION BACKET]]="1 TO 2 HOURS",3,
     CALLS[[#This Row],[DURATION BACKET]]="&gt; 2 HOURS",4)</f>
        <v>3</v>
      </c>
      <c r="N313">
        <f>(CALLS[[#This Row],[Purchase Amount]]/ 1)</f>
        <v>220</v>
      </c>
    </row>
    <row r="314" spans="2:14" x14ac:dyDescent="0.25">
      <c r="B314" s="22" t="s">
        <v>336</v>
      </c>
      <c r="C314" s="4" t="s">
        <v>18</v>
      </c>
      <c r="D314" s="4">
        <v>111</v>
      </c>
      <c r="E314" s="5" t="s">
        <v>9</v>
      </c>
      <c r="F314" s="9">
        <v>45020</v>
      </c>
      <c r="G314" s="4">
        <v>175</v>
      </c>
      <c r="H314" s="23">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Row],[Duration]]&lt;=30,"10 TO 30 MINS",
     CALLS[[#This Row],[Duration]]&lt;=120,"1 TO 2 HOURS",
     TRUE,"&gt; 2 HOURS")</f>
        <v>1 TO 2 HOURS</v>
      </c>
      <c r="L314">
        <f>ROUND(CALLS[[#This Row],[Satisfaction Rating]],0)</f>
        <v>4</v>
      </c>
      <c r="M314" cm="1">
        <f t="array" ref="M314">_xlfn.IFS(CALLS[[#This Row],[DURATION BACKET]]="UNDER 10 MINS",1,
     CALLS[[#This Row],[DURATION BACKET]]="10 TO 30 MINS",2,
     CALLS[[#This Row],[DURATION BACKET]]="1 TO 2 HOURS",3,
     CALLS[[#This Row],[DURATION BACKET]]="&gt; 2 HOURS",4)</f>
        <v>3</v>
      </c>
      <c r="N314">
        <f>(CALLS[[#This Row],[Purchase Amount]]/ 1)</f>
        <v>175</v>
      </c>
    </row>
    <row r="315" spans="2:14" x14ac:dyDescent="0.25">
      <c r="B315" s="22" t="s">
        <v>337</v>
      </c>
      <c r="C315" s="4" t="s">
        <v>16</v>
      </c>
      <c r="D315" s="4">
        <v>106</v>
      </c>
      <c r="E315" s="5" t="s">
        <v>9</v>
      </c>
      <c r="F315" s="9">
        <v>45020</v>
      </c>
      <c r="G315" s="4">
        <v>145</v>
      </c>
      <c r="H315" s="23">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Row],[Duration]]&lt;=30,"10 TO 30 MINS",
     CALLS[[#This Row],[Duration]]&lt;=120,"1 TO 2 HOURS",
     TRUE,"&gt; 2 HOURS")</f>
        <v>1 TO 2 HOURS</v>
      </c>
      <c r="L315">
        <f>ROUND(CALLS[[#This Row],[Satisfaction Rating]],0)</f>
        <v>4</v>
      </c>
      <c r="M315" cm="1">
        <f t="array" ref="M315">_xlfn.IFS(CALLS[[#This Row],[DURATION BACKET]]="UNDER 10 MINS",1,
     CALLS[[#This Row],[DURATION BACKET]]="10 TO 30 MINS",2,
     CALLS[[#This Row],[DURATION BACKET]]="1 TO 2 HOURS",3,
     CALLS[[#This Row],[DURATION BACKET]]="&gt; 2 HOURS",4)</f>
        <v>3</v>
      </c>
      <c r="N315">
        <f>(CALLS[[#This Row],[Purchase Amount]]/ 1)</f>
        <v>145</v>
      </c>
    </row>
    <row r="316" spans="2:14" x14ac:dyDescent="0.25">
      <c r="B316" s="22" t="s">
        <v>338</v>
      </c>
      <c r="C316" s="4" t="s">
        <v>21</v>
      </c>
      <c r="D316" s="4">
        <v>133</v>
      </c>
      <c r="E316" s="5" t="s">
        <v>11</v>
      </c>
      <c r="F316" s="9">
        <v>45020</v>
      </c>
      <c r="G316" s="4">
        <v>72</v>
      </c>
      <c r="H316" s="23">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Row],[Duration]]&lt;=30,"10 TO 30 MINS",
     CALLS[[#This Row],[Duration]]&lt;=120,"1 TO 2 HOURS",
     TRUE,"&gt; 2 HOURS")</f>
        <v>&gt; 2 HOURS</v>
      </c>
      <c r="L316">
        <f>ROUND(CALLS[[#This Row],[Satisfaction Rating]],0)</f>
        <v>4</v>
      </c>
      <c r="M316" cm="1">
        <f t="array" ref="M316">_xlfn.IFS(CALLS[[#This Row],[DURATION BACKET]]="UNDER 10 MINS",1,
     CALLS[[#This Row],[DURATION BACKET]]="10 TO 30 MINS",2,
     CALLS[[#This Row],[DURATION BACKET]]="1 TO 2 HOURS",3,
     CALLS[[#This Row],[DURATION BACKET]]="&gt; 2 HOURS",4)</f>
        <v>4</v>
      </c>
      <c r="N316">
        <f>(CALLS[[#This Row],[Purchase Amount]]/ 1)</f>
        <v>72</v>
      </c>
    </row>
    <row r="317" spans="2:14" x14ac:dyDescent="0.25">
      <c r="B317" s="22" t="s">
        <v>339</v>
      </c>
      <c r="C317" s="4" t="s">
        <v>15</v>
      </c>
      <c r="D317" s="4">
        <v>38</v>
      </c>
      <c r="E317" s="5" t="s">
        <v>9</v>
      </c>
      <c r="F317" s="9">
        <v>45021</v>
      </c>
      <c r="G317" s="4">
        <v>81</v>
      </c>
      <c r="H317" s="23">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Row],[Duration]]&lt;=30,"10 TO 30 MINS",
     CALLS[[#This Row],[Duration]]&lt;=120,"1 TO 2 HOURS",
     TRUE,"&gt; 2 HOURS")</f>
        <v>1 TO 2 HOURS</v>
      </c>
      <c r="L317">
        <f>ROUND(CALLS[[#This Row],[Satisfaction Rating]],0)</f>
        <v>4</v>
      </c>
      <c r="M317" cm="1">
        <f t="array" ref="M317">_xlfn.IFS(CALLS[[#This Row],[DURATION BACKET]]="UNDER 10 MINS",1,
     CALLS[[#This Row],[DURATION BACKET]]="10 TO 30 MINS",2,
     CALLS[[#This Row],[DURATION BACKET]]="1 TO 2 HOURS",3,
     CALLS[[#This Row],[DURATION BACKET]]="&gt; 2 HOURS",4)</f>
        <v>3</v>
      </c>
      <c r="N317">
        <f>(CALLS[[#This Row],[Purchase Amount]]/ 1)</f>
        <v>81</v>
      </c>
    </row>
    <row r="318" spans="2:14" x14ac:dyDescent="0.25">
      <c r="B318" s="22" t="s">
        <v>340</v>
      </c>
      <c r="C318" s="4" t="s">
        <v>19</v>
      </c>
      <c r="D318" s="4">
        <v>130</v>
      </c>
      <c r="E318" s="5" t="s">
        <v>6</v>
      </c>
      <c r="F318" s="9">
        <v>45021</v>
      </c>
      <c r="G318" s="4">
        <v>54</v>
      </c>
      <c r="H318" s="23">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Row],[Duration]]&lt;=30,"10 TO 30 MINS",
     CALLS[[#This Row],[Duration]]&lt;=120,"1 TO 2 HOURS",
     TRUE,"&gt; 2 HOURS")</f>
        <v>&gt; 2 HOURS</v>
      </c>
      <c r="L318">
        <f>ROUND(CALLS[[#This Row],[Satisfaction Rating]],0)</f>
        <v>4</v>
      </c>
      <c r="M318" cm="1">
        <f t="array" ref="M318">_xlfn.IFS(CALLS[[#This Row],[DURATION BACKET]]="UNDER 10 MINS",1,
     CALLS[[#This Row],[DURATION BACKET]]="10 TO 30 MINS",2,
     CALLS[[#This Row],[DURATION BACKET]]="1 TO 2 HOURS",3,
     CALLS[[#This Row],[DURATION BACKET]]="&gt; 2 HOURS",4)</f>
        <v>4</v>
      </c>
      <c r="N318">
        <f>(CALLS[[#This Row],[Purchase Amount]]/ 1)</f>
        <v>54</v>
      </c>
    </row>
    <row r="319" spans="2:14" x14ac:dyDescent="0.25">
      <c r="B319" s="22" t="s">
        <v>341</v>
      </c>
      <c r="C319" s="4" t="s">
        <v>14</v>
      </c>
      <c r="D319" s="4">
        <v>23</v>
      </c>
      <c r="E319" s="5" t="s">
        <v>11</v>
      </c>
      <c r="F319" s="9">
        <v>45021</v>
      </c>
      <c r="G319" s="4">
        <v>105</v>
      </c>
      <c r="H319" s="23">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Row],[Duration]]&lt;=30,"10 TO 30 MINS",
     CALLS[[#This Row],[Duration]]&lt;=120,"1 TO 2 HOURS",
     TRUE,"&gt; 2 HOURS")</f>
        <v>10 TO 30 MINS</v>
      </c>
      <c r="L319">
        <f>ROUND(CALLS[[#This Row],[Satisfaction Rating]],0)</f>
        <v>5</v>
      </c>
      <c r="M319" cm="1">
        <f t="array" ref="M319">_xlfn.IFS(CALLS[[#This Row],[DURATION BACKET]]="UNDER 10 MINS",1,
     CALLS[[#This Row],[DURATION BACKET]]="10 TO 30 MINS",2,
     CALLS[[#This Row],[DURATION BACKET]]="1 TO 2 HOURS",3,
     CALLS[[#This Row],[DURATION BACKET]]="&gt; 2 HOURS",4)</f>
        <v>2</v>
      </c>
      <c r="N319">
        <f>(CALLS[[#This Row],[Purchase Amount]]/ 1)</f>
        <v>105</v>
      </c>
    </row>
    <row r="320" spans="2:14" x14ac:dyDescent="0.25">
      <c r="B320" s="22" t="s">
        <v>342</v>
      </c>
      <c r="C320" s="4" t="s">
        <v>19</v>
      </c>
      <c r="D320" s="4">
        <v>124</v>
      </c>
      <c r="E320" s="5" t="s">
        <v>9</v>
      </c>
      <c r="F320" s="9">
        <v>45022</v>
      </c>
      <c r="G320" s="4">
        <v>176</v>
      </c>
      <c r="H320" s="23">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Row],[Duration]]&lt;=30,"10 TO 30 MINS",
     CALLS[[#This Row],[Duration]]&lt;=120,"1 TO 2 HOURS",
     TRUE,"&gt; 2 HOURS")</f>
        <v>&gt; 2 HOURS</v>
      </c>
      <c r="L320">
        <f>ROUND(CALLS[[#This Row],[Satisfaction Rating]],0)</f>
        <v>4</v>
      </c>
      <c r="M320" cm="1">
        <f t="array" ref="M320">_xlfn.IFS(CALLS[[#This Row],[DURATION BACKET]]="UNDER 10 MINS",1,
     CALLS[[#This Row],[DURATION BACKET]]="10 TO 30 MINS",2,
     CALLS[[#This Row],[DURATION BACKET]]="1 TO 2 HOURS",3,
     CALLS[[#This Row],[DURATION BACKET]]="&gt; 2 HOURS",4)</f>
        <v>4</v>
      </c>
      <c r="N320">
        <f>(CALLS[[#This Row],[Purchase Amount]]/ 1)</f>
        <v>176</v>
      </c>
    </row>
    <row r="321" spans="2:14" x14ac:dyDescent="0.25">
      <c r="B321" s="22" t="s">
        <v>343</v>
      </c>
      <c r="C321" s="4" t="s">
        <v>23</v>
      </c>
      <c r="D321" s="4">
        <v>107</v>
      </c>
      <c r="E321" s="5" t="s">
        <v>9</v>
      </c>
      <c r="F321" s="9">
        <v>45022</v>
      </c>
      <c r="G321" s="4">
        <v>115</v>
      </c>
      <c r="H321" s="23">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Row],[Duration]]&lt;=30,"10 TO 30 MINS",
     CALLS[[#This Row],[Duration]]&lt;=120,"1 TO 2 HOURS",
     TRUE,"&gt; 2 HOURS")</f>
        <v>1 TO 2 HOURS</v>
      </c>
      <c r="L321">
        <f>ROUND(CALLS[[#This Row],[Satisfaction Rating]],0)</f>
        <v>4</v>
      </c>
      <c r="M321" cm="1">
        <f t="array" ref="M321">_xlfn.IFS(CALLS[[#This Row],[DURATION BACKET]]="UNDER 10 MINS",1,
     CALLS[[#This Row],[DURATION BACKET]]="10 TO 30 MINS",2,
     CALLS[[#This Row],[DURATION BACKET]]="1 TO 2 HOURS",3,
     CALLS[[#This Row],[DURATION BACKET]]="&gt; 2 HOURS",4)</f>
        <v>3</v>
      </c>
      <c r="N321">
        <f>(CALLS[[#This Row],[Purchase Amount]]/ 1)</f>
        <v>115</v>
      </c>
    </row>
    <row r="322" spans="2:14" x14ac:dyDescent="0.25">
      <c r="B322" s="22" t="s">
        <v>344</v>
      </c>
      <c r="C322" s="4" t="s">
        <v>7</v>
      </c>
      <c r="D322" s="4">
        <v>60</v>
      </c>
      <c r="E322" s="5" t="s">
        <v>10</v>
      </c>
      <c r="F322" s="9">
        <v>45022</v>
      </c>
      <c r="G322" s="4">
        <v>116</v>
      </c>
      <c r="H322" s="23">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Row],[Duration]]&lt;=30,"10 TO 30 MINS",
     CALLS[[#This Row],[Duration]]&lt;=120,"1 TO 2 HOURS",
     TRUE,"&gt; 2 HOURS")</f>
        <v>1 TO 2 HOURS</v>
      </c>
      <c r="L322">
        <f>ROUND(CALLS[[#This Row],[Satisfaction Rating]],0)</f>
        <v>4</v>
      </c>
      <c r="M322" cm="1">
        <f t="array" ref="M322">_xlfn.IFS(CALLS[[#This Row],[DURATION BACKET]]="UNDER 10 MINS",1,
     CALLS[[#This Row],[DURATION BACKET]]="10 TO 30 MINS",2,
     CALLS[[#This Row],[DURATION BACKET]]="1 TO 2 HOURS",3,
     CALLS[[#This Row],[DURATION BACKET]]="&gt; 2 HOURS",4)</f>
        <v>3</v>
      </c>
      <c r="N322">
        <f>(CALLS[[#This Row],[Purchase Amount]]/ 1)</f>
        <v>116</v>
      </c>
    </row>
    <row r="323" spans="2:14" x14ac:dyDescent="0.25">
      <c r="B323" s="22" t="s">
        <v>345</v>
      </c>
      <c r="C323" s="4" t="s">
        <v>7</v>
      </c>
      <c r="D323" s="4">
        <v>158</v>
      </c>
      <c r="E323" s="5" t="s">
        <v>6</v>
      </c>
      <c r="F323" s="9">
        <v>45022</v>
      </c>
      <c r="G323" s="4">
        <v>100</v>
      </c>
      <c r="H323" s="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Row],[Duration]]&lt;=30,"10 TO 30 MINS",
     CALLS[[#This Row],[Duration]]&lt;=120,"1 TO 2 HOURS",
     TRUE,"&gt; 2 HOURS")</f>
        <v>&gt; 2 HOURS</v>
      </c>
      <c r="L323">
        <f>ROUND(CALLS[[#This Row],[Satisfaction Rating]],0)</f>
        <v>4</v>
      </c>
      <c r="M323" cm="1">
        <f t="array" ref="M323">_xlfn.IFS(CALLS[[#This Row],[DURATION BACKET]]="UNDER 10 MINS",1,
     CALLS[[#This Row],[DURATION BACKET]]="10 TO 30 MINS",2,
     CALLS[[#This Row],[DURATION BACKET]]="1 TO 2 HOURS",3,
     CALLS[[#This Row],[DURATION BACKET]]="&gt; 2 HOURS",4)</f>
        <v>4</v>
      </c>
      <c r="N323">
        <f>(CALLS[[#This Row],[Purchase Amount]]/ 1)</f>
        <v>100</v>
      </c>
    </row>
    <row r="324" spans="2:14" x14ac:dyDescent="0.25">
      <c r="B324" s="22" t="s">
        <v>346</v>
      </c>
      <c r="C324" s="4" t="s">
        <v>22</v>
      </c>
      <c r="D324" s="4">
        <v>110</v>
      </c>
      <c r="E324" s="5" t="s">
        <v>6</v>
      </c>
      <c r="F324" s="9">
        <v>45023</v>
      </c>
      <c r="G324" s="4">
        <v>36</v>
      </c>
      <c r="H324" s="23">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Row],[Duration]]&lt;=30,"10 TO 30 MINS",
     CALLS[[#This Row],[Duration]]&lt;=120,"1 TO 2 HOURS",
     TRUE,"&gt; 2 HOURS")</f>
        <v>1 TO 2 HOURS</v>
      </c>
      <c r="L324">
        <f>ROUND(CALLS[[#This Row],[Satisfaction Rating]],0)</f>
        <v>2</v>
      </c>
      <c r="M324" cm="1">
        <f t="array" ref="M324">_xlfn.IFS(CALLS[[#This Row],[DURATION BACKET]]="UNDER 10 MINS",1,
     CALLS[[#This Row],[DURATION BACKET]]="10 TO 30 MINS",2,
     CALLS[[#This Row],[DURATION BACKET]]="1 TO 2 HOURS",3,
     CALLS[[#This Row],[DURATION BACKET]]="&gt; 2 HOURS",4)</f>
        <v>3</v>
      </c>
      <c r="N324">
        <f>(CALLS[[#This Row],[Purchase Amount]]/ 1)</f>
        <v>36</v>
      </c>
    </row>
    <row r="325" spans="2:14" x14ac:dyDescent="0.25">
      <c r="B325" s="22" t="s">
        <v>347</v>
      </c>
      <c r="C325" s="4" t="s">
        <v>17</v>
      </c>
      <c r="D325" s="4">
        <v>70</v>
      </c>
      <c r="E325" s="5" t="s">
        <v>6</v>
      </c>
      <c r="F325" s="9">
        <v>45023</v>
      </c>
      <c r="G325" s="4">
        <v>114</v>
      </c>
      <c r="H325" s="23">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Row],[Duration]]&lt;=30,"10 TO 30 MINS",
     CALLS[[#This Row],[Duration]]&lt;=120,"1 TO 2 HOURS",
     TRUE,"&gt; 2 HOURS")</f>
        <v>1 TO 2 HOURS</v>
      </c>
      <c r="L325">
        <f>ROUND(CALLS[[#This Row],[Satisfaction Rating]],0)</f>
        <v>5</v>
      </c>
      <c r="M325" cm="1">
        <f t="array" ref="M325">_xlfn.IFS(CALLS[[#This Row],[DURATION BACKET]]="UNDER 10 MINS",1,
     CALLS[[#This Row],[DURATION BACKET]]="10 TO 30 MINS",2,
     CALLS[[#This Row],[DURATION BACKET]]="1 TO 2 HOURS",3,
     CALLS[[#This Row],[DURATION BACKET]]="&gt; 2 HOURS",4)</f>
        <v>3</v>
      </c>
      <c r="N325">
        <f>(CALLS[[#This Row],[Purchase Amount]]/ 1)</f>
        <v>114</v>
      </c>
    </row>
    <row r="326" spans="2:14" x14ac:dyDescent="0.25">
      <c r="B326" s="22" t="s">
        <v>348</v>
      </c>
      <c r="C326" s="4" t="s">
        <v>17</v>
      </c>
      <c r="D326" s="4">
        <v>150</v>
      </c>
      <c r="E326" s="5" t="s">
        <v>10</v>
      </c>
      <c r="F326" s="9">
        <v>45023</v>
      </c>
      <c r="G326" s="4">
        <v>24</v>
      </c>
      <c r="H326" s="23">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Row],[Duration]]&lt;=30,"10 TO 30 MINS",
     CALLS[[#This Row],[Duration]]&lt;=120,"1 TO 2 HOURS",
     TRUE,"&gt; 2 HOURS")</f>
        <v>&gt; 2 HOURS</v>
      </c>
      <c r="L326">
        <f>ROUND(CALLS[[#This Row],[Satisfaction Rating]],0)</f>
        <v>4</v>
      </c>
      <c r="M326" cm="1">
        <f t="array" ref="M326">_xlfn.IFS(CALLS[[#This Row],[DURATION BACKET]]="UNDER 10 MINS",1,
     CALLS[[#This Row],[DURATION BACKET]]="10 TO 30 MINS",2,
     CALLS[[#This Row],[DURATION BACKET]]="1 TO 2 HOURS",3,
     CALLS[[#This Row],[DURATION BACKET]]="&gt; 2 HOURS",4)</f>
        <v>4</v>
      </c>
      <c r="N326">
        <f>(CALLS[[#This Row],[Purchase Amount]]/ 1)</f>
        <v>24</v>
      </c>
    </row>
    <row r="327" spans="2:14" x14ac:dyDescent="0.25">
      <c r="B327" s="22" t="s">
        <v>349</v>
      </c>
      <c r="C327" s="4" t="s">
        <v>15</v>
      </c>
      <c r="D327" s="4">
        <v>36</v>
      </c>
      <c r="E327" s="5" t="s">
        <v>9</v>
      </c>
      <c r="F327" s="9">
        <v>45023</v>
      </c>
      <c r="G327" s="4">
        <v>135</v>
      </c>
      <c r="H327" s="23">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Row],[Duration]]&lt;=30,"10 TO 30 MINS",
     CALLS[[#This Row],[Duration]]&lt;=120,"1 TO 2 HOURS",
     TRUE,"&gt; 2 HOURS")</f>
        <v>1 TO 2 HOURS</v>
      </c>
      <c r="L327">
        <f>ROUND(CALLS[[#This Row],[Satisfaction Rating]],0)</f>
        <v>5</v>
      </c>
      <c r="M327" cm="1">
        <f t="array" ref="M327">_xlfn.IFS(CALLS[[#This Row],[DURATION BACKET]]="UNDER 10 MINS",1,
     CALLS[[#This Row],[DURATION BACKET]]="10 TO 30 MINS",2,
     CALLS[[#This Row],[DURATION BACKET]]="1 TO 2 HOURS",3,
     CALLS[[#This Row],[DURATION BACKET]]="&gt; 2 HOURS",4)</f>
        <v>3</v>
      </c>
      <c r="N327">
        <f>(CALLS[[#This Row],[Purchase Amount]]/ 1)</f>
        <v>135</v>
      </c>
    </row>
    <row r="328" spans="2:14" x14ac:dyDescent="0.25">
      <c r="B328" s="22" t="s">
        <v>350</v>
      </c>
      <c r="C328" s="4" t="s">
        <v>19</v>
      </c>
      <c r="D328" s="4">
        <v>74</v>
      </c>
      <c r="E328" s="5" t="s">
        <v>9</v>
      </c>
      <c r="F328" s="9">
        <v>45023</v>
      </c>
      <c r="G328" s="4">
        <v>30</v>
      </c>
      <c r="H328" s="23">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Row],[Duration]]&lt;=30,"10 TO 30 MINS",
     CALLS[[#This Row],[Duration]]&lt;=120,"1 TO 2 HOURS",
     TRUE,"&gt; 2 HOURS")</f>
        <v>1 TO 2 HOURS</v>
      </c>
      <c r="L328">
        <f>ROUND(CALLS[[#This Row],[Satisfaction Rating]],0)</f>
        <v>4</v>
      </c>
      <c r="M328" cm="1">
        <f t="array" ref="M328">_xlfn.IFS(CALLS[[#This Row],[DURATION BACKET]]="UNDER 10 MINS",1,
     CALLS[[#This Row],[DURATION BACKET]]="10 TO 30 MINS",2,
     CALLS[[#This Row],[DURATION BACKET]]="1 TO 2 HOURS",3,
     CALLS[[#This Row],[DURATION BACKET]]="&gt; 2 HOURS",4)</f>
        <v>3</v>
      </c>
      <c r="N328">
        <f>(CALLS[[#This Row],[Purchase Amount]]/ 1)</f>
        <v>30</v>
      </c>
    </row>
    <row r="329" spans="2:14" x14ac:dyDescent="0.25">
      <c r="B329" s="22" t="s">
        <v>351</v>
      </c>
      <c r="C329" s="4" t="s">
        <v>12</v>
      </c>
      <c r="D329" s="4">
        <v>75</v>
      </c>
      <c r="E329" s="5" t="s">
        <v>9</v>
      </c>
      <c r="F329" s="9">
        <v>45023</v>
      </c>
      <c r="G329" s="4">
        <v>84</v>
      </c>
      <c r="H329" s="23">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Row],[Duration]]&lt;=30,"10 TO 30 MINS",
     CALLS[[#This Row],[Duration]]&lt;=120,"1 TO 2 HOURS",
     TRUE,"&gt; 2 HOURS")</f>
        <v>1 TO 2 HOURS</v>
      </c>
      <c r="L329">
        <f>ROUND(CALLS[[#This Row],[Satisfaction Rating]],0)</f>
        <v>3</v>
      </c>
      <c r="M329" cm="1">
        <f t="array" ref="M329">_xlfn.IFS(CALLS[[#This Row],[DURATION BACKET]]="UNDER 10 MINS",1,
     CALLS[[#This Row],[DURATION BACKET]]="10 TO 30 MINS",2,
     CALLS[[#This Row],[DURATION BACKET]]="1 TO 2 HOURS",3,
     CALLS[[#This Row],[DURATION BACKET]]="&gt; 2 HOURS",4)</f>
        <v>3</v>
      </c>
      <c r="N329">
        <f>(CALLS[[#This Row],[Purchase Amount]]/ 1)</f>
        <v>84</v>
      </c>
    </row>
    <row r="330" spans="2:14" x14ac:dyDescent="0.25">
      <c r="B330" s="22" t="s">
        <v>352</v>
      </c>
      <c r="C330" s="4" t="s">
        <v>5</v>
      </c>
      <c r="D330" s="4">
        <v>70</v>
      </c>
      <c r="E330" s="5" t="s">
        <v>13</v>
      </c>
      <c r="F330" s="9">
        <v>45023</v>
      </c>
      <c r="G330" s="4">
        <v>42</v>
      </c>
      <c r="H330" s="23">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Row],[Duration]]&lt;=30,"10 TO 30 MINS",
     CALLS[[#This Row],[Duration]]&lt;=120,"1 TO 2 HOURS",
     TRUE,"&gt; 2 HOURS")</f>
        <v>1 TO 2 HOURS</v>
      </c>
      <c r="L330">
        <f>ROUND(CALLS[[#This Row],[Satisfaction Rating]],0)</f>
        <v>4</v>
      </c>
      <c r="M330" cm="1">
        <f t="array" ref="M330">_xlfn.IFS(CALLS[[#This Row],[DURATION BACKET]]="UNDER 10 MINS",1,
     CALLS[[#This Row],[DURATION BACKET]]="10 TO 30 MINS",2,
     CALLS[[#This Row],[DURATION BACKET]]="1 TO 2 HOURS",3,
     CALLS[[#This Row],[DURATION BACKET]]="&gt; 2 HOURS",4)</f>
        <v>3</v>
      </c>
      <c r="N330">
        <f>(CALLS[[#This Row],[Purchase Amount]]/ 1)</f>
        <v>42</v>
      </c>
    </row>
    <row r="331" spans="2:14" x14ac:dyDescent="0.25">
      <c r="B331" s="22" t="s">
        <v>353</v>
      </c>
      <c r="C331" s="4" t="s">
        <v>22</v>
      </c>
      <c r="D331" s="4">
        <v>23</v>
      </c>
      <c r="E331" s="5" t="s">
        <v>6</v>
      </c>
      <c r="F331" s="9">
        <v>45023</v>
      </c>
      <c r="G331" s="4">
        <v>117</v>
      </c>
      <c r="H331" s="23">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Row],[Duration]]&lt;=30,"10 TO 30 MINS",
     CALLS[[#This Row],[Duration]]&lt;=120,"1 TO 2 HOURS",
     TRUE,"&gt; 2 HOURS")</f>
        <v>10 TO 30 MINS</v>
      </c>
      <c r="L331">
        <f>ROUND(CALLS[[#This Row],[Satisfaction Rating]],0)</f>
        <v>2</v>
      </c>
      <c r="M331" cm="1">
        <f t="array" ref="M331">_xlfn.IFS(CALLS[[#This Row],[DURATION BACKET]]="UNDER 10 MINS",1,
     CALLS[[#This Row],[DURATION BACKET]]="10 TO 30 MINS",2,
     CALLS[[#This Row],[DURATION BACKET]]="1 TO 2 HOURS",3,
     CALLS[[#This Row],[DURATION BACKET]]="&gt; 2 HOURS",4)</f>
        <v>2</v>
      </c>
      <c r="N331">
        <f>(CALLS[[#This Row],[Purchase Amount]]/ 1)</f>
        <v>117</v>
      </c>
    </row>
    <row r="332" spans="2:14" x14ac:dyDescent="0.25">
      <c r="B332" s="22" t="s">
        <v>354</v>
      </c>
      <c r="C332" s="4" t="s">
        <v>18</v>
      </c>
      <c r="D332" s="4">
        <v>104</v>
      </c>
      <c r="E332" s="5" t="s">
        <v>11</v>
      </c>
      <c r="F332" s="9">
        <v>45023</v>
      </c>
      <c r="G332" s="4">
        <v>164</v>
      </c>
      <c r="H332" s="23">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Row],[Duration]]&lt;=30,"10 TO 30 MINS",
     CALLS[[#This Row],[Duration]]&lt;=120,"1 TO 2 HOURS",
     TRUE,"&gt; 2 HOURS")</f>
        <v>1 TO 2 HOURS</v>
      </c>
      <c r="L332">
        <f>ROUND(CALLS[[#This Row],[Satisfaction Rating]],0)</f>
        <v>4</v>
      </c>
      <c r="M332" cm="1">
        <f t="array" ref="M332">_xlfn.IFS(CALLS[[#This Row],[DURATION BACKET]]="UNDER 10 MINS",1,
     CALLS[[#This Row],[DURATION BACKET]]="10 TO 30 MINS",2,
     CALLS[[#This Row],[DURATION BACKET]]="1 TO 2 HOURS",3,
     CALLS[[#This Row],[DURATION BACKET]]="&gt; 2 HOURS",4)</f>
        <v>3</v>
      </c>
      <c r="N332">
        <f>(CALLS[[#This Row],[Purchase Amount]]/ 1)</f>
        <v>164</v>
      </c>
    </row>
    <row r="333" spans="2:14" x14ac:dyDescent="0.25">
      <c r="B333" s="22" t="s">
        <v>355</v>
      </c>
      <c r="C333" s="4" t="s">
        <v>17</v>
      </c>
      <c r="D333" s="4">
        <v>95</v>
      </c>
      <c r="E333" s="5" t="s">
        <v>13</v>
      </c>
      <c r="F333" s="9">
        <v>45024</v>
      </c>
      <c r="G333" s="4">
        <v>123</v>
      </c>
      <c r="H333" s="2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Row],[Duration]]&lt;=30,"10 TO 30 MINS",
     CALLS[[#This Row],[Duration]]&lt;=120,"1 TO 2 HOURS",
     TRUE,"&gt; 2 HOURS")</f>
        <v>1 TO 2 HOURS</v>
      </c>
      <c r="L333">
        <f>ROUND(CALLS[[#This Row],[Satisfaction Rating]],0)</f>
        <v>4</v>
      </c>
      <c r="M333" cm="1">
        <f t="array" ref="M333">_xlfn.IFS(CALLS[[#This Row],[DURATION BACKET]]="UNDER 10 MINS",1,
     CALLS[[#This Row],[DURATION BACKET]]="10 TO 30 MINS",2,
     CALLS[[#This Row],[DURATION BACKET]]="1 TO 2 HOURS",3,
     CALLS[[#This Row],[DURATION BACKET]]="&gt; 2 HOURS",4)</f>
        <v>3</v>
      </c>
      <c r="N333">
        <f>(CALLS[[#This Row],[Purchase Amount]]/ 1)</f>
        <v>123</v>
      </c>
    </row>
    <row r="334" spans="2:14" x14ac:dyDescent="0.25">
      <c r="B334" s="22" t="s">
        <v>356</v>
      </c>
      <c r="C334" s="4" t="s">
        <v>8</v>
      </c>
      <c r="D334" s="4">
        <v>49</v>
      </c>
      <c r="E334" s="5" t="s">
        <v>10</v>
      </c>
      <c r="F334" s="9">
        <v>45024</v>
      </c>
      <c r="G334" s="4">
        <v>172</v>
      </c>
      <c r="H334" s="23">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Row],[Duration]]&lt;=30,"10 TO 30 MINS",
     CALLS[[#This Row],[Duration]]&lt;=120,"1 TO 2 HOURS",
     TRUE,"&gt; 2 HOURS")</f>
        <v>1 TO 2 HOURS</v>
      </c>
      <c r="L334">
        <f>ROUND(CALLS[[#This Row],[Satisfaction Rating]],0)</f>
        <v>3</v>
      </c>
      <c r="M334" cm="1">
        <f t="array" ref="M334">_xlfn.IFS(CALLS[[#This Row],[DURATION BACKET]]="UNDER 10 MINS",1,
     CALLS[[#This Row],[DURATION BACKET]]="10 TO 30 MINS",2,
     CALLS[[#This Row],[DURATION BACKET]]="1 TO 2 HOURS",3,
     CALLS[[#This Row],[DURATION BACKET]]="&gt; 2 HOURS",4)</f>
        <v>3</v>
      </c>
      <c r="N334">
        <f>(CALLS[[#This Row],[Purchase Amount]]/ 1)</f>
        <v>172</v>
      </c>
    </row>
    <row r="335" spans="2:14" x14ac:dyDescent="0.25">
      <c r="B335" s="22" t="s">
        <v>357</v>
      </c>
      <c r="C335" s="4" t="s">
        <v>16</v>
      </c>
      <c r="D335" s="4">
        <v>8</v>
      </c>
      <c r="E335" s="5" t="s">
        <v>6</v>
      </c>
      <c r="F335" s="9">
        <v>45024</v>
      </c>
      <c r="G335" s="4">
        <v>20</v>
      </c>
      <c r="H335" s="23">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Row],[Duration]]&lt;=30,"10 TO 30 MINS",
     CALLS[[#This Row],[Duration]]&lt;=120,"1 TO 2 HOURS",
     TRUE,"&gt; 2 HOURS")</f>
        <v>UNDER 10 MINS</v>
      </c>
      <c r="L335">
        <f>ROUND(CALLS[[#This Row],[Satisfaction Rating]],0)</f>
        <v>5</v>
      </c>
      <c r="M335" cm="1">
        <f t="array" ref="M335">_xlfn.IFS(CALLS[[#This Row],[DURATION BACKET]]="UNDER 10 MINS",1,
     CALLS[[#This Row],[DURATION BACKET]]="10 TO 30 MINS",2,
     CALLS[[#This Row],[DURATION BACKET]]="1 TO 2 HOURS",3,
     CALLS[[#This Row],[DURATION BACKET]]="&gt; 2 HOURS",4)</f>
        <v>1</v>
      </c>
      <c r="N335">
        <f>(CALLS[[#This Row],[Purchase Amount]]/ 1)</f>
        <v>20</v>
      </c>
    </row>
    <row r="336" spans="2:14" x14ac:dyDescent="0.25">
      <c r="B336" s="22" t="s">
        <v>358</v>
      </c>
      <c r="C336" s="4" t="s">
        <v>17</v>
      </c>
      <c r="D336" s="4">
        <v>157</v>
      </c>
      <c r="E336" s="5" t="s">
        <v>10</v>
      </c>
      <c r="F336" s="9">
        <v>45024</v>
      </c>
      <c r="G336" s="4">
        <v>72</v>
      </c>
      <c r="H336" s="23">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Row],[Duration]]&lt;=30,"10 TO 30 MINS",
     CALLS[[#This Row],[Duration]]&lt;=120,"1 TO 2 HOURS",
     TRUE,"&gt; 2 HOURS")</f>
        <v>&gt; 2 HOURS</v>
      </c>
      <c r="L336">
        <f>ROUND(CALLS[[#This Row],[Satisfaction Rating]],0)</f>
        <v>4</v>
      </c>
      <c r="M336" cm="1">
        <f t="array" ref="M336">_xlfn.IFS(CALLS[[#This Row],[DURATION BACKET]]="UNDER 10 MINS",1,
     CALLS[[#This Row],[DURATION BACKET]]="10 TO 30 MINS",2,
     CALLS[[#This Row],[DURATION BACKET]]="1 TO 2 HOURS",3,
     CALLS[[#This Row],[DURATION BACKET]]="&gt; 2 HOURS",4)</f>
        <v>4</v>
      </c>
      <c r="N336">
        <f>(CALLS[[#This Row],[Purchase Amount]]/ 1)</f>
        <v>72</v>
      </c>
    </row>
    <row r="337" spans="2:14" x14ac:dyDescent="0.25">
      <c r="B337" s="22" t="s">
        <v>359</v>
      </c>
      <c r="C337" s="4" t="s">
        <v>23</v>
      </c>
      <c r="D337" s="4">
        <v>74</v>
      </c>
      <c r="E337" s="5" t="s">
        <v>9</v>
      </c>
      <c r="F337" s="9">
        <v>45024</v>
      </c>
      <c r="G337" s="4">
        <v>32</v>
      </c>
      <c r="H337" s="23">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Row],[Duration]]&lt;=30,"10 TO 30 MINS",
     CALLS[[#This Row],[Duration]]&lt;=120,"1 TO 2 HOURS",
     TRUE,"&gt; 2 HOURS")</f>
        <v>1 TO 2 HOURS</v>
      </c>
      <c r="L337">
        <f>ROUND(CALLS[[#This Row],[Satisfaction Rating]],0)</f>
        <v>5</v>
      </c>
      <c r="M337" cm="1">
        <f t="array" ref="M337">_xlfn.IFS(CALLS[[#This Row],[DURATION BACKET]]="UNDER 10 MINS",1,
     CALLS[[#This Row],[DURATION BACKET]]="10 TO 30 MINS",2,
     CALLS[[#This Row],[DURATION BACKET]]="1 TO 2 HOURS",3,
     CALLS[[#This Row],[DURATION BACKET]]="&gt; 2 HOURS",4)</f>
        <v>3</v>
      </c>
      <c r="N337">
        <f>(CALLS[[#This Row],[Purchase Amount]]/ 1)</f>
        <v>32</v>
      </c>
    </row>
    <row r="338" spans="2:14" x14ac:dyDescent="0.25">
      <c r="B338" s="22" t="s">
        <v>360</v>
      </c>
      <c r="C338" s="4" t="s">
        <v>22</v>
      </c>
      <c r="D338" s="4">
        <v>72</v>
      </c>
      <c r="E338" s="5" t="s">
        <v>13</v>
      </c>
      <c r="F338" s="9">
        <v>45024</v>
      </c>
      <c r="G338" s="4">
        <v>140</v>
      </c>
      <c r="H338" s="23">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Row],[Duration]]&lt;=30,"10 TO 30 MINS",
     CALLS[[#This Row],[Duration]]&lt;=120,"1 TO 2 HOURS",
     TRUE,"&gt; 2 HOURS")</f>
        <v>1 TO 2 HOURS</v>
      </c>
      <c r="L338">
        <f>ROUND(CALLS[[#This Row],[Satisfaction Rating]],0)</f>
        <v>3</v>
      </c>
      <c r="M338" cm="1">
        <f t="array" ref="M338">_xlfn.IFS(CALLS[[#This Row],[DURATION BACKET]]="UNDER 10 MINS",1,
     CALLS[[#This Row],[DURATION BACKET]]="10 TO 30 MINS",2,
     CALLS[[#This Row],[DURATION BACKET]]="1 TO 2 HOURS",3,
     CALLS[[#This Row],[DURATION BACKET]]="&gt; 2 HOURS",4)</f>
        <v>3</v>
      </c>
      <c r="N338">
        <f>(CALLS[[#This Row],[Purchase Amount]]/ 1)</f>
        <v>140</v>
      </c>
    </row>
    <row r="339" spans="2:14" x14ac:dyDescent="0.25">
      <c r="B339" s="22" t="s">
        <v>361</v>
      </c>
      <c r="C339" s="4" t="s">
        <v>23</v>
      </c>
      <c r="D339" s="4">
        <v>79</v>
      </c>
      <c r="E339" s="5" t="s">
        <v>9</v>
      </c>
      <c r="F339" s="9">
        <v>45025</v>
      </c>
      <c r="G339" s="4">
        <v>120</v>
      </c>
      <c r="H339" s="23">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Row],[Duration]]&lt;=30,"10 TO 30 MINS",
     CALLS[[#This Row],[Duration]]&lt;=120,"1 TO 2 HOURS",
     TRUE,"&gt; 2 HOURS")</f>
        <v>1 TO 2 HOURS</v>
      </c>
      <c r="L339">
        <f>ROUND(CALLS[[#This Row],[Satisfaction Rating]],0)</f>
        <v>5</v>
      </c>
      <c r="M339" cm="1">
        <f t="array" ref="M339">_xlfn.IFS(CALLS[[#This Row],[DURATION BACKET]]="UNDER 10 MINS",1,
     CALLS[[#This Row],[DURATION BACKET]]="10 TO 30 MINS",2,
     CALLS[[#This Row],[DURATION BACKET]]="1 TO 2 HOURS",3,
     CALLS[[#This Row],[DURATION BACKET]]="&gt; 2 HOURS",4)</f>
        <v>3</v>
      </c>
      <c r="N339">
        <f>(CALLS[[#This Row],[Purchase Amount]]/ 1)</f>
        <v>120</v>
      </c>
    </row>
    <row r="340" spans="2:14" x14ac:dyDescent="0.25">
      <c r="B340" s="22" t="s">
        <v>362</v>
      </c>
      <c r="C340" s="4" t="s">
        <v>19</v>
      </c>
      <c r="D340" s="4">
        <v>23</v>
      </c>
      <c r="E340" s="5" t="s">
        <v>9</v>
      </c>
      <c r="F340" s="9">
        <v>45025</v>
      </c>
      <c r="G340" s="4">
        <v>86</v>
      </c>
      <c r="H340" s="23">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Row],[Duration]]&lt;=30,"10 TO 30 MINS",
     CALLS[[#This Row],[Duration]]&lt;=120,"1 TO 2 HOURS",
     TRUE,"&gt; 2 HOURS")</f>
        <v>10 TO 30 MINS</v>
      </c>
      <c r="L340">
        <f>ROUND(CALLS[[#This Row],[Satisfaction Rating]],0)</f>
        <v>2</v>
      </c>
      <c r="M340" cm="1">
        <f t="array" ref="M340">_xlfn.IFS(CALLS[[#This Row],[DURATION BACKET]]="UNDER 10 MINS",1,
     CALLS[[#This Row],[DURATION BACKET]]="10 TO 30 MINS",2,
     CALLS[[#This Row],[DURATION BACKET]]="1 TO 2 HOURS",3,
     CALLS[[#This Row],[DURATION BACKET]]="&gt; 2 HOURS",4)</f>
        <v>2</v>
      </c>
      <c r="N340">
        <f>(CALLS[[#This Row],[Purchase Amount]]/ 1)</f>
        <v>86</v>
      </c>
    </row>
    <row r="341" spans="2:14" x14ac:dyDescent="0.25">
      <c r="B341" s="22" t="s">
        <v>363</v>
      </c>
      <c r="C341" s="4" t="s">
        <v>12</v>
      </c>
      <c r="D341" s="4">
        <v>69</v>
      </c>
      <c r="E341" s="5" t="s">
        <v>9</v>
      </c>
      <c r="F341" s="9">
        <v>45025</v>
      </c>
      <c r="G341" s="4">
        <v>132</v>
      </c>
      <c r="H341" s="23">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Row],[Duration]]&lt;=30,"10 TO 30 MINS",
     CALLS[[#This Row],[Duration]]&lt;=120,"1 TO 2 HOURS",
     TRUE,"&gt; 2 HOURS")</f>
        <v>1 TO 2 HOURS</v>
      </c>
      <c r="L341">
        <f>ROUND(CALLS[[#This Row],[Satisfaction Rating]],0)</f>
        <v>5</v>
      </c>
      <c r="M341" cm="1">
        <f t="array" ref="M341">_xlfn.IFS(CALLS[[#This Row],[DURATION BACKET]]="UNDER 10 MINS",1,
     CALLS[[#This Row],[DURATION BACKET]]="10 TO 30 MINS",2,
     CALLS[[#This Row],[DURATION BACKET]]="1 TO 2 HOURS",3,
     CALLS[[#This Row],[DURATION BACKET]]="&gt; 2 HOURS",4)</f>
        <v>3</v>
      </c>
      <c r="N341">
        <f>(CALLS[[#This Row],[Purchase Amount]]/ 1)</f>
        <v>132</v>
      </c>
    </row>
    <row r="342" spans="2:14" x14ac:dyDescent="0.25">
      <c r="B342" s="22" t="s">
        <v>364</v>
      </c>
      <c r="C342" s="4" t="s">
        <v>7</v>
      </c>
      <c r="D342" s="4">
        <v>64</v>
      </c>
      <c r="E342" s="5" t="s">
        <v>9</v>
      </c>
      <c r="F342" s="9">
        <v>45025</v>
      </c>
      <c r="G342" s="4">
        <v>80</v>
      </c>
      <c r="H342" s="23">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Row],[Duration]]&lt;=30,"10 TO 30 MINS",
     CALLS[[#This Row],[Duration]]&lt;=120,"1 TO 2 HOURS",
     TRUE,"&gt; 2 HOURS")</f>
        <v>1 TO 2 HOURS</v>
      </c>
      <c r="L342">
        <f>ROUND(CALLS[[#This Row],[Satisfaction Rating]],0)</f>
        <v>3</v>
      </c>
      <c r="M342" cm="1">
        <f t="array" ref="M342">_xlfn.IFS(CALLS[[#This Row],[DURATION BACKET]]="UNDER 10 MINS",1,
     CALLS[[#This Row],[DURATION BACKET]]="10 TO 30 MINS",2,
     CALLS[[#This Row],[DURATION BACKET]]="1 TO 2 HOURS",3,
     CALLS[[#This Row],[DURATION BACKET]]="&gt; 2 HOURS",4)</f>
        <v>3</v>
      </c>
      <c r="N342">
        <f>(CALLS[[#This Row],[Purchase Amount]]/ 1)</f>
        <v>80</v>
      </c>
    </row>
    <row r="343" spans="2:14" x14ac:dyDescent="0.25">
      <c r="B343" s="22" t="s">
        <v>365</v>
      </c>
      <c r="C343" s="4" t="s">
        <v>24</v>
      </c>
      <c r="D343" s="4">
        <v>47</v>
      </c>
      <c r="E343" s="5" t="s">
        <v>10</v>
      </c>
      <c r="F343" s="9">
        <v>45025</v>
      </c>
      <c r="G343" s="4">
        <v>132</v>
      </c>
      <c r="H343" s="2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Row],[Duration]]&lt;=30,"10 TO 30 MINS",
     CALLS[[#This Row],[Duration]]&lt;=120,"1 TO 2 HOURS",
     TRUE,"&gt; 2 HOURS")</f>
        <v>1 TO 2 HOURS</v>
      </c>
      <c r="L343">
        <f>ROUND(CALLS[[#This Row],[Satisfaction Rating]],0)</f>
        <v>4</v>
      </c>
      <c r="M343" cm="1">
        <f t="array" ref="M343">_xlfn.IFS(CALLS[[#This Row],[DURATION BACKET]]="UNDER 10 MINS",1,
     CALLS[[#This Row],[DURATION BACKET]]="10 TO 30 MINS",2,
     CALLS[[#This Row],[DURATION BACKET]]="1 TO 2 HOURS",3,
     CALLS[[#This Row],[DURATION BACKET]]="&gt; 2 HOURS",4)</f>
        <v>3</v>
      </c>
      <c r="N343">
        <f>(CALLS[[#This Row],[Purchase Amount]]/ 1)</f>
        <v>132</v>
      </c>
    </row>
    <row r="344" spans="2:14" x14ac:dyDescent="0.25">
      <c r="B344" s="22" t="s">
        <v>366</v>
      </c>
      <c r="C344" s="4" t="s">
        <v>23</v>
      </c>
      <c r="D344" s="4">
        <v>55</v>
      </c>
      <c r="E344" s="5" t="s">
        <v>13</v>
      </c>
      <c r="F344" s="9">
        <v>45025</v>
      </c>
      <c r="G344" s="4">
        <v>27</v>
      </c>
      <c r="H344" s="23">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Row],[Duration]]&lt;=30,"10 TO 30 MINS",
     CALLS[[#This Row],[Duration]]&lt;=120,"1 TO 2 HOURS",
     TRUE,"&gt; 2 HOURS")</f>
        <v>1 TO 2 HOURS</v>
      </c>
      <c r="L344">
        <f>ROUND(CALLS[[#This Row],[Satisfaction Rating]],0)</f>
        <v>4</v>
      </c>
      <c r="M344" cm="1">
        <f t="array" ref="M344">_xlfn.IFS(CALLS[[#This Row],[DURATION BACKET]]="UNDER 10 MINS",1,
     CALLS[[#This Row],[DURATION BACKET]]="10 TO 30 MINS",2,
     CALLS[[#This Row],[DURATION BACKET]]="1 TO 2 HOURS",3,
     CALLS[[#This Row],[DURATION BACKET]]="&gt; 2 HOURS",4)</f>
        <v>3</v>
      </c>
      <c r="N344">
        <f>(CALLS[[#This Row],[Purchase Amount]]/ 1)</f>
        <v>27</v>
      </c>
    </row>
    <row r="345" spans="2:14" x14ac:dyDescent="0.25">
      <c r="B345" s="22" t="s">
        <v>367</v>
      </c>
      <c r="C345" s="4" t="s">
        <v>18</v>
      </c>
      <c r="D345" s="4">
        <v>104</v>
      </c>
      <c r="E345" s="5" t="s">
        <v>13</v>
      </c>
      <c r="F345" s="9">
        <v>45026</v>
      </c>
      <c r="G345" s="4">
        <v>68</v>
      </c>
      <c r="H345" s="23">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Row],[Duration]]&lt;=30,"10 TO 30 MINS",
     CALLS[[#This Row],[Duration]]&lt;=120,"1 TO 2 HOURS",
     TRUE,"&gt; 2 HOURS")</f>
        <v>1 TO 2 HOURS</v>
      </c>
      <c r="L345">
        <f>ROUND(CALLS[[#This Row],[Satisfaction Rating]],0)</f>
        <v>4</v>
      </c>
      <c r="M345" cm="1">
        <f t="array" ref="M345">_xlfn.IFS(CALLS[[#This Row],[DURATION BACKET]]="UNDER 10 MINS",1,
     CALLS[[#This Row],[DURATION BACKET]]="10 TO 30 MINS",2,
     CALLS[[#This Row],[DURATION BACKET]]="1 TO 2 HOURS",3,
     CALLS[[#This Row],[DURATION BACKET]]="&gt; 2 HOURS",4)</f>
        <v>3</v>
      </c>
      <c r="N345">
        <f>(CALLS[[#This Row],[Purchase Amount]]/ 1)</f>
        <v>68</v>
      </c>
    </row>
    <row r="346" spans="2:14" x14ac:dyDescent="0.25">
      <c r="B346" s="22" t="s">
        <v>368</v>
      </c>
      <c r="C346" s="4" t="s">
        <v>24</v>
      </c>
      <c r="D346" s="4">
        <v>116</v>
      </c>
      <c r="E346" s="5" t="s">
        <v>9</v>
      </c>
      <c r="F346" s="9">
        <v>45026</v>
      </c>
      <c r="G346" s="4">
        <v>22</v>
      </c>
      <c r="H346" s="23">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Row],[Duration]]&lt;=30,"10 TO 30 MINS",
     CALLS[[#This Row],[Duration]]&lt;=120,"1 TO 2 HOURS",
     TRUE,"&gt; 2 HOURS")</f>
        <v>1 TO 2 HOURS</v>
      </c>
      <c r="L346">
        <f>ROUND(CALLS[[#This Row],[Satisfaction Rating]],0)</f>
        <v>5</v>
      </c>
      <c r="M346" cm="1">
        <f t="array" ref="M346">_xlfn.IFS(CALLS[[#This Row],[DURATION BACKET]]="UNDER 10 MINS",1,
     CALLS[[#This Row],[DURATION BACKET]]="10 TO 30 MINS",2,
     CALLS[[#This Row],[DURATION BACKET]]="1 TO 2 HOURS",3,
     CALLS[[#This Row],[DURATION BACKET]]="&gt; 2 HOURS",4)</f>
        <v>3</v>
      </c>
      <c r="N346">
        <f>(CALLS[[#This Row],[Purchase Amount]]/ 1)</f>
        <v>22</v>
      </c>
    </row>
    <row r="347" spans="2:14" x14ac:dyDescent="0.25">
      <c r="B347" s="22" t="s">
        <v>369</v>
      </c>
      <c r="C347" s="4" t="s">
        <v>19</v>
      </c>
      <c r="D347" s="4">
        <v>99</v>
      </c>
      <c r="E347" s="5" t="s">
        <v>13</v>
      </c>
      <c r="F347" s="9">
        <v>45026</v>
      </c>
      <c r="G347" s="4">
        <v>42</v>
      </c>
      <c r="H347" s="23">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Row],[Duration]]&lt;=30,"10 TO 30 MINS",
     CALLS[[#This Row],[Duration]]&lt;=120,"1 TO 2 HOURS",
     TRUE,"&gt; 2 HOURS")</f>
        <v>1 TO 2 HOURS</v>
      </c>
      <c r="L347">
        <f>ROUND(CALLS[[#This Row],[Satisfaction Rating]],0)</f>
        <v>3</v>
      </c>
      <c r="M347" cm="1">
        <f t="array" ref="M347">_xlfn.IFS(CALLS[[#This Row],[DURATION BACKET]]="UNDER 10 MINS",1,
     CALLS[[#This Row],[DURATION BACKET]]="10 TO 30 MINS",2,
     CALLS[[#This Row],[DURATION BACKET]]="1 TO 2 HOURS",3,
     CALLS[[#This Row],[DURATION BACKET]]="&gt; 2 HOURS",4)</f>
        <v>3</v>
      </c>
      <c r="N347">
        <f>(CALLS[[#This Row],[Purchase Amount]]/ 1)</f>
        <v>42</v>
      </c>
    </row>
    <row r="348" spans="2:14" x14ac:dyDescent="0.25">
      <c r="B348" s="22" t="s">
        <v>370</v>
      </c>
      <c r="C348" s="4" t="s">
        <v>18</v>
      </c>
      <c r="D348" s="4">
        <v>84</v>
      </c>
      <c r="E348" s="5" t="s">
        <v>13</v>
      </c>
      <c r="F348" s="9">
        <v>45027</v>
      </c>
      <c r="G348" s="4">
        <v>38</v>
      </c>
      <c r="H348" s="23">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Row],[Duration]]&lt;=30,"10 TO 30 MINS",
     CALLS[[#This Row],[Duration]]&lt;=120,"1 TO 2 HOURS",
     TRUE,"&gt; 2 HOURS")</f>
        <v>1 TO 2 HOURS</v>
      </c>
      <c r="L348">
        <f>ROUND(CALLS[[#This Row],[Satisfaction Rating]],0)</f>
        <v>3</v>
      </c>
      <c r="M348" cm="1">
        <f t="array" ref="M348">_xlfn.IFS(CALLS[[#This Row],[DURATION BACKET]]="UNDER 10 MINS",1,
     CALLS[[#This Row],[DURATION BACKET]]="10 TO 30 MINS",2,
     CALLS[[#This Row],[DURATION BACKET]]="1 TO 2 HOURS",3,
     CALLS[[#This Row],[DURATION BACKET]]="&gt; 2 HOURS",4)</f>
        <v>3</v>
      </c>
      <c r="N348">
        <f>(CALLS[[#This Row],[Purchase Amount]]/ 1)</f>
        <v>38</v>
      </c>
    </row>
    <row r="349" spans="2:14" x14ac:dyDescent="0.25">
      <c r="B349" s="22" t="s">
        <v>371</v>
      </c>
      <c r="C349" s="4" t="s">
        <v>16</v>
      </c>
      <c r="D349" s="4">
        <v>159</v>
      </c>
      <c r="E349" s="5" t="s">
        <v>13</v>
      </c>
      <c r="F349" s="9">
        <v>45027</v>
      </c>
      <c r="G349" s="4">
        <v>42</v>
      </c>
      <c r="H349" s="23">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Row],[Duration]]&lt;=30,"10 TO 30 MINS",
     CALLS[[#This Row],[Duration]]&lt;=120,"1 TO 2 HOURS",
     TRUE,"&gt; 2 HOURS")</f>
        <v>&gt; 2 HOURS</v>
      </c>
      <c r="L349">
        <f>ROUND(CALLS[[#This Row],[Satisfaction Rating]],0)</f>
        <v>5</v>
      </c>
      <c r="M349" cm="1">
        <f t="array" ref="M349">_xlfn.IFS(CALLS[[#This Row],[DURATION BACKET]]="UNDER 10 MINS",1,
     CALLS[[#This Row],[DURATION BACKET]]="10 TO 30 MINS",2,
     CALLS[[#This Row],[DURATION BACKET]]="1 TO 2 HOURS",3,
     CALLS[[#This Row],[DURATION BACKET]]="&gt; 2 HOURS",4)</f>
        <v>4</v>
      </c>
      <c r="N349">
        <f>(CALLS[[#This Row],[Purchase Amount]]/ 1)</f>
        <v>42</v>
      </c>
    </row>
    <row r="350" spans="2:14" x14ac:dyDescent="0.25">
      <c r="B350" s="22" t="s">
        <v>372</v>
      </c>
      <c r="C350" s="4" t="s">
        <v>15</v>
      </c>
      <c r="D350" s="4">
        <v>25</v>
      </c>
      <c r="E350" s="5" t="s">
        <v>10</v>
      </c>
      <c r="F350" s="9">
        <v>45027</v>
      </c>
      <c r="G350" s="4">
        <v>75</v>
      </c>
      <c r="H350" s="23">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Row],[Duration]]&lt;=30,"10 TO 30 MINS",
     CALLS[[#This Row],[Duration]]&lt;=120,"1 TO 2 HOURS",
     TRUE,"&gt; 2 HOURS")</f>
        <v>10 TO 30 MINS</v>
      </c>
      <c r="L350">
        <f>ROUND(CALLS[[#This Row],[Satisfaction Rating]],0)</f>
        <v>4</v>
      </c>
      <c r="M350" cm="1">
        <f t="array" ref="M350">_xlfn.IFS(CALLS[[#This Row],[DURATION BACKET]]="UNDER 10 MINS",1,
     CALLS[[#This Row],[DURATION BACKET]]="10 TO 30 MINS",2,
     CALLS[[#This Row],[DURATION BACKET]]="1 TO 2 HOURS",3,
     CALLS[[#This Row],[DURATION BACKET]]="&gt; 2 HOURS",4)</f>
        <v>2</v>
      </c>
      <c r="N350">
        <f>(CALLS[[#This Row],[Purchase Amount]]/ 1)</f>
        <v>75</v>
      </c>
    </row>
    <row r="351" spans="2:14" x14ac:dyDescent="0.25">
      <c r="B351" s="22" t="s">
        <v>373</v>
      </c>
      <c r="C351" s="4" t="s">
        <v>16</v>
      </c>
      <c r="D351" s="4">
        <v>53</v>
      </c>
      <c r="E351" s="5" t="s">
        <v>6</v>
      </c>
      <c r="F351" s="9">
        <v>45028</v>
      </c>
      <c r="G351" s="4">
        <v>23</v>
      </c>
      <c r="H351" s="23">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Row],[Duration]]&lt;=30,"10 TO 30 MINS",
     CALLS[[#This Row],[Duration]]&lt;=120,"1 TO 2 HOURS",
     TRUE,"&gt; 2 HOURS")</f>
        <v>1 TO 2 HOURS</v>
      </c>
      <c r="L351">
        <f>ROUND(CALLS[[#This Row],[Satisfaction Rating]],0)</f>
        <v>5</v>
      </c>
      <c r="M351" cm="1">
        <f t="array" ref="M351">_xlfn.IFS(CALLS[[#This Row],[DURATION BACKET]]="UNDER 10 MINS",1,
     CALLS[[#This Row],[DURATION BACKET]]="10 TO 30 MINS",2,
     CALLS[[#This Row],[DURATION BACKET]]="1 TO 2 HOURS",3,
     CALLS[[#This Row],[DURATION BACKET]]="&gt; 2 HOURS",4)</f>
        <v>3</v>
      </c>
      <c r="N351">
        <f>(CALLS[[#This Row],[Purchase Amount]]/ 1)</f>
        <v>23</v>
      </c>
    </row>
    <row r="352" spans="2:14" x14ac:dyDescent="0.25">
      <c r="B352" s="22" t="s">
        <v>374</v>
      </c>
      <c r="C352" s="4" t="s">
        <v>16</v>
      </c>
      <c r="D352" s="4">
        <v>89</v>
      </c>
      <c r="E352" s="5" t="s">
        <v>10</v>
      </c>
      <c r="F352" s="9">
        <v>45028</v>
      </c>
      <c r="G352" s="4">
        <v>200</v>
      </c>
      <c r="H352" s="23">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Row],[Duration]]&lt;=30,"10 TO 30 MINS",
     CALLS[[#This Row],[Duration]]&lt;=120,"1 TO 2 HOURS",
     TRUE,"&gt; 2 HOURS")</f>
        <v>1 TO 2 HOURS</v>
      </c>
      <c r="L352">
        <f>ROUND(CALLS[[#This Row],[Satisfaction Rating]],0)</f>
        <v>5</v>
      </c>
      <c r="M352" cm="1">
        <f t="array" ref="M352">_xlfn.IFS(CALLS[[#This Row],[DURATION BACKET]]="UNDER 10 MINS",1,
     CALLS[[#This Row],[DURATION BACKET]]="10 TO 30 MINS",2,
     CALLS[[#This Row],[DURATION BACKET]]="1 TO 2 HOURS",3,
     CALLS[[#This Row],[DURATION BACKET]]="&gt; 2 HOURS",4)</f>
        <v>3</v>
      </c>
      <c r="N352">
        <f>(CALLS[[#This Row],[Purchase Amount]]/ 1)</f>
        <v>200</v>
      </c>
    </row>
    <row r="353" spans="2:14" x14ac:dyDescent="0.25">
      <c r="B353" s="22" t="s">
        <v>375</v>
      </c>
      <c r="C353" s="4" t="s">
        <v>21</v>
      </c>
      <c r="D353" s="4">
        <v>73</v>
      </c>
      <c r="E353" s="5" t="s">
        <v>9</v>
      </c>
      <c r="F353" s="9">
        <v>45029</v>
      </c>
      <c r="G353" s="4">
        <v>45</v>
      </c>
      <c r="H353" s="2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Row],[Duration]]&lt;=30,"10 TO 30 MINS",
     CALLS[[#This Row],[Duration]]&lt;=120,"1 TO 2 HOURS",
     TRUE,"&gt; 2 HOURS")</f>
        <v>1 TO 2 HOURS</v>
      </c>
      <c r="L353">
        <f>ROUND(CALLS[[#This Row],[Satisfaction Rating]],0)</f>
        <v>4</v>
      </c>
      <c r="M353" cm="1">
        <f t="array" ref="M353">_xlfn.IFS(CALLS[[#This Row],[DURATION BACKET]]="UNDER 10 MINS",1,
     CALLS[[#This Row],[DURATION BACKET]]="10 TO 30 MINS",2,
     CALLS[[#This Row],[DURATION BACKET]]="1 TO 2 HOURS",3,
     CALLS[[#This Row],[DURATION BACKET]]="&gt; 2 HOURS",4)</f>
        <v>3</v>
      </c>
      <c r="N353">
        <f>(CALLS[[#This Row],[Purchase Amount]]/ 1)</f>
        <v>45</v>
      </c>
    </row>
    <row r="354" spans="2:14" x14ac:dyDescent="0.25">
      <c r="B354" s="22" t="s">
        <v>376</v>
      </c>
      <c r="C354" s="4" t="s">
        <v>19</v>
      </c>
      <c r="D354" s="4">
        <v>50</v>
      </c>
      <c r="E354" s="5" t="s">
        <v>9</v>
      </c>
      <c r="F354" s="9">
        <v>45029</v>
      </c>
      <c r="G354" s="4">
        <v>105</v>
      </c>
      <c r="H354" s="23">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Row],[Duration]]&lt;=30,"10 TO 30 MINS",
     CALLS[[#This Row],[Duration]]&lt;=120,"1 TO 2 HOURS",
     TRUE,"&gt; 2 HOURS")</f>
        <v>1 TO 2 HOURS</v>
      </c>
      <c r="L354">
        <f>ROUND(CALLS[[#This Row],[Satisfaction Rating]],0)</f>
        <v>4</v>
      </c>
      <c r="M354" cm="1">
        <f t="array" ref="M354">_xlfn.IFS(CALLS[[#This Row],[DURATION BACKET]]="UNDER 10 MINS",1,
     CALLS[[#This Row],[DURATION BACKET]]="10 TO 30 MINS",2,
     CALLS[[#This Row],[DURATION BACKET]]="1 TO 2 HOURS",3,
     CALLS[[#This Row],[DURATION BACKET]]="&gt; 2 HOURS",4)</f>
        <v>3</v>
      </c>
      <c r="N354">
        <f>(CALLS[[#This Row],[Purchase Amount]]/ 1)</f>
        <v>105</v>
      </c>
    </row>
    <row r="355" spans="2:14" x14ac:dyDescent="0.25">
      <c r="B355" s="22" t="s">
        <v>377</v>
      </c>
      <c r="C355" s="4" t="s">
        <v>8</v>
      </c>
      <c r="D355" s="4">
        <v>98</v>
      </c>
      <c r="E355" s="5" t="s">
        <v>9</v>
      </c>
      <c r="F355" s="9">
        <v>45029</v>
      </c>
      <c r="G355" s="4">
        <v>22</v>
      </c>
      <c r="H355" s="23">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Row],[Duration]]&lt;=30,"10 TO 30 MINS",
     CALLS[[#This Row],[Duration]]&lt;=120,"1 TO 2 HOURS",
     TRUE,"&gt; 2 HOURS")</f>
        <v>1 TO 2 HOURS</v>
      </c>
      <c r="L355">
        <f>ROUND(CALLS[[#This Row],[Satisfaction Rating]],0)</f>
        <v>4</v>
      </c>
      <c r="M355" cm="1">
        <f t="array" ref="M355">_xlfn.IFS(CALLS[[#This Row],[DURATION BACKET]]="UNDER 10 MINS",1,
     CALLS[[#This Row],[DURATION BACKET]]="10 TO 30 MINS",2,
     CALLS[[#This Row],[DURATION BACKET]]="1 TO 2 HOURS",3,
     CALLS[[#This Row],[DURATION BACKET]]="&gt; 2 HOURS",4)</f>
        <v>3</v>
      </c>
      <c r="N355">
        <f>(CALLS[[#This Row],[Purchase Amount]]/ 1)</f>
        <v>22</v>
      </c>
    </row>
    <row r="356" spans="2:14" x14ac:dyDescent="0.25">
      <c r="B356" s="22" t="s">
        <v>378</v>
      </c>
      <c r="C356" s="4" t="s">
        <v>14</v>
      </c>
      <c r="D356" s="4">
        <v>114</v>
      </c>
      <c r="E356" s="5" t="s">
        <v>13</v>
      </c>
      <c r="F356" s="9">
        <v>45030</v>
      </c>
      <c r="G356" s="4">
        <v>126</v>
      </c>
      <c r="H356" s="23">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Row],[Duration]]&lt;=30,"10 TO 30 MINS",
     CALLS[[#This Row],[Duration]]&lt;=120,"1 TO 2 HOURS",
     TRUE,"&gt; 2 HOURS")</f>
        <v>1 TO 2 HOURS</v>
      </c>
      <c r="L356">
        <f>ROUND(CALLS[[#This Row],[Satisfaction Rating]],0)</f>
        <v>4</v>
      </c>
      <c r="M356" cm="1">
        <f t="array" ref="M356">_xlfn.IFS(CALLS[[#This Row],[DURATION BACKET]]="UNDER 10 MINS",1,
     CALLS[[#This Row],[DURATION BACKET]]="10 TO 30 MINS",2,
     CALLS[[#This Row],[DURATION BACKET]]="1 TO 2 HOURS",3,
     CALLS[[#This Row],[DURATION BACKET]]="&gt; 2 HOURS",4)</f>
        <v>3</v>
      </c>
      <c r="N356">
        <f>(CALLS[[#This Row],[Purchase Amount]]/ 1)</f>
        <v>126</v>
      </c>
    </row>
    <row r="357" spans="2:14" x14ac:dyDescent="0.25">
      <c r="B357" s="22" t="s">
        <v>379</v>
      </c>
      <c r="C357" s="4" t="s">
        <v>7</v>
      </c>
      <c r="D357" s="4">
        <v>67</v>
      </c>
      <c r="E357" s="5" t="s">
        <v>13</v>
      </c>
      <c r="F357" s="9">
        <v>45030</v>
      </c>
      <c r="G357" s="4">
        <v>35</v>
      </c>
      <c r="H357" s="23">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Row],[Duration]]&lt;=30,"10 TO 30 MINS",
     CALLS[[#This Row],[Duration]]&lt;=120,"1 TO 2 HOURS",
     TRUE,"&gt; 2 HOURS")</f>
        <v>1 TO 2 HOURS</v>
      </c>
      <c r="L357">
        <f>ROUND(CALLS[[#This Row],[Satisfaction Rating]],0)</f>
        <v>3</v>
      </c>
      <c r="M357" cm="1">
        <f t="array" ref="M357">_xlfn.IFS(CALLS[[#This Row],[DURATION BACKET]]="UNDER 10 MINS",1,
     CALLS[[#This Row],[DURATION BACKET]]="10 TO 30 MINS",2,
     CALLS[[#This Row],[DURATION BACKET]]="1 TO 2 HOURS",3,
     CALLS[[#This Row],[DURATION BACKET]]="&gt; 2 HOURS",4)</f>
        <v>3</v>
      </c>
      <c r="N357">
        <f>(CALLS[[#This Row],[Purchase Amount]]/ 1)</f>
        <v>35</v>
      </c>
    </row>
    <row r="358" spans="2:14" x14ac:dyDescent="0.25">
      <c r="B358" s="22" t="s">
        <v>380</v>
      </c>
      <c r="C358" s="4" t="s">
        <v>23</v>
      </c>
      <c r="D358" s="4">
        <v>91</v>
      </c>
      <c r="E358" s="5" t="s">
        <v>9</v>
      </c>
      <c r="F358" s="9">
        <v>45030</v>
      </c>
      <c r="G358" s="4">
        <v>84</v>
      </c>
      <c r="H358" s="23">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Row],[Duration]]&lt;=30,"10 TO 30 MINS",
     CALLS[[#This Row],[Duration]]&lt;=120,"1 TO 2 HOURS",
     TRUE,"&gt; 2 HOURS")</f>
        <v>1 TO 2 HOURS</v>
      </c>
      <c r="L358">
        <f>ROUND(CALLS[[#This Row],[Satisfaction Rating]],0)</f>
        <v>5</v>
      </c>
      <c r="M358" cm="1">
        <f t="array" ref="M358">_xlfn.IFS(CALLS[[#This Row],[DURATION BACKET]]="UNDER 10 MINS",1,
     CALLS[[#This Row],[DURATION BACKET]]="10 TO 30 MINS",2,
     CALLS[[#This Row],[DURATION BACKET]]="1 TO 2 HOURS",3,
     CALLS[[#This Row],[DURATION BACKET]]="&gt; 2 HOURS",4)</f>
        <v>3</v>
      </c>
      <c r="N358">
        <f>(CALLS[[#This Row],[Purchase Amount]]/ 1)</f>
        <v>84</v>
      </c>
    </row>
    <row r="359" spans="2:14" x14ac:dyDescent="0.25">
      <c r="B359" s="22" t="s">
        <v>381</v>
      </c>
      <c r="C359" s="4" t="s">
        <v>5</v>
      </c>
      <c r="D359" s="4">
        <v>67</v>
      </c>
      <c r="E359" s="5" t="s">
        <v>9</v>
      </c>
      <c r="F359" s="9">
        <v>45031</v>
      </c>
      <c r="G359" s="4">
        <v>172</v>
      </c>
      <c r="H359" s="23">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Row],[Duration]]&lt;=30,"10 TO 30 MINS",
     CALLS[[#This Row],[Duration]]&lt;=120,"1 TO 2 HOURS",
     TRUE,"&gt; 2 HOURS")</f>
        <v>1 TO 2 HOURS</v>
      </c>
      <c r="L359">
        <f>ROUND(CALLS[[#This Row],[Satisfaction Rating]],0)</f>
        <v>5</v>
      </c>
      <c r="M359" cm="1">
        <f t="array" ref="M359">_xlfn.IFS(CALLS[[#This Row],[DURATION BACKET]]="UNDER 10 MINS",1,
     CALLS[[#This Row],[DURATION BACKET]]="10 TO 30 MINS",2,
     CALLS[[#This Row],[DURATION BACKET]]="1 TO 2 HOURS",3,
     CALLS[[#This Row],[DURATION BACKET]]="&gt; 2 HOURS",4)</f>
        <v>3</v>
      </c>
      <c r="N359">
        <f>(CALLS[[#This Row],[Purchase Amount]]/ 1)</f>
        <v>172</v>
      </c>
    </row>
    <row r="360" spans="2:14" x14ac:dyDescent="0.25">
      <c r="B360" s="22" t="s">
        <v>382</v>
      </c>
      <c r="C360" s="4" t="s">
        <v>14</v>
      </c>
      <c r="D360" s="4">
        <v>139</v>
      </c>
      <c r="E360" s="5" t="s">
        <v>10</v>
      </c>
      <c r="F360" s="9">
        <v>45031</v>
      </c>
      <c r="G360" s="4">
        <v>114</v>
      </c>
      <c r="H360" s="23">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Row],[Duration]]&lt;=30,"10 TO 30 MINS",
     CALLS[[#This Row],[Duration]]&lt;=120,"1 TO 2 HOURS",
     TRUE,"&gt; 2 HOURS")</f>
        <v>&gt; 2 HOURS</v>
      </c>
      <c r="L360">
        <f>ROUND(CALLS[[#This Row],[Satisfaction Rating]],0)</f>
        <v>4</v>
      </c>
      <c r="M360" cm="1">
        <f t="array" ref="M360">_xlfn.IFS(CALLS[[#This Row],[DURATION BACKET]]="UNDER 10 MINS",1,
     CALLS[[#This Row],[DURATION BACKET]]="10 TO 30 MINS",2,
     CALLS[[#This Row],[DURATION BACKET]]="1 TO 2 HOURS",3,
     CALLS[[#This Row],[DURATION BACKET]]="&gt; 2 HOURS",4)</f>
        <v>4</v>
      </c>
      <c r="N360">
        <f>(CALLS[[#This Row],[Purchase Amount]]/ 1)</f>
        <v>114</v>
      </c>
    </row>
    <row r="361" spans="2:14" x14ac:dyDescent="0.25">
      <c r="B361" s="22" t="s">
        <v>383</v>
      </c>
      <c r="C361" s="4" t="s">
        <v>5</v>
      </c>
      <c r="D361" s="4">
        <v>102</v>
      </c>
      <c r="E361" s="5" t="s">
        <v>10</v>
      </c>
      <c r="F361" s="9">
        <v>45031</v>
      </c>
      <c r="G361" s="4">
        <v>60</v>
      </c>
      <c r="H361" s="23">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Row],[Duration]]&lt;=30,"10 TO 30 MINS",
     CALLS[[#This Row],[Duration]]&lt;=120,"1 TO 2 HOURS",
     TRUE,"&gt; 2 HOURS")</f>
        <v>1 TO 2 HOURS</v>
      </c>
      <c r="L361">
        <f>ROUND(CALLS[[#This Row],[Satisfaction Rating]],0)</f>
        <v>4</v>
      </c>
      <c r="M361" cm="1">
        <f t="array" ref="M361">_xlfn.IFS(CALLS[[#This Row],[DURATION BACKET]]="UNDER 10 MINS",1,
     CALLS[[#This Row],[DURATION BACKET]]="10 TO 30 MINS",2,
     CALLS[[#This Row],[DURATION BACKET]]="1 TO 2 HOURS",3,
     CALLS[[#This Row],[DURATION BACKET]]="&gt; 2 HOURS",4)</f>
        <v>3</v>
      </c>
      <c r="N361">
        <f>(CALLS[[#This Row],[Purchase Amount]]/ 1)</f>
        <v>60</v>
      </c>
    </row>
    <row r="362" spans="2:14" x14ac:dyDescent="0.25">
      <c r="B362" s="22" t="s">
        <v>384</v>
      </c>
      <c r="C362" s="4" t="s">
        <v>17</v>
      </c>
      <c r="D362" s="4">
        <v>108</v>
      </c>
      <c r="E362" s="5" t="s">
        <v>11</v>
      </c>
      <c r="F362" s="9">
        <v>45031</v>
      </c>
      <c r="G362" s="4">
        <v>26</v>
      </c>
      <c r="H362" s="23">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Row],[Duration]]&lt;=30,"10 TO 30 MINS",
     CALLS[[#This Row],[Duration]]&lt;=120,"1 TO 2 HOURS",
     TRUE,"&gt; 2 HOURS")</f>
        <v>1 TO 2 HOURS</v>
      </c>
      <c r="L362">
        <f>ROUND(CALLS[[#This Row],[Satisfaction Rating]],0)</f>
        <v>3</v>
      </c>
      <c r="M362" cm="1">
        <f t="array" ref="M362">_xlfn.IFS(CALLS[[#This Row],[DURATION BACKET]]="UNDER 10 MINS",1,
     CALLS[[#This Row],[DURATION BACKET]]="10 TO 30 MINS",2,
     CALLS[[#This Row],[DURATION BACKET]]="1 TO 2 HOURS",3,
     CALLS[[#This Row],[DURATION BACKET]]="&gt; 2 HOURS",4)</f>
        <v>3</v>
      </c>
      <c r="N362">
        <f>(CALLS[[#This Row],[Purchase Amount]]/ 1)</f>
        <v>26</v>
      </c>
    </row>
    <row r="363" spans="2:14" x14ac:dyDescent="0.25">
      <c r="B363" s="22" t="s">
        <v>385</v>
      </c>
      <c r="C363" s="4" t="s">
        <v>15</v>
      </c>
      <c r="D363" s="4">
        <v>66</v>
      </c>
      <c r="E363" s="5" t="s">
        <v>9</v>
      </c>
      <c r="F363" s="9">
        <v>45031</v>
      </c>
      <c r="G363" s="4">
        <v>210</v>
      </c>
      <c r="H363" s="2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Row],[Duration]]&lt;=30,"10 TO 30 MINS",
     CALLS[[#This Row],[Duration]]&lt;=120,"1 TO 2 HOURS",
     TRUE,"&gt; 2 HOURS")</f>
        <v>1 TO 2 HOURS</v>
      </c>
      <c r="L363">
        <f>ROUND(CALLS[[#This Row],[Satisfaction Rating]],0)</f>
        <v>4</v>
      </c>
      <c r="M363" cm="1">
        <f t="array" ref="M363">_xlfn.IFS(CALLS[[#This Row],[DURATION BACKET]]="UNDER 10 MINS",1,
     CALLS[[#This Row],[DURATION BACKET]]="10 TO 30 MINS",2,
     CALLS[[#This Row],[DURATION BACKET]]="1 TO 2 HOURS",3,
     CALLS[[#This Row],[DURATION BACKET]]="&gt; 2 HOURS",4)</f>
        <v>3</v>
      </c>
      <c r="N363">
        <f>(CALLS[[#This Row],[Purchase Amount]]/ 1)</f>
        <v>210</v>
      </c>
    </row>
    <row r="364" spans="2:14" x14ac:dyDescent="0.25">
      <c r="B364" s="22" t="s">
        <v>386</v>
      </c>
      <c r="C364" s="4" t="s">
        <v>22</v>
      </c>
      <c r="D364" s="4">
        <v>85</v>
      </c>
      <c r="E364" s="5" t="s">
        <v>10</v>
      </c>
      <c r="F364" s="9">
        <v>45031</v>
      </c>
      <c r="G364" s="4">
        <v>129</v>
      </c>
      <c r="H364" s="23">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Row],[Duration]]&lt;=30,"10 TO 30 MINS",
     CALLS[[#This Row],[Duration]]&lt;=120,"1 TO 2 HOURS",
     TRUE,"&gt; 2 HOURS")</f>
        <v>1 TO 2 HOURS</v>
      </c>
      <c r="L364">
        <f>ROUND(CALLS[[#This Row],[Satisfaction Rating]],0)</f>
        <v>4</v>
      </c>
      <c r="M364" cm="1">
        <f t="array" ref="M364">_xlfn.IFS(CALLS[[#This Row],[DURATION BACKET]]="UNDER 10 MINS",1,
     CALLS[[#This Row],[DURATION BACKET]]="10 TO 30 MINS",2,
     CALLS[[#This Row],[DURATION BACKET]]="1 TO 2 HOURS",3,
     CALLS[[#This Row],[DURATION BACKET]]="&gt; 2 HOURS",4)</f>
        <v>3</v>
      </c>
      <c r="N364">
        <f>(CALLS[[#This Row],[Purchase Amount]]/ 1)</f>
        <v>129</v>
      </c>
    </row>
    <row r="365" spans="2:14" x14ac:dyDescent="0.25">
      <c r="B365" s="22" t="s">
        <v>387</v>
      </c>
      <c r="C365" s="4" t="s">
        <v>7</v>
      </c>
      <c r="D365" s="4">
        <v>55</v>
      </c>
      <c r="E365" s="5" t="s">
        <v>11</v>
      </c>
      <c r="F365" s="9">
        <v>45031</v>
      </c>
      <c r="G365" s="4">
        <v>215</v>
      </c>
      <c r="H365" s="23">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Row],[Duration]]&lt;=30,"10 TO 30 MINS",
     CALLS[[#This Row],[Duration]]&lt;=120,"1 TO 2 HOURS",
     TRUE,"&gt; 2 HOURS")</f>
        <v>1 TO 2 HOURS</v>
      </c>
      <c r="L365">
        <f>ROUND(CALLS[[#This Row],[Satisfaction Rating]],0)</f>
        <v>4</v>
      </c>
      <c r="M365" cm="1">
        <f t="array" ref="M365">_xlfn.IFS(CALLS[[#This Row],[DURATION BACKET]]="UNDER 10 MINS",1,
     CALLS[[#This Row],[DURATION BACKET]]="10 TO 30 MINS",2,
     CALLS[[#This Row],[DURATION BACKET]]="1 TO 2 HOURS",3,
     CALLS[[#This Row],[DURATION BACKET]]="&gt; 2 HOURS",4)</f>
        <v>3</v>
      </c>
      <c r="N365">
        <f>(CALLS[[#This Row],[Purchase Amount]]/ 1)</f>
        <v>215</v>
      </c>
    </row>
    <row r="366" spans="2:14" x14ac:dyDescent="0.25">
      <c r="B366" s="22" t="s">
        <v>388</v>
      </c>
      <c r="C366" s="4" t="s">
        <v>17</v>
      </c>
      <c r="D366" s="4">
        <v>17</v>
      </c>
      <c r="E366" s="5" t="s">
        <v>6</v>
      </c>
      <c r="F366" s="9">
        <v>45031</v>
      </c>
      <c r="G366" s="4">
        <v>69</v>
      </c>
      <c r="H366" s="23">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Row],[Duration]]&lt;=30,"10 TO 30 MINS",
     CALLS[[#This Row],[Duration]]&lt;=120,"1 TO 2 HOURS",
     TRUE,"&gt; 2 HOURS")</f>
        <v>10 TO 30 MINS</v>
      </c>
      <c r="L366">
        <f>ROUND(CALLS[[#This Row],[Satisfaction Rating]],0)</f>
        <v>5</v>
      </c>
      <c r="M366" cm="1">
        <f t="array" ref="M366">_xlfn.IFS(CALLS[[#This Row],[DURATION BACKET]]="UNDER 10 MINS",1,
     CALLS[[#This Row],[DURATION BACKET]]="10 TO 30 MINS",2,
     CALLS[[#This Row],[DURATION BACKET]]="1 TO 2 HOURS",3,
     CALLS[[#This Row],[DURATION BACKET]]="&gt; 2 HOURS",4)</f>
        <v>2</v>
      </c>
      <c r="N366">
        <f>(CALLS[[#This Row],[Purchase Amount]]/ 1)</f>
        <v>69</v>
      </c>
    </row>
    <row r="367" spans="2:14" x14ac:dyDescent="0.25">
      <c r="B367" s="22" t="s">
        <v>389</v>
      </c>
      <c r="C367" s="4" t="s">
        <v>7</v>
      </c>
      <c r="D367" s="4">
        <v>128</v>
      </c>
      <c r="E367" s="5" t="s">
        <v>6</v>
      </c>
      <c r="F367" s="9">
        <v>45031</v>
      </c>
      <c r="G367" s="4">
        <v>140</v>
      </c>
      <c r="H367" s="23">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Row],[Duration]]&lt;=30,"10 TO 30 MINS",
     CALLS[[#This Row],[Duration]]&lt;=120,"1 TO 2 HOURS",
     TRUE,"&gt; 2 HOURS")</f>
        <v>&gt; 2 HOURS</v>
      </c>
      <c r="L367">
        <f>ROUND(CALLS[[#This Row],[Satisfaction Rating]],0)</f>
        <v>3</v>
      </c>
      <c r="M367" cm="1">
        <f t="array" ref="M367">_xlfn.IFS(CALLS[[#This Row],[DURATION BACKET]]="UNDER 10 MINS",1,
     CALLS[[#This Row],[DURATION BACKET]]="10 TO 30 MINS",2,
     CALLS[[#This Row],[DURATION BACKET]]="1 TO 2 HOURS",3,
     CALLS[[#This Row],[DURATION BACKET]]="&gt; 2 HOURS",4)</f>
        <v>4</v>
      </c>
      <c r="N367">
        <f>(CALLS[[#This Row],[Purchase Amount]]/ 1)</f>
        <v>140</v>
      </c>
    </row>
    <row r="368" spans="2:14" x14ac:dyDescent="0.25">
      <c r="B368" s="22" t="s">
        <v>390</v>
      </c>
      <c r="C368" s="4" t="s">
        <v>19</v>
      </c>
      <c r="D368" s="4">
        <v>45</v>
      </c>
      <c r="E368" s="5" t="s">
        <v>11</v>
      </c>
      <c r="F368" s="9">
        <v>45032</v>
      </c>
      <c r="G368" s="4">
        <v>156</v>
      </c>
      <c r="H368" s="23">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Row],[Duration]]&lt;=30,"10 TO 30 MINS",
     CALLS[[#This Row],[Duration]]&lt;=120,"1 TO 2 HOURS",
     TRUE,"&gt; 2 HOURS")</f>
        <v>1 TO 2 HOURS</v>
      </c>
      <c r="L368">
        <f>ROUND(CALLS[[#This Row],[Satisfaction Rating]],0)</f>
        <v>3</v>
      </c>
      <c r="M368" cm="1">
        <f t="array" ref="M368">_xlfn.IFS(CALLS[[#This Row],[DURATION BACKET]]="UNDER 10 MINS",1,
     CALLS[[#This Row],[DURATION BACKET]]="10 TO 30 MINS",2,
     CALLS[[#This Row],[DURATION BACKET]]="1 TO 2 HOURS",3,
     CALLS[[#This Row],[DURATION BACKET]]="&gt; 2 HOURS",4)</f>
        <v>3</v>
      </c>
      <c r="N368">
        <f>(CALLS[[#This Row],[Purchase Amount]]/ 1)</f>
        <v>156</v>
      </c>
    </row>
    <row r="369" spans="2:14" x14ac:dyDescent="0.25">
      <c r="B369" s="22" t="s">
        <v>391</v>
      </c>
      <c r="C369" s="4" t="s">
        <v>17</v>
      </c>
      <c r="D369" s="4">
        <v>41</v>
      </c>
      <c r="E369" s="5" t="s">
        <v>6</v>
      </c>
      <c r="F369" s="9">
        <v>45032</v>
      </c>
      <c r="G369" s="4">
        <v>164</v>
      </c>
      <c r="H369" s="23">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Row],[Duration]]&lt;=30,"10 TO 30 MINS",
     CALLS[[#This Row],[Duration]]&lt;=120,"1 TO 2 HOURS",
     TRUE,"&gt; 2 HOURS")</f>
        <v>1 TO 2 HOURS</v>
      </c>
      <c r="L369">
        <f>ROUND(CALLS[[#This Row],[Satisfaction Rating]],0)</f>
        <v>3</v>
      </c>
      <c r="M369" cm="1">
        <f t="array" ref="M369">_xlfn.IFS(CALLS[[#This Row],[DURATION BACKET]]="UNDER 10 MINS",1,
     CALLS[[#This Row],[DURATION BACKET]]="10 TO 30 MINS",2,
     CALLS[[#This Row],[DURATION BACKET]]="1 TO 2 HOURS",3,
     CALLS[[#This Row],[DURATION BACKET]]="&gt; 2 HOURS",4)</f>
        <v>3</v>
      </c>
      <c r="N369">
        <f>(CALLS[[#This Row],[Purchase Amount]]/ 1)</f>
        <v>164</v>
      </c>
    </row>
    <row r="370" spans="2:14" x14ac:dyDescent="0.25">
      <c r="B370" s="22" t="s">
        <v>392</v>
      </c>
      <c r="C370" s="4" t="s">
        <v>24</v>
      </c>
      <c r="D370" s="4">
        <v>49</v>
      </c>
      <c r="E370" s="5" t="s">
        <v>6</v>
      </c>
      <c r="F370" s="9">
        <v>45032</v>
      </c>
      <c r="G370" s="4">
        <v>195</v>
      </c>
      <c r="H370" s="23">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Row],[Duration]]&lt;=30,"10 TO 30 MINS",
     CALLS[[#This Row],[Duration]]&lt;=120,"1 TO 2 HOURS",
     TRUE,"&gt; 2 HOURS")</f>
        <v>1 TO 2 HOURS</v>
      </c>
      <c r="L370">
        <f>ROUND(CALLS[[#This Row],[Satisfaction Rating]],0)</f>
        <v>3</v>
      </c>
      <c r="M370" cm="1">
        <f t="array" ref="M370">_xlfn.IFS(CALLS[[#This Row],[DURATION BACKET]]="UNDER 10 MINS",1,
     CALLS[[#This Row],[DURATION BACKET]]="10 TO 30 MINS",2,
     CALLS[[#This Row],[DURATION BACKET]]="1 TO 2 HOURS",3,
     CALLS[[#This Row],[DURATION BACKET]]="&gt; 2 HOURS",4)</f>
        <v>3</v>
      </c>
      <c r="N370">
        <f>(CALLS[[#This Row],[Purchase Amount]]/ 1)</f>
        <v>195</v>
      </c>
    </row>
    <row r="371" spans="2:14" x14ac:dyDescent="0.25">
      <c r="B371" s="22" t="s">
        <v>393</v>
      </c>
      <c r="C371" s="4" t="s">
        <v>12</v>
      </c>
      <c r="D371" s="4">
        <v>21</v>
      </c>
      <c r="E371" s="5" t="s">
        <v>13</v>
      </c>
      <c r="F371" s="9">
        <v>45032</v>
      </c>
      <c r="G371" s="4">
        <v>74</v>
      </c>
      <c r="H371" s="23">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Row],[Duration]]&lt;=30,"10 TO 30 MINS",
     CALLS[[#This Row],[Duration]]&lt;=120,"1 TO 2 HOURS",
     TRUE,"&gt; 2 HOURS")</f>
        <v>10 TO 30 MINS</v>
      </c>
      <c r="L371">
        <f>ROUND(CALLS[[#This Row],[Satisfaction Rating]],0)</f>
        <v>5</v>
      </c>
      <c r="M371" cm="1">
        <f t="array" ref="M371">_xlfn.IFS(CALLS[[#This Row],[DURATION BACKET]]="UNDER 10 MINS",1,
     CALLS[[#This Row],[DURATION BACKET]]="10 TO 30 MINS",2,
     CALLS[[#This Row],[DURATION BACKET]]="1 TO 2 HOURS",3,
     CALLS[[#This Row],[DURATION BACKET]]="&gt; 2 HOURS",4)</f>
        <v>2</v>
      </c>
      <c r="N371">
        <f>(CALLS[[#This Row],[Purchase Amount]]/ 1)</f>
        <v>74</v>
      </c>
    </row>
    <row r="372" spans="2:14" x14ac:dyDescent="0.25">
      <c r="B372" s="22" t="s">
        <v>394</v>
      </c>
      <c r="C372" s="4" t="s">
        <v>16</v>
      </c>
      <c r="D372" s="4">
        <v>133</v>
      </c>
      <c r="E372" s="5" t="s">
        <v>11</v>
      </c>
      <c r="F372" s="9">
        <v>45032</v>
      </c>
      <c r="G372" s="4">
        <v>100</v>
      </c>
      <c r="H372" s="23">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Row],[Duration]]&lt;=30,"10 TO 30 MINS",
     CALLS[[#This Row],[Duration]]&lt;=120,"1 TO 2 HOURS",
     TRUE,"&gt; 2 HOURS")</f>
        <v>&gt; 2 HOURS</v>
      </c>
      <c r="L372">
        <f>ROUND(CALLS[[#This Row],[Satisfaction Rating]],0)</f>
        <v>4</v>
      </c>
      <c r="M372" cm="1">
        <f t="array" ref="M372">_xlfn.IFS(CALLS[[#This Row],[DURATION BACKET]]="UNDER 10 MINS",1,
     CALLS[[#This Row],[DURATION BACKET]]="10 TO 30 MINS",2,
     CALLS[[#This Row],[DURATION BACKET]]="1 TO 2 HOURS",3,
     CALLS[[#This Row],[DURATION BACKET]]="&gt; 2 HOURS",4)</f>
        <v>4</v>
      </c>
      <c r="N372">
        <f>(CALLS[[#This Row],[Purchase Amount]]/ 1)</f>
        <v>100</v>
      </c>
    </row>
    <row r="373" spans="2:14" x14ac:dyDescent="0.25">
      <c r="B373" s="22" t="s">
        <v>395</v>
      </c>
      <c r="C373" s="4" t="s">
        <v>20</v>
      </c>
      <c r="D373" s="4">
        <v>135</v>
      </c>
      <c r="E373" s="5" t="s">
        <v>9</v>
      </c>
      <c r="F373" s="9">
        <v>45032</v>
      </c>
      <c r="G373" s="4">
        <v>185</v>
      </c>
      <c r="H373" s="2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Row],[Duration]]&lt;=30,"10 TO 30 MINS",
     CALLS[[#This Row],[Duration]]&lt;=120,"1 TO 2 HOURS",
     TRUE,"&gt; 2 HOURS")</f>
        <v>&gt; 2 HOURS</v>
      </c>
      <c r="L373">
        <f>ROUND(CALLS[[#This Row],[Satisfaction Rating]],0)</f>
        <v>5</v>
      </c>
      <c r="M373" cm="1">
        <f t="array" ref="M373">_xlfn.IFS(CALLS[[#This Row],[DURATION BACKET]]="UNDER 10 MINS",1,
     CALLS[[#This Row],[DURATION BACKET]]="10 TO 30 MINS",2,
     CALLS[[#This Row],[DURATION BACKET]]="1 TO 2 HOURS",3,
     CALLS[[#This Row],[DURATION BACKET]]="&gt; 2 HOURS",4)</f>
        <v>4</v>
      </c>
      <c r="N373">
        <f>(CALLS[[#This Row],[Purchase Amount]]/ 1)</f>
        <v>185</v>
      </c>
    </row>
    <row r="374" spans="2:14" x14ac:dyDescent="0.25">
      <c r="B374" s="22" t="s">
        <v>396</v>
      </c>
      <c r="C374" s="4" t="s">
        <v>14</v>
      </c>
      <c r="D374" s="4">
        <v>69</v>
      </c>
      <c r="E374" s="5" t="s">
        <v>11</v>
      </c>
      <c r="F374" s="9">
        <v>45032</v>
      </c>
      <c r="G374" s="4">
        <v>130</v>
      </c>
      <c r="H374" s="23">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Row],[Duration]]&lt;=30,"10 TO 30 MINS",
     CALLS[[#This Row],[Duration]]&lt;=120,"1 TO 2 HOURS",
     TRUE,"&gt; 2 HOURS")</f>
        <v>1 TO 2 HOURS</v>
      </c>
      <c r="L374">
        <f>ROUND(CALLS[[#This Row],[Satisfaction Rating]],0)</f>
        <v>2</v>
      </c>
      <c r="M374" cm="1">
        <f t="array" ref="M374">_xlfn.IFS(CALLS[[#This Row],[DURATION BACKET]]="UNDER 10 MINS",1,
     CALLS[[#This Row],[DURATION BACKET]]="10 TO 30 MINS",2,
     CALLS[[#This Row],[DURATION BACKET]]="1 TO 2 HOURS",3,
     CALLS[[#This Row],[DURATION BACKET]]="&gt; 2 HOURS",4)</f>
        <v>3</v>
      </c>
      <c r="N374">
        <f>(CALLS[[#This Row],[Purchase Amount]]/ 1)</f>
        <v>130</v>
      </c>
    </row>
    <row r="375" spans="2:14" x14ac:dyDescent="0.25">
      <c r="B375" s="22" t="s">
        <v>397</v>
      </c>
      <c r="C375" s="4" t="s">
        <v>18</v>
      </c>
      <c r="D375" s="4">
        <v>110</v>
      </c>
      <c r="E375" s="5" t="s">
        <v>13</v>
      </c>
      <c r="F375" s="9">
        <v>45033</v>
      </c>
      <c r="G375" s="4">
        <v>21</v>
      </c>
      <c r="H375" s="23">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Row],[Duration]]&lt;=30,"10 TO 30 MINS",
     CALLS[[#This Row],[Duration]]&lt;=120,"1 TO 2 HOURS",
     TRUE,"&gt; 2 HOURS")</f>
        <v>1 TO 2 HOURS</v>
      </c>
      <c r="L375">
        <f>ROUND(CALLS[[#This Row],[Satisfaction Rating]],0)</f>
        <v>3</v>
      </c>
      <c r="M375" cm="1">
        <f t="array" ref="M375">_xlfn.IFS(CALLS[[#This Row],[DURATION BACKET]]="UNDER 10 MINS",1,
     CALLS[[#This Row],[DURATION BACKET]]="10 TO 30 MINS",2,
     CALLS[[#This Row],[DURATION BACKET]]="1 TO 2 HOURS",3,
     CALLS[[#This Row],[DURATION BACKET]]="&gt; 2 HOURS",4)</f>
        <v>3</v>
      </c>
      <c r="N375">
        <f>(CALLS[[#This Row],[Purchase Amount]]/ 1)</f>
        <v>21</v>
      </c>
    </row>
    <row r="376" spans="2:14" x14ac:dyDescent="0.25">
      <c r="B376" s="22" t="s">
        <v>398</v>
      </c>
      <c r="C376" s="4" t="s">
        <v>5</v>
      </c>
      <c r="D376" s="4">
        <v>64</v>
      </c>
      <c r="E376" s="5" t="s">
        <v>10</v>
      </c>
      <c r="F376" s="9">
        <v>45033</v>
      </c>
      <c r="G376" s="4">
        <v>88</v>
      </c>
      <c r="H376" s="23">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Row],[Duration]]&lt;=30,"10 TO 30 MINS",
     CALLS[[#This Row],[Duration]]&lt;=120,"1 TO 2 HOURS",
     TRUE,"&gt; 2 HOURS")</f>
        <v>1 TO 2 HOURS</v>
      </c>
      <c r="L376">
        <f>ROUND(CALLS[[#This Row],[Satisfaction Rating]],0)</f>
        <v>4</v>
      </c>
      <c r="M376" cm="1">
        <f t="array" ref="M376">_xlfn.IFS(CALLS[[#This Row],[DURATION BACKET]]="UNDER 10 MINS",1,
     CALLS[[#This Row],[DURATION BACKET]]="10 TO 30 MINS",2,
     CALLS[[#This Row],[DURATION BACKET]]="1 TO 2 HOURS",3,
     CALLS[[#This Row],[DURATION BACKET]]="&gt; 2 HOURS",4)</f>
        <v>3</v>
      </c>
      <c r="N376">
        <f>(CALLS[[#This Row],[Purchase Amount]]/ 1)</f>
        <v>88</v>
      </c>
    </row>
    <row r="377" spans="2:14" x14ac:dyDescent="0.25">
      <c r="B377" s="22" t="s">
        <v>399</v>
      </c>
      <c r="C377" s="4" t="s">
        <v>23</v>
      </c>
      <c r="D377" s="4">
        <v>105</v>
      </c>
      <c r="E377" s="5" t="s">
        <v>6</v>
      </c>
      <c r="F377" s="9">
        <v>45033</v>
      </c>
      <c r="G377" s="4">
        <v>35</v>
      </c>
      <c r="H377" s="23">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Row],[Duration]]&lt;=30,"10 TO 30 MINS",
     CALLS[[#This Row],[Duration]]&lt;=120,"1 TO 2 HOURS",
     TRUE,"&gt; 2 HOURS")</f>
        <v>1 TO 2 HOURS</v>
      </c>
      <c r="L377">
        <f>ROUND(CALLS[[#This Row],[Satisfaction Rating]],0)</f>
        <v>4</v>
      </c>
      <c r="M377" cm="1">
        <f t="array" ref="M377">_xlfn.IFS(CALLS[[#This Row],[DURATION BACKET]]="UNDER 10 MINS",1,
     CALLS[[#This Row],[DURATION BACKET]]="10 TO 30 MINS",2,
     CALLS[[#This Row],[DURATION BACKET]]="1 TO 2 HOURS",3,
     CALLS[[#This Row],[DURATION BACKET]]="&gt; 2 HOURS",4)</f>
        <v>3</v>
      </c>
      <c r="N377">
        <f>(CALLS[[#This Row],[Purchase Amount]]/ 1)</f>
        <v>35</v>
      </c>
    </row>
    <row r="378" spans="2:14" x14ac:dyDescent="0.25">
      <c r="B378" s="22" t="s">
        <v>400</v>
      </c>
      <c r="C378" s="4" t="s">
        <v>5</v>
      </c>
      <c r="D378" s="4">
        <v>165</v>
      </c>
      <c r="E378" s="5" t="s">
        <v>9</v>
      </c>
      <c r="F378" s="9">
        <v>45033</v>
      </c>
      <c r="G378" s="4">
        <v>68</v>
      </c>
      <c r="H378" s="23">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Row],[Duration]]&lt;=30,"10 TO 30 MINS",
     CALLS[[#This Row],[Duration]]&lt;=120,"1 TO 2 HOURS",
     TRUE,"&gt; 2 HOURS")</f>
        <v>&gt; 2 HOURS</v>
      </c>
      <c r="L378">
        <f>ROUND(CALLS[[#This Row],[Satisfaction Rating]],0)</f>
        <v>4</v>
      </c>
      <c r="M378" cm="1">
        <f t="array" ref="M378">_xlfn.IFS(CALLS[[#This Row],[DURATION BACKET]]="UNDER 10 MINS",1,
     CALLS[[#This Row],[DURATION BACKET]]="10 TO 30 MINS",2,
     CALLS[[#This Row],[DURATION BACKET]]="1 TO 2 HOURS",3,
     CALLS[[#This Row],[DURATION BACKET]]="&gt; 2 HOURS",4)</f>
        <v>4</v>
      </c>
      <c r="N378">
        <f>(CALLS[[#This Row],[Purchase Amount]]/ 1)</f>
        <v>68</v>
      </c>
    </row>
    <row r="379" spans="2:14" x14ac:dyDescent="0.25">
      <c r="B379" s="22" t="s">
        <v>401</v>
      </c>
      <c r="C379" s="4" t="s">
        <v>19</v>
      </c>
      <c r="D379" s="4">
        <v>125</v>
      </c>
      <c r="E379" s="5" t="s">
        <v>9</v>
      </c>
      <c r="F379" s="9">
        <v>45033</v>
      </c>
      <c r="G379" s="4">
        <v>148</v>
      </c>
      <c r="H379" s="23">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Row],[Duration]]&lt;=30,"10 TO 30 MINS",
     CALLS[[#This Row],[Duration]]&lt;=120,"1 TO 2 HOURS",
     TRUE,"&gt; 2 HOURS")</f>
        <v>&gt; 2 HOURS</v>
      </c>
      <c r="L379">
        <f>ROUND(CALLS[[#This Row],[Satisfaction Rating]],0)</f>
        <v>5</v>
      </c>
      <c r="M379" cm="1">
        <f t="array" ref="M379">_xlfn.IFS(CALLS[[#This Row],[DURATION BACKET]]="UNDER 10 MINS",1,
     CALLS[[#This Row],[DURATION BACKET]]="10 TO 30 MINS",2,
     CALLS[[#This Row],[DURATION BACKET]]="1 TO 2 HOURS",3,
     CALLS[[#This Row],[DURATION BACKET]]="&gt; 2 HOURS",4)</f>
        <v>4</v>
      </c>
      <c r="N379">
        <f>(CALLS[[#This Row],[Purchase Amount]]/ 1)</f>
        <v>148</v>
      </c>
    </row>
    <row r="380" spans="2:14" x14ac:dyDescent="0.25">
      <c r="B380" s="22" t="s">
        <v>402</v>
      </c>
      <c r="C380" s="4" t="s">
        <v>23</v>
      </c>
      <c r="D380" s="4">
        <v>88</v>
      </c>
      <c r="E380" s="5" t="s">
        <v>10</v>
      </c>
      <c r="F380" s="9">
        <v>45034</v>
      </c>
      <c r="G380" s="4">
        <v>81</v>
      </c>
      <c r="H380" s="23">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Row],[Duration]]&lt;=30,"10 TO 30 MINS",
     CALLS[[#This Row],[Duration]]&lt;=120,"1 TO 2 HOURS",
     TRUE,"&gt; 2 HOURS")</f>
        <v>1 TO 2 HOURS</v>
      </c>
      <c r="L380">
        <f>ROUND(CALLS[[#This Row],[Satisfaction Rating]],0)</f>
        <v>4</v>
      </c>
      <c r="M380" cm="1">
        <f t="array" ref="M380">_xlfn.IFS(CALLS[[#This Row],[DURATION BACKET]]="UNDER 10 MINS",1,
     CALLS[[#This Row],[DURATION BACKET]]="10 TO 30 MINS",2,
     CALLS[[#This Row],[DURATION BACKET]]="1 TO 2 HOURS",3,
     CALLS[[#This Row],[DURATION BACKET]]="&gt; 2 HOURS",4)</f>
        <v>3</v>
      </c>
      <c r="N380">
        <f>(CALLS[[#This Row],[Purchase Amount]]/ 1)</f>
        <v>81</v>
      </c>
    </row>
    <row r="381" spans="2:14" x14ac:dyDescent="0.25">
      <c r="B381" s="22" t="s">
        <v>403</v>
      </c>
      <c r="C381" s="4" t="s">
        <v>14</v>
      </c>
      <c r="D381" s="4">
        <v>6</v>
      </c>
      <c r="E381" s="5" t="s">
        <v>10</v>
      </c>
      <c r="F381" s="9">
        <v>45034</v>
      </c>
      <c r="G381" s="4">
        <v>75</v>
      </c>
      <c r="H381" s="23">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Row],[Duration]]&lt;=30,"10 TO 30 MINS",
     CALLS[[#This Row],[Duration]]&lt;=120,"1 TO 2 HOURS",
     TRUE,"&gt; 2 HOURS")</f>
        <v>UNDER 10 MINS</v>
      </c>
      <c r="L381">
        <f>ROUND(CALLS[[#This Row],[Satisfaction Rating]],0)</f>
        <v>4</v>
      </c>
      <c r="M381" cm="1">
        <f t="array" ref="M381">_xlfn.IFS(CALLS[[#This Row],[DURATION BACKET]]="UNDER 10 MINS",1,
     CALLS[[#This Row],[DURATION BACKET]]="10 TO 30 MINS",2,
     CALLS[[#This Row],[DURATION BACKET]]="1 TO 2 HOURS",3,
     CALLS[[#This Row],[DURATION BACKET]]="&gt; 2 HOURS",4)</f>
        <v>1</v>
      </c>
      <c r="N381">
        <f>(CALLS[[#This Row],[Purchase Amount]]/ 1)</f>
        <v>75</v>
      </c>
    </row>
    <row r="382" spans="2:14" x14ac:dyDescent="0.25">
      <c r="B382" s="22" t="s">
        <v>404</v>
      </c>
      <c r="C382" s="4" t="s">
        <v>22</v>
      </c>
      <c r="D382" s="4">
        <v>69</v>
      </c>
      <c r="E382" s="5" t="s">
        <v>11</v>
      </c>
      <c r="F382" s="9">
        <v>45035</v>
      </c>
      <c r="G382" s="4">
        <v>32</v>
      </c>
      <c r="H382" s="23">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Row],[Duration]]&lt;=30,"10 TO 30 MINS",
     CALLS[[#This Row],[Duration]]&lt;=120,"1 TO 2 HOURS",
     TRUE,"&gt; 2 HOURS")</f>
        <v>1 TO 2 HOURS</v>
      </c>
      <c r="L382">
        <f>ROUND(CALLS[[#This Row],[Satisfaction Rating]],0)</f>
        <v>4</v>
      </c>
      <c r="M382" cm="1">
        <f t="array" ref="M382">_xlfn.IFS(CALLS[[#This Row],[DURATION BACKET]]="UNDER 10 MINS",1,
     CALLS[[#This Row],[DURATION BACKET]]="10 TO 30 MINS",2,
     CALLS[[#This Row],[DURATION BACKET]]="1 TO 2 HOURS",3,
     CALLS[[#This Row],[DURATION BACKET]]="&gt; 2 HOURS",4)</f>
        <v>3</v>
      </c>
      <c r="N382">
        <f>(CALLS[[#This Row],[Purchase Amount]]/ 1)</f>
        <v>32</v>
      </c>
    </row>
    <row r="383" spans="2:14" x14ac:dyDescent="0.25">
      <c r="B383" s="22" t="s">
        <v>405</v>
      </c>
      <c r="C383" s="4" t="s">
        <v>17</v>
      </c>
      <c r="D383" s="4">
        <v>107</v>
      </c>
      <c r="E383" s="5" t="s">
        <v>11</v>
      </c>
      <c r="F383" s="9">
        <v>45035</v>
      </c>
      <c r="G383" s="4">
        <v>156</v>
      </c>
      <c r="H383" s="2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Row],[Duration]]&lt;=30,"10 TO 30 MINS",
     CALLS[[#This Row],[Duration]]&lt;=120,"1 TO 2 HOURS",
     TRUE,"&gt; 2 HOURS")</f>
        <v>1 TO 2 HOURS</v>
      </c>
      <c r="L383">
        <f>ROUND(CALLS[[#This Row],[Satisfaction Rating]],0)</f>
        <v>4</v>
      </c>
      <c r="M383" cm="1">
        <f t="array" ref="M383">_xlfn.IFS(CALLS[[#This Row],[DURATION BACKET]]="UNDER 10 MINS",1,
     CALLS[[#This Row],[DURATION BACKET]]="10 TO 30 MINS",2,
     CALLS[[#This Row],[DURATION BACKET]]="1 TO 2 HOURS",3,
     CALLS[[#This Row],[DURATION BACKET]]="&gt; 2 HOURS",4)</f>
        <v>3</v>
      </c>
      <c r="N383">
        <f>(CALLS[[#This Row],[Purchase Amount]]/ 1)</f>
        <v>156</v>
      </c>
    </row>
    <row r="384" spans="2:14" x14ac:dyDescent="0.25">
      <c r="B384" s="22" t="s">
        <v>406</v>
      </c>
      <c r="C384" s="4" t="s">
        <v>12</v>
      </c>
      <c r="D384" s="4">
        <v>90</v>
      </c>
      <c r="E384" s="5" t="s">
        <v>9</v>
      </c>
      <c r="F384" s="9">
        <v>45035</v>
      </c>
      <c r="G384" s="4">
        <v>99</v>
      </c>
      <c r="H384" s="23">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Row],[Duration]]&lt;=30,"10 TO 30 MINS",
     CALLS[[#This Row],[Duration]]&lt;=120,"1 TO 2 HOURS",
     TRUE,"&gt; 2 HOURS")</f>
        <v>1 TO 2 HOURS</v>
      </c>
      <c r="L384">
        <f>ROUND(CALLS[[#This Row],[Satisfaction Rating]],0)</f>
        <v>5</v>
      </c>
      <c r="M384" cm="1">
        <f t="array" ref="M384">_xlfn.IFS(CALLS[[#This Row],[DURATION BACKET]]="UNDER 10 MINS",1,
     CALLS[[#This Row],[DURATION BACKET]]="10 TO 30 MINS",2,
     CALLS[[#This Row],[DURATION BACKET]]="1 TO 2 HOURS",3,
     CALLS[[#This Row],[DURATION BACKET]]="&gt; 2 HOURS",4)</f>
        <v>3</v>
      </c>
      <c r="N384">
        <f>(CALLS[[#This Row],[Purchase Amount]]/ 1)</f>
        <v>99</v>
      </c>
    </row>
    <row r="385" spans="2:14" x14ac:dyDescent="0.25">
      <c r="B385" s="22" t="s">
        <v>407</v>
      </c>
      <c r="C385" s="4" t="s">
        <v>20</v>
      </c>
      <c r="D385" s="4">
        <v>120</v>
      </c>
      <c r="E385" s="5" t="s">
        <v>6</v>
      </c>
      <c r="F385" s="9">
        <v>45035</v>
      </c>
      <c r="G385" s="4">
        <v>26</v>
      </c>
      <c r="H385" s="23">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Row],[Duration]]&lt;=30,"10 TO 30 MINS",
     CALLS[[#This Row],[Duration]]&lt;=120,"1 TO 2 HOURS",
     TRUE,"&gt; 2 HOURS")</f>
        <v>1 TO 2 HOURS</v>
      </c>
      <c r="L385">
        <f>ROUND(CALLS[[#This Row],[Satisfaction Rating]],0)</f>
        <v>4</v>
      </c>
      <c r="M385" cm="1">
        <f t="array" ref="M385">_xlfn.IFS(CALLS[[#This Row],[DURATION BACKET]]="UNDER 10 MINS",1,
     CALLS[[#This Row],[DURATION BACKET]]="10 TO 30 MINS",2,
     CALLS[[#This Row],[DURATION BACKET]]="1 TO 2 HOURS",3,
     CALLS[[#This Row],[DURATION BACKET]]="&gt; 2 HOURS",4)</f>
        <v>3</v>
      </c>
      <c r="N385">
        <f>(CALLS[[#This Row],[Purchase Amount]]/ 1)</f>
        <v>26</v>
      </c>
    </row>
    <row r="386" spans="2:14" x14ac:dyDescent="0.25">
      <c r="B386" s="22" t="s">
        <v>408</v>
      </c>
      <c r="C386" s="4" t="s">
        <v>8</v>
      </c>
      <c r="D386" s="4">
        <v>47</v>
      </c>
      <c r="E386" s="5" t="s">
        <v>11</v>
      </c>
      <c r="F386" s="9">
        <v>45035</v>
      </c>
      <c r="G386" s="4">
        <v>84</v>
      </c>
      <c r="H386" s="23">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Row],[Duration]]&lt;=30,"10 TO 30 MINS",
     CALLS[[#This Row],[Duration]]&lt;=120,"1 TO 2 HOURS",
     TRUE,"&gt; 2 HOURS")</f>
        <v>1 TO 2 HOURS</v>
      </c>
      <c r="L386">
        <f>ROUND(CALLS[[#This Row],[Satisfaction Rating]],0)</f>
        <v>4</v>
      </c>
      <c r="M386" cm="1">
        <f t="array" ref="M386">_xlfn.IFS(CALLS[[#This Row],[DURATION BACKET]]="UNDER 10 MINS",1,
     CALLS[[#This Row],[DURATION BACKET]]="10 TO 30 MINS",2,
     CALLS[[#This Row],[DURATION BACKET]]="1 TO 2 HOURS",3,
     CALLS[[#This Row],[DURATION BACKET]]="&gt; 2 HOURS",4)</f>
        <v>3</v>
      </c>
      <c r="N386">
        <f>(CALLS[[#This Row],[Purchase Amount]]/ 1)</f>
        <v>84</v>
      </c>
    </row>
    <row r="387" spans="2:14" x14ac:dyDescent="0.25">
      <c r="B387" s="22" t="s">
        <v>409</v>
      </c>
      <c r="C387" s="4" t="s">
        <v>21</v>
      </c>
      <c r="D387" s="4">
        <v>60</v>
      </c>
      <c r="E387" s="5" t="s">
        <v>6</v>
      </c>
      <c r="F387" s="9">
        <v>45035</v>
      </c>
      <c r="G387" s="4">
        <v>84</v>
      </c>
      <c r="H387" s="23">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Row],[Duration]]&lt;=30,"10 TO 30 MINS",
     CALLS[[#This Row],[Duration]]&lt;=120,"1 TO 2 HOURS",
     TRUE,"&gt; 2 HOURS")</f>
        <v>1 TO 2 HOURS</v>
      </c>
      <c r="L387">
        <f>ROUND(CALLS[[#This Row],[Satisfaction Rating]],0)</f>
        <v>5</v>
      </c>
      <c r="M387" cm="1">
        <f t="array" ref="M387">_xlfn.IFS(CALLS[[#This Row],[DURATION BACKET]]="UNDER 10 MINS",1,
     CALLS[[#This Row],[DURATION BACKET]]="10 TO 30 MINS",2,
     CALLS[[#This Row],[DURATION BACKET]]="1 TO 2 HOURS",3,
     CALLS[[#This Row],[DURATION BACKET]]="&gt; 2 HOURS",4)</f>
        <v>3</v>
      </c>
      <c r="N387">
        <f>(CALLS[[#This Row],[Purchase Amount]]/ 1)</f>
        <v>84</v>
      </c>
    </row>
    <row r="388" spans="2:14" x14ac:dyDescent="0.25">
      <c r="B388" s="22" t="s">
        <v>410</v>
      </c>
      <c r="C388" s="4" t="s">
        <v>7</v>
      </c>
      <c r="D388" s="4">
        <v>64</v>
      </c>
      <c r="E388" s="5" t="s">
        <v>9</v>
      </c>
      <c r="F388" s="9">
        <v>45035</v>
      </c>
      <c r="G388" s="4">
        <v>170</v>
      </c>
      <c r="H388" s="23">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Row],[Duration]]&lt;=30,"10 TO 30 MINS",
     CALLS[[#This Row],[Duration]]&lt;=120,"1 TO 2 HOURS",
     TRUE,"&gt; 2 HOURS")</f>
        <v>1 TO 2 HOURS</v>
      </c>
      <c r="L388">
        <f>ROUND(CALLS[[#This Row],[Satisfaction Rating]],0)</f>
        <v>2</v>
      </c>
      <c r="M388" cm="1">
        <f t="array" ref="M388">_xlfn.IFS(CALLS[[#This Row],[DURATION BACKET]]="UNDER 10 MINS",1,
     CALLS[[#This Row],[DURATION BACKET]]="10 TO 30 MINS",2,
     CALLS[[#This Row],[DURATION BACKET]]="1 TO 2 HOURS",3,
     CALLS[[#This Row],[DURATION BACKET]]="&gt; 2 HOURS",4)</f>
        <v>3</v>
      </c>
      <c r="N388">
        <f>(CALLS[[#This Row],[Purchase Amount]]/ 1)</f>
        <v>170</v>
      </c>
    </row>
    <row r="389" spans="2:14" x14ac:dyDescent="0.25">
      <c r="B389" s="22" t="s">
        <v>411</v>
      </c>
      <c r="C389" s="4" t="s">
        <v>5</v>
      </c>
      <c r="D389" s="4">
        <v>62</v>
      </c>
      <c r="E389" s="5" t="s">
        <v>11</v>
      </c>
      <c r="F389" s="9">
        <v>45035</v>
      </c>
      <c r="G389" s="4">
        <v>35</v>
      </c>
      <c r="H389" s="23">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Row],[Duration]]&lt;=30,"10 TO 30 MINS",
     CALLS[[#This Row],[Duration]]&lt;=120,"1 TO 2 HOURS",
     TRUE,"&gt; 2 HOURS")</f>
        <v>1 TO 2 HOURS</v>
      </c>
      <c r="L389">
        <f>ROUND(CALLS[[#This Row],[Satisfaction Rating]],0)</f>
        <v>4</v>
      </c>
      <c r="M389" cm="1">
        <f t="array" ref="M389">_xlfn.IFS(CALLS[[#This Row],[DURATION BACKET]]="UNDER 10 MINS",1,
     CALLS[[#This Row],[DURATION BACKET]]="10 TO 30 MINS",2,
     CALLS[[#This Row],[DURATION BACKET]]="1 TO 2 HOURS",3,
     CALLS[[#This Row],[DURATION BACKET]]="&gt; 2 HOURS",4)</f>
        <v>3</v>
      </c>
      <c r="N389">
        <f>(CALLS[[#This Row],[Purchase Amount]]/ 1)</f>
        <v>35</v>
      </c>
    </row>
    <row r="390" spans="2:14" x14ac:dyDescent="0.25">
      <c r="B390" s="22" t="s">
        <v>412</v>
      </c>
      <c r="C390" s="4" t="s">
        <v>18</v>
      </c>
      <c r="D390" s="4">
        <v>88</v>
      </c>
      <c r="E390" s="5" t="s">
        <v>11</v>
      </c>
      <c r="F390" s="9">
        <v>45036</v>
      </c>
      <c r="G390" s="4">
        <v>35</v>
      </c>
      <c r="H390" s="23">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Row],[Duration]]&lt;=30,"10 TO 30 MINS",
     CALLS[[#This Row],[Duration]]&lt;=120,"1 TO 2 HOURS",
     TRUE,"&gt; 2 HOURS")</f>
        <v>1 TO 2 HOURS</v>
      </c>
      <c r="L390">
        <f>ROUND(CALLS[[#This Row],[Satisfaction Rating]],0)</f>
        <v>4</v>
      </c>
      <c r="M390" cm="1">
        <f t="array" ref="M390">_xlfn.IFS(CALLS[[#This Row],[DURATION BACKET]]="UNDER 10 MINS",1,
     CALLS[[#This Row],[DURATION BACKET]]="10 TO 30 MINS",2,
     CALLS[[#This Row],[DURATION BACKET]]="1 TO 2 HOURS",3,
     CALLS[[#This Row],[DURATION BACKET]]="&gt; 2 HOURS",4)</f>
        <v>3</v>
      </c>
      <c r="N390">
        <f>(CALLS[[#This Row],[Purchase Amount]]/ 1)</f>
        <v>35</v>
      </c>
    </row>
    <row r="391" spans="2:14" x14ac:dyDescent="0.25">
      <c r="B391" s="22" t="s">
        <v>413</v>
      </c>
      <c r="C391" s="4" t="s">
        <v>19</v>
      </c>
      <c r="D391" s="4">
        <v>116</v>
      </c>
      <c r="E391" s="5" t="s">
        <v>11</v>
      </c>
      <c r="F391" s="9">
        <v>45036</v>
      </c>
      <c r="G391" s="4">
        <v>132</v>
      </c>
      <c r="H391" s="23">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Row],[Duration]]&lt;=30,"10 TO 30 MINS",
     CALLS[[#This Row],[Duration]]&lt;=120,"1 TO 2 HOURS",
     TRUE,"&gt; 2 HOURS")</f>
        <v>1 TO 2 HOURS</v>
      </c>
      <c r="L391">
        <f>ROUND(CALLS[[#This Row],[Satisfaction Rating]],0)</f>
        <v>5</v>
      </c>
      <c r="M391" cm="1">
        <f t="array" ref="M391">_xlfn.IFS(CALLS[[#This Row],[DURATION BACKET]]="UNDER 10 MINS",1,
     CALLS[[#This Row],[DURATION BACKET]]="10 TO 30 MINS",2,
     CALLS[[#This Row],[DURATION BACKET]]="1 TO 2 HOURS",3,
     CALLS[[#This Row],[DURATION BACKET]]="&gt; 2 HOURS",4)</f>
        <v>3</v>
      </c>
      <c r="N391">
        <f>(CALLS[[#This Row],[Purchase Amount]]/ 1)</f>
        <v>132</v>
      </c>
    </row>
    <row r="392" spans="2:14" x14ac:dyDescent="0.25">
      <c r="B392" s="22" t="s">
        <v>414</v>
      </c>
      <c r="C392" s="4" t="s">
        <v>12</v>
      </c>
      <c r="D392" s="4">
        <v>82</v>
      </c>
      <c r="E392" s="5" t="s">
        <v>10</v>
      </c>
      <c r="F392" s="9">
        <v>45037</v>
      </c>
      <c r="G392" s="4">
        <v>144</v>
      </c>
      <c r="H392" s="23">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Row],[Duration]]&lt;=30,"10 TO 30 MINS",
     CALLS[[#This Row],[Duration]]&lt;=120,"1 TO 2 HOURS",
     TRUE,"&gt; 2 HOURS")</f>
        <v>1 TO 2 HOURS</v>
      </c>
      <c r="L392">
        <f>ROUND(CALLS[[#This Row],[Satisfaction Rating]],0)</f>
        <v>3</v>
      </c>
      <c r="M392" cm="1">
        <f t="array" ref="M392">_xlfn.IFS(CALLS[[#This Row],[DURATION BACKET]]="UNDER 10 MINS",1,
     CALLS[[#This Row],[DURATION BACKET]]="10 TO 30 MINS",2,
     CALLS[[#This Row],[DURATION BACKET]]="1 TO 2 HOURS",3,
     CALLS[[#This Row],[DURATION BACKET]]="&gt; 2 HOURS",4)</f>
        <v>3</v>
      </c>
      <c r="N392">
        <f>(CALLS[[#This Row],[Purchase Amount]]/ 1)</f>
        <v>144</v>
      </c>
    </row>
    <row r="393" spans="2:14" x14ac:dyDescent="0.25">
      <c r="B393" s="22" t="s">
        <v>415</v>
      </c>
      <c r="C393" s="4" t="s">
        <v>5</v>
      </c>
      <c r="D393" s="4">
        <v>99</v>
      </c>
      <c r="E393" s="5" t="s">
        <v>9</v>
      </c>
      <c r="F393" s="9">
        <v>45037</v>
      </c>
      <c r="G393" s="4">
        <v>48</v>
      </c>
      <c r="H393" s="2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Row],[Duration]]&lt;=30,"10 TO 30 MINS",
     CALLS[[#This Row],[Duration]]&lt;=120,"1 TO 2 HOURS",
     TRUE,"&gt; 2 HOURS")</f>
        <v>1 TO 2 HOURS</v>
      </c>
      <c r="L393">
        <f>ROUND(CALLS[[#This Row],[Satisfaction Rating]],0)</f>
        <v>5</v>
      </c>
      <c r="M393" cm="1">
        <f t="array" ref="M393">_xlfn.IFS(CALLS[[#This Row],[DURATION BACKET]]="UNDER 10 MINS",1,
     CALLS[[#This Row],[DURATION BACKET]]="10 TO 30 MINS",2,
     CALLS[[#This Row],[DURATION BACKET]]="1 TO 2 HOURS",3,
     CALLS[[#This Row],[DURATION BACKET]]="&gt; 2 HOURS",4)</f>
        <v>3</v>
      </c>
      <c r="N393">
        <f>(CALLS[[#This Row],[Purchase Amount]]/ 1)</f>
        <v>48</v>
      </c>
    </row>
    <row r="394" spans="2:14" x14ac:dyDescent="0.25">
      <c r="B394" s="22" t="s">
        <v>416</v>
      </c>
      <c r="C394" s="4" t="s">
        <v>5</v>
      </c>
      <c r="D394" s="4">
        <v>55</v>
      </c>
      <c r="E394" s="5" t="s">
        <v>10</v>
      </c>
      <c r="F394" s="9">
        <v>45037</v>
      </c>
      <c r="G394" s="4">
        <v>200</v>
      </c>
      <c r="H394" s="23">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Row],[Duration]]&lt;=30,"10 TO 30 MINS",
     CALLS[[#This Row],[Duration]]&lt;=120,"1 TO 2 HOURS",
     TRUE,"&gt; 2 HOURS")</f>
        <v>1 TO 2 HOURS</v>
      </c>
      <c r="L394">
        <f>ROUND(CALLS[[#This Row],[Satisfaction Rating]],0)</f>
        <v>2</v>
      </c>
      <c r="M394" cm="1">
        <f t="array" ref="M394">_xlfn.IFS(CALLS[[#This Row],[DURATION BACKET]]="UNDER 10 MINS",1,
     CALLS[[#This Row],[DURATION BACKET]]="10 TO 30 MINS",2,
     CALLS[[#This Row],[DURATION BACKET]]="1 TO 2 HOURS",3,
     CALLS[[#This Row],[DURATION BACKET]]="&gt; 2 HOURS",4)</f>
        <v>3</v>
      </c>
      <c r="N394">
        <f>(CALLS[[#This Row],[Purchase Amount]]/ 1)</f>
        <v>200</v>
      </c>
    </row>
    <row r="395" spans="2:14" x14ac:dyDescent="0.25">
      <c r="B395" s="22" t="s">
        <v>417</v>
      </c>
      <c r="C395" s="4" t="s">
        <v>7</v>
      </c>
      <c r="D395" s="4">
        <v>61</v>
      </c>
      <c r="E395" s="5" t="s">
        <v>6</v>
      </c>
      <c r="F395" s="9">
        <v>45037</v>
      </c>
      <c r="G395" s="4">
        <v>38</v>
      </c>
      <c r="H395" s="23">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Row],[Duration]]&lt;=30,"10 TO 30 MINS",
     CALLS[[#This Row],[Duration]]&lt;=120,"1 TO 2 HOURS",
     TRUE,"&gt; 2 HOURS")</f>
        <v>1 TO 2 HOURS</v>
      </c>
      <c r="L395">
        <f>ROUND(CALLS[[#This Row],[Satisfaction Rating]],0)</f>
        <v>5</v>
      </c>
      <c r="M395" cm="1">
        <f t="array" ref="M395">_xlfn.IFS(CALLS[[#This Row],[DURATION BACKET]]="UNDER 10 MINS",1,
     CALLS[[#This Row],[DURATION BACKET]]="10 TO 30 MINS",2,
     CALLS[[#This Row],[DURATION BACKET]]="1 TO 2 HOURS",3,
     CALLS[[#This Row],[DURATION BACKET]]="&gt; 2 HOURS",4)</f>
        <v>3</v>
      </c>
      <c r="N395">
        <f>(CALLS[[#This Row],[Purchase Amount]]/ 1)</f>
        <v>38</v>
      </c>
    </row>
    <row r="396" spans="2:14" x14ac:dyDescent="0.25">
      <c r="B396" s="22" t="s">
        <v>418</v>
      </c>
      <c r="C396" s="4" t="s">
        <v>19</v>
      </c>
      <c r="D396" s="4">
        <v>36</v>
      </c>
      <c r="E396" s="5" t="s">
        <v>13</v>
      </c>
      <c r="F396" s="9">
        <v>45037</v>
      </c>
      <c r="G396" s="4">
        <v>81</v>
      </c>
      <c r="H396" s="23">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Row],[Duration]]&lt;=30,"10 TO 30 MINS",
     CALLS[[#This Row],[Duration]]&lt;=120,"1 TO 2 HOURS",
     TRUE,"&gt; 2 HOURS")</f>
        <v>1 TO 2 HOURS</v>
      </c>
      <c r="L396">
        <f>ROUND(CALLS[[#This Row],[Satisfaction Rating]],0)</f>
        <v>4</v>
      </c>
      <c r="M396" cm="1">
        <f t="array" ref="M396">_xlfn.IFS(CALLS[[#This Row],[DURATION BACKET]]="UNDER 10 MINS",1,
     CALLS[[#This Row],[DURATION BACKET]]="10 TO 30 MINS",2,
     CALLS[[#This Row],[DURATION BACKET]]="1 TO 2 HOURS",3,
     CALLS[[#This Row],[DURATION BACKET]]="&gt; 2 HOURS",4)</f>
        <v>3</v>
      </c>
      <c r="N396">
        <f>(CALLS[[#This Row],[Purchase Amount]]/ 1)</f>
        <v>81</v>
      </c>
    </row>
    <row r="397" spans="2:14" x14ac:dyDescent="0.25">
      <c r="B397" s="22" t="s">
        <v>419</v>
      </c>
      <c r="C397" s="4" t="s">
        <v>12</v>
      </c>
      <c r="D397" s="4">
        <v>123</v>
      </c>
      <c r="E397" s="5" t="s">
        <v>11</v>
      </c>
      <c r="F397" s="9">
        <v>45037</v>
      </c>
      <c r="G397" s="4">
        <v>120</v>
      </c>
      <c r="H397" s="23">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Row],[Duration]]&lt;=30,"10 TO 30 MINS",
     CALLS[[#This Row],[Duration]]&lt;=120,"1 TO 2 HOURS",
     TRUE,"&gt; 2 HOURS")</f>
        <v>&gt; 2 HOURS</v>
      </c>
      <c r="L397">
        <f>ROUND(CALLS[[#This Row],[Satisfaction Rating]],0)</f>
        <v>4</v>
      </c>
      <c r="M397" cm="1">
        <f t="array" ref="M397">_xlfn.IFS(CALLS[[#This Row],[DURATION BACKET]]="UNDER 10 MINS",1,
     CALLS[[#This Row],[DURATION BACKET]]="10 TO 30 MINS",2,
     CALLS[[#This Row],[DURATION BACKET]]="1 TO 2 HOURS",3,
     CALLS[[#This Row],[DURATION BACKET]]="&gt; 2 HOURS",4)</f>
        <v>4</v>
      </c>
      <c r="N397">
        <f>(CALLS[[#This Row],[Purchase Amount]]/ 1)</f>
        <v>120</v>
      </c>
    </row>
    <row r="398" spans="2:14" x14ac:dyDescent="0.25">
      <c r="B398" s="22" t="s">
        <v>420</v>
      </c>
      <c r="C398" s="4" t="s">
        <v>24</v>
      </c>
      <c r="D398" s="4">
        <v>24</v>
      </c>
      <c r="E398" s="5" t="s">
        <v>6</v>
      </c>
      <c r="F398" s="9">
        <v>45037</v>
      </c>
      <c r="G398" s="4">
        <v>74</v>
      </c>
      <c r="H398" s="23">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Row],[Duration]]&lt;=30,"10 TO 30 MINS",
     CALLS[[#This Row],[Duration]]&lt;=120,"1 TO 2 HOURS",
     TRUE,"&gt; 2 HOURS")</f>
        <v>10 TO 30 MINS</v>
      </c>
      <c r="L398">
        <f>ROUND(CALLS[[#This Row],[Satisfaction Rating]],0)</f>
        <v>5</v>
      </c>
      <c r="M398" cm="1">
        <f t="array" ref="M398">_xlfn.IFS(CALLS[[#This Row],[DURATION BACKET]]="UNDER 10 MINS",1,
     CALLS[[#This Row],[DURATION BACKET]]="10 TO 30 MINS",2,
     CALLS[[#This Row],[DURATION BACKET]]="1 TO 2 HOURS",3,
     CALLS[[#This Row],[DURATION BACKET]]="&gt; 2 HOURS",4)</f>
        <v>2</v>
      </c>
      <c r="N398">
        <f>(CALLS[[#This Row],[Purchase Amount]]/ 1)</f>
        <v>74</v>
      </c>
    </row>
    <row r="399" spans="2:14" x14ac:dyDescent="0.25">
      <c r="B399" s="22" t="s">
        <v>421</v>
      </c>
      <c r="C399" s="4" t="s">
        <v>12</v>
      </c>
      <c r="D399" s="4">
        <v>43</v>
      </c>
      <c r="E399" s="5" t="s">
        <v>11</v>
      </c>
      <c r="F399" s="9">
        <v>45038</v>
      </c>
      <c r="G399" s="4">
        <v>128</v>
      </c>
      <c r="H399" s="23">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Row],[Duration]]&lt;=30,"10 TO 30 MINS",
     CALLS[[#This Row],[Duration]]&lt;=120,"1 TO 2 HOURS",
     TRUE,"&gt; 2 HOURS")</f>
        <v>1 TO 2 HOURS</v>
      </c>
      <c r="L399">
        <f>ROUND(CALLS[[#This Row],[Satisfaction Rating]],0)</f>
        <v>5</v>
      </c>
      <c r="M399" cm="1">
        <f t="array" ref="M399">_xlfn.IFS(CALLS[[#This Row],[DURATION BACKET]]="UNDER 10 MINS",1,
     CALLS[[#This Row],[DURATION BACKET]]="10 TO 30 MINS",2,
     CALLS[[#This Row],[DURATION BACKET]]="1 TO 2 HOURS",3,
     CALLS[[#This Row],[DURATION BACKET]]="&gt; 2 HOURS",4)</f>
        <v>3</v>
      </c>
      <c r="N399">
        <f>(CALLS[[#This Row],[Purchase Amount]]/ 1)</f>
        <v>128</v>
      </c>
    </row>
    <row r="400" spans="2:14" x14ac:dyDescent="0.25">
      <c r="B400" s="22" t="s">
        <v>422</v>
      </c>
      <c r="C400" s="4" t="s">
        <v>21</v>
      </c>
      <c r="D400" s="4">
        <v>95</v>
      </c>
      <c r="E400" s="5" t="s">
        <v>9</v>
      </c>
      <c r="F400" s="9">
        <v>45038</v>
      </c>
      <c r="G400" s="4">
        <v>21</v>
      </c>
      <c r="H400" s="23">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Row],[Duration]]&lt;=30,"10 TO 30 MINS",
     CALLS[[#This Row],[Duration]]&lt;=120,"1 TO 2 HOURS",
     TRUE,"&gt; 2 HOURS")</f>
        <v>1 TO 2 HOURS</v>
      </c>
      <c r="L400">
        <f>ROUND(CALLS[[#This Row],[Satisfaction Rating]],0)</f>
        <v>4</v>
      </c>
      <c r="M400" cm="1">
        <f t="array" ref="M400">_xlfn.IFS(CALLS[[#This Row],[DURATION BACKET]]="UNDER 10 MINS",1,
     CALLS[[#This Row],[DURATION BACKET]]="10 TO 30 MINS",2,
     CALLS[[#This Row],[DURATION BACKET]]="1 TO 2 HOURS",3,
     CALLS[[#This Row],[DURATION BACKET]]="&gt; 2 HOURS",4)</f>
        <v>3</v>
      </c>
      <c r="N400">
        <f>(CALLS[[#This Row],[Purchase Amount]]/ 1)</f>
        <v>21</v>
      </c>
    </row>
    <row r="401" spans="2:14" x14ac:dyDescent="0.25">
      <c r="B401" s="22" t="s">
        <v>423</v>
      </c>
      <c r="C401" s="4" t="s">
        <v>5</v>
      </c>
      <c r="D401" s="4">
        <v>53</v>
      </c>
      <c r="E401" s="5" t="s">
        <v>11</v>
      </c>
      <c r="F401" s="9">
        <v>45038</v>
      </c>
      <c r="G401" s="4">
        <v>110</v>
      </c>
      <c r="H401" s="23">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Row],[Duration]]&lt;=30,"10 TO 30 MINS",
     CALLS[[#This Row],[Duration]]&lt;=120,"1 TO 2 HOURS",
     TRUE,"&gt; 2 HOURS")</f>
        <v>1 TO 2 HOURS</v>
      </c>
      <c r="L401">
        <f>ROUND(CALLS[[#This Row],[Satisfaction Rating]],0)</f>
        <v>4</v>
      </c>
      <c r="M401" cm="1">
        <f t="array" ref="M401">_xlfn.IFS(CALLS[[#This Row],[DURATION BACKET]]="UNDER 10 MINS",1,
     CALLS[[#This Row],[DURATION BACKET]]="10 TO 30 MINS",2,
     CALLS[[#This Row],[DURATION BACKET]]="1 TO 2 HOURS",3,
     CALLS[[#This Row],[DURATION BACKET]]="&gt; 2 HOURS",4)</f>
        <v>3</v>
      </c>
      <c r="N401">
        <f>(CALLS[[#This Row],[Purchase Amount]]/ 1)</f>
        <v>110</v>
      </c>
    </row>
    <row r="402" spans="2:14" x14ac:dyDescent="0.25">
      <c r="B402" s="22" t="s">
        <v>424</v>
      </c>
      <c r="C402" s="4" t="s">
        <v>12</v>
      </c>
      <c r="D402" s="4">
        <v>113</v>
      </c>
      <c r="E402" s="5" t="s">
        <v>11</v>
      </c>
      <c r="F402" s="9">
        <v>45038</v>
      </c>
      <c r="G402" s="4">
        <v>145</v>
      </c>
      <c r="H402" s="23">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Row],[Duration]]&lt;=30,"10 TO 30 MINS",
     CALLS[[#This Row],[Duration]]&lt;=120,"1 TO 2 HOURS",
     TRUE,"&gt; 2 HOURS")</f>
        <v>1 TO 2 HOURS</v>
      </c>
      <c r="L402">
        <f>ROUND(CALLS[[#This Row],[Satisfaction Rating]],0)</f>
        <v>4</v>
      </c>
      <c r="M402" cm="1">
        <f t="array" ref="M402">_xlfn.IFS(CALLS[[#This Row],[DURATION BACKET]]="UNDER 10 MINS",1,
     CALLS[[#This Row],[DURATION BACKET]]="10 TO 30 MINS",2,
     CALLS[[#This Row],[DURATION BACKET]]="1 TO 2 HOURS",3,
     CALLS[[#This Row],[DURATION BACKET]]="&gt; 2 HOURS",4)</f>
        <v>3</v>
      </c>
      <c r="N402">
        <f>(CALLS[[#This Row],[Purchase Amount]]/ 1)</f>
        <v>145</v>
      </c>
    </row>
    <row r="403" spans="2:14" x14ac:dyDescent="0.25">
      <c r="B403" s="22" t="s">
        <v>425</v>
      </c>
      <c r="C403" s="4" t="s">
        <v>5</v>
      </c>
      <c r="D403" s="4">
        <v>89</v>
      </c>
      <c r="E403" s="5" t="s">
        <v>13</v>
      </c>
      <c r="F403" s="9">
        <v>45038</v>
      </c>
      <c r="G403" s="4">
        <v>129</v>
      </c>
      <c r="H403" s="2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Row],[Duration]]&lt;=30,"10 TO 30 MINS",
     CALLS[[#This Row],[Duration]]&lt;=120,"1 TO 2 HOURS",
     TRUE,"&gt; 2 HOURS")</f>
        <v>1 TO 2 HOURS</v>
      </c>
      <c r="L403">
        <f>ROUND(CALLS[[#This Row],[Satisfaction Rating]],0)</f>
        <v>4</v>
      </c>
      <c r="M403" cm="1">
        <f t="array" ref="M403">_xlfn.IFS(CALLS[[#This Row],[DURATION BACKET]]="UNDER 10 MINS",1,
     CALLS[[#This Row],[DURATION BACKET]]="10 TO 30 MINS",2,
     CALLS[[#This Row],[DURATION BACKET]]="1 TO 2 HOURS",3,
     CALLS[[#This Row],[DURATION BACKET]]="&gt; 2 HOURS",4)</f>
        <v>3</v>
      </c>
      <c r="N403">
        <f>(CALLS[[#This Row],[Purchase Amount]]/ 1)</f>
        <v>129</v>
      </c>
    </row>
    <row r="404" spans="2:14" x14ac:dyDescent="0.25">
      <c r="B404" s="22" t="s">
        <v>426</v>
      </c>
      <c r="C404" s="4" t="s">
        <v>18</v>
      </c>
      <c r="D404" s="4">
        <v>84</v>
      </c>
      <c r="E404" s="5" t="s">
        <v>10</v>
      </c>
      <c r="F404" s="9">
        <v>45038</v>
      </c>
      <c r="G404" s="4">
        <v>156</v>
      </c>
      <c r="H404" s="23">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Row],[Duration]]&lt;=30,"10 TO 30 MINS",
     CALLS[[#This Row],[Duration]]&lt;=120,"1 TO 2 HOURS",
     TRUE,"&gt; 2 HOURS")</f>
        <v>1 TO 2 HOURS</v>
      </c>
      <c r="L404">
        <f>ROUND(CALLS[[#This Row],[Satisfaction Rating]],0)</f>
        <v>3</v>
      </c>
      <c r="M404" cm="1">
        <f t="array" ref="M404">_xlfn.IFS(CALLS[[#This Row],[DURATION BACKET]]="UNDER 10 MINS",1,
     CALLS[[#This Row],[DURATION BACKET]]="10 TO 30 MINS",2,
     CALLS[[#This Row],[DURATION BACKET]]="1 TO 2 HOURS",3,
     CALLS[[#This Row],[DURATION BACKET]]="&gt; 2 HOURS",4)</f>
        <v>3</v>
      </c>
      <c r="N404">
        <f>(CALLS[[#This Row],[Purchase Amount]]/ 1)</f>
        <v>156</v>
      </c>
    </row>
    <row r="405" spans="2:14" x14ac:dyDescent="0.25">
      <c r="B405" s="22" t="s">
        <v>427</v>
      </c>
      <c r="C405" s="4" t="s">
        <v>24</v>
      </c>
      <c r="D405" s="4">
        <v>130</v>
      </c>
      <c r="E405" s="5" t="s">
        <v>11</v>
      </c>
      <c r="F405" s="9">
        <v>45039</v>
      </c>
      <c r="G405" s="4">
        <v>120</v>
      </c>
      <c r="H405" s="23">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Row],[Duration]]&lt;=30,"10 TO 30 MINS",
     CALLS[[#This Row],[Duration]]&lt;=120,"1 TO 2 HOURS",
     TRUE,"&gt; 2 HOURS")</f>
        <v>&gt; 2 HOURS</v>
      </c>
      <c r="L405">
        <f>ROUND(CALLS[[#This Row],[Satisfaction Rating]],0)</f>
        <v>4</v>
      </c>
      <c r="M405" cm="1">
        <f t="array" ref="M405">_xlfn.IFS(CALLS[[#This Row],[DURATION BACKET]]="UNDER 10 MINS",1,
     CALLS[[#This Row],[DURATION BACKET]]="10 TO 30 MINS",2,
     CALLS[[#This Row],[DURATION BACKET]]="1 TO 2 HOURS",3,
     CALLS[[#This Row],[DURATION BACKET]]="&gt; 2 HOURS",4)</f>
        <v>4</v>
      </c>
      <c r="N405">
        <f>(CALLS[[#This Row],[Purchase Amount]]/ 1)</f>
        <v>120</v>
      </c>
    </row>
    <row r="406" spans="2:14" x14ac:dyDescent="0.25">
      <c r="B406" s="22" t="s">
        <v>428</v>
      </c>
      <c r="C406" s="4" t="s">
        <v>21</v>
      </c>
      <c r="D406" s="4">
        <v>163</v>
      </c>
      <c r="E406" s="5" t="s">
        <v>13</v>
      </c>
      <c r="F406" s="9">
        <v>45039</v>
      </c>
      <c r="G406" s="4">
        <v>62</v>
      </c>
      <c r="H406" s="23">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Row],[Duration]]&lt;=30,"10 TO 30 MINS",
     CALLS[[#This Row],[Duration]]&lt;=120,"1 TO 2 HOURS",
     TRUE,"&gt; 2 HOURS")</f>
        <v>&gt; 2 HOURS</v>
      </c>
      <c r="L406">
        <f>ROUND(CALLS[[#This Row],[Satisfaction Rating]],0)</f>
        <v>3</v>
      </c>
      <c r="M406" cm="1">
        <f t="array" ref="M406">_xlfn.IFS(CALLS[[#This Row],[DURATION BACKET]]="UNDER 10 MINS",1,
     CALLS[[#This Row],[DURATION BACKET]]="10 TO 30 MINS",2,
     CALLS[[#This Row],[DURATION BACKET]]="1 TO 2 HOURS",3,
     CALLS[[#This Row],[DURATION BACKET]]="&gt; 2 HOURS",4)</f>
        <v>4</v>
      </c>
      <c r="N406">
        <f>(CALLS[[#This Row],[Purchase Amount]]/ 1)</f>
        <v>62</v>
      </c>
    </row>
    <row r="407" spans="2:14" x14ac:dyDescent="0.25">
      <c r="B407" s="22" t="s">
        <v>429</v>
      </c>
      <c r="C407" s="4" t="s">
        <v>22</v>
      </c>
      <c r="D407" s="4">
        <v>127</v>
      </c>
      <c r="E407" s="5" t="s">
        <v>11</v>
      </c>
      <c r="F407" s="9">
        <v>45039</v>
      </c>
      <c r="G407" s="4">
        <v>160</v>
      </c>
      <c r="H407" s="23">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Row],[Duration]]&lt;=30,"10 TO 30 MINS",
     CALLS[[#This Row],[Duration]]&lt;=120,"1 TO 2 HOURS",
     TRUE,"&gt; 2 HOURS")</f>
        <v>&gt; 2 HOURS</v>
      </c>
      <c r="L407">
        <f>ROUND(CALLS[[#This Row],[Satisfaction Rating]],0)</f>
        <v>3</v>
      </c>
      <c r="M407" cm="1">
        <f t="array" ref="M407">_xlfn.IFS(CALLS[[#This Row],[DURATION BACKET]]="UNDER 10 MINS",1,
     CALLS[[#This Row],[DURATION BACKET]]="10 TO 30 MINS",2,
     CALLS[[#This Row],[DURATION BACKET]]="1 TO 2 HOURS",3,
     CALLS[[#This Row],[DURATION BACKET]]="&gt; 2 HOURS",4)</f>
        <v>4</v>
      </c>
      <c r="N407">
        <f>(CALLS[[#This Row],[Purchase Amount]]/ 1)</f>
        <v>160</v>
      </c>
    </row>
    <row r="408" spans="2:14" x14ac:dyDescent="0.25">
      <c r="B408" s="22" t="s">
        <v>430</v>
      </c>
      <c r="C408" s="4" t="s">
        <v>12</v>
      </c>
      <c r="D408" s="4">
        <v>50</v>
      </c>
      <c r="E408" s="5" t="s">
        <v>11</v>
      </c>
      <c r="F408" s="9">
        <v>45039</v>
      </c>
      <c r="G408" s="4">
        <v>56</v>
      </c>
      <c r="H408" s="23">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Row],[Duration]]&lt;=30,"10 TO 30 MINS",
     CALLS[[#This Row],[Duration]]&lt;=120,"1 TO 2 HOURS",
     TRUE,"&gt; 2 HOURS")</f>
        <v>1 TO 2 HOURS</v>
      </c>
      <c r="L408">
        <f>ROUND(CALLS[[#This Row],[Satisfaction Rating]],0)</f>
        <v>5</v>
      </c>
      <c r="M408" cm="1">
        <f t="array" ref="M408">_xlfn.IFS(CALLS[[#This Row],[DURATION BACKET]]="UNDER 10 MINS",1,
     CALLS[[#This Row],[DURATION BACKET]]="10 TO 30 MINS",2,
     CALLS[[#This Row],[DURATION BACKET]]="1 TO 2 HOURS",3,
     CALLS[[#This Row],[DURATION BACKET]]="&gt; 2 HOURS",4)</f>
        <v>3</v>
      </c>
      <c r="N408">
        <f>(CALLS[[#This Row],[Purchase Amount]]/ 1)</f>
        <v>56</v>
      </c>
    </row>
    <row r="409" spans="2:14" x14ac:dyDescent="0.25">
      <c r="B409" s="22" t="s">
        <v>431</v>
      </c>
      <c r="C409" s="4" t="s">
        <v>15</v>
      </c>
      <c r="D409" s="4">
        <v>88</v>
      </c>
      <c r="E409" s="5" t="s">
        <v>6</v>
      </c>
      <c r="F409" s="9">
        <v>45039</v>
      </c>
      <c r="G409" s="4">
        <v>72</v>
      </c>
      <c r="H409" s="23">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Row],[Duration]]&lt;=30,"10 TO 30 MINS",
     CALLS[[#This Row],[Duration]]&lt;=120,"1 TO 2 HOURS",
     TRUE,"&gt; 2 HOURS")</f>
        <v>1 TO 2 HOURS</v>
      </c>
      <c r="L409">
        <f>ROUND(CALLS[[#This Row],[Satisfaction Rating]],0)</f>
        <v>4</v>
      </c>
      <c r="M409" cm="1">
        <f t="array" ref="M409">_xlfn.IFS(CALLS[[#This Row],[DURATION BACKET]]="UNDER 10 MINS",1,
     CALLS[[#This Row],[DURATION BACKET]]="10 TO 30 MINS",2,
     CALLS[[#This Row],[DURATION BACKET]]="1 TO 2 HOURS",3,
     CALLS[[#This Row],[DURATION BACKET]]="&gt; 2 HOURS",4)</f>
        <v>3</v>
      </c>
      <c r="N409">
        <f>(CALLS[[#This Row],[Purchase Amount]]/ 1)</f>
        <v>72</v>
      </c>
    </row>
    <row r="410" spans="2:14" x14ac:dyDescent="0.25">
      <c r="B410" s="22" t="s">
        <v>432</v>
      </c>
      <c r="C410" s="4" t="s">
        <v>12</v>
      </c>
      <c r="D410" s="4">
        <v>139</v>
      </c>
      <c r="E410" s="5" t="s">
        <v>9</v>
      </c>
      <c r="F410" s="9">
        <v>45040</v>
      </c>
      <c r="G410" s="4">
        <v>81</v>
      </c>
      <c r="H410" s="23">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Row],[Duration]]&lt;=30,"10 TO 30 MINS",
     CALLS[[#This Row],[Duration]]&lt;=120,"1 TO 2 HOURS",
     TRUE,"&gt; 2 HOURS")</f>
        <v>&gt; 2 HOURS</v>
      </c>
      <c r="L410">
        <f>ROUND(CALLS[[#This Row],[Satisfaction Rating]],0)</f>
        <v>5</v>
      </c>
      <c r="M410" cm="1">
        <f t="array" ref="M410">_xlfn.IFS(CALLS[[#This Row],[DURATION BACKET]]="UNDER 10 MINS",1,
     CALLS[[#This Row],[DURATION BACKET]]="10 TO 30 MINS",2,
     CALLS[[#This Row],[DURATION BACKET]]="1 TO 2 HOURS",3,
     CALLS[[#This Row],[DURATION BACKET]]="&gt; 2 HOURS",4)</f>
        <v>4</v>
      </c>
      <c r="N410">
        <f>(CALLS[[#This Row],[Purchase Amount]]/ 1)</f>
        <v>81</v>
      </c>
    </row>
    <row r="411" spans="2:14" x14ac:dyDescent="0.25">
      <c r="B411" s="22" t="s">
        <v>433</v>
      </c>
      <c r="C411" s="4" t="s">
        <v>21</v>
      </c>
      <c r="D411" s="4">
        <v>111</v>
      </c>
      <c r="E411" s="5" t="s">
        <v>11</v>
      </c>
      <c r="F411" s="9">
        <v>45040</v>
      </c>
      <c r="G411" s="4">
        <v>144</v>
      </c>
      <c r="H411" s="23">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Row],[Duration]]&lt;=30,"10 TO 30 MINS",
     CALLS[[#This Row],[Duration]]&lt;=120,"1 TO 2 HOURS",
     TRUE,"&gt; 2 HOURS")</f>
        <v>1 TO 2 HOURS</v>
      </c>
      <c r="L411">
        <f>ROUND(CALLS[[#This Row],[Satisfaction Rating]],0)</f>
        <v>4</v>
      </c>
      <c r="M411" cm="1">
        <f t="array" ref="M411">_xlfn.IFS(CALLS[[#This Row],[DURATION BACKET]]="UNDER 10 MINS",1,
     CALLS[[#This Row],[DURATION BACKET]]="10 TO 30 MINS",2,
     CALLS[[#This Row],[DURATION BACKET]]="1 TO 2 HOURS",3,
     CALLS[[#This Row],[DURATION BACKET]]="&gt; 2 HOURS",4)</f>
        <v>3</v>
      </c>
      <c r="N411">
        <f>(CALLS[[#This Row],[Purchase Amount]]/ 1)</f>
        <v>144</v>
      </c>
    </row>
    <row r="412" spans="2:14" x14ac:dyDescent="0.25">
      <c r="B412" s="22" t="s">
        <v>434</v>
      </c>
      <c r="C412" s="4" t="s">
        <v>23</v>
      </c>
      <c r="D412" s="4">
        <v>115</v>
      </c>
      <c r="E412" s="5" t="s">
        <v>9</v>
      </c>
      <c r="F412" s="9">
        <v>45040</v>
      </c>
      <c r="G412" s="4">
        <v>111</v>
      </c>
      <c r="H412" s="23">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Row],[Duration]]&lt;=30,"10 TO 30 MINS",
     CALLS[[#This Row],[Duration]]&lt;=120,"1 TO 2 HOURS",
     TRUE,"&gt; 2 HOURS")</f>
        <v>1 TO 2 HOURS</v>
      </c>
      <c r="L412">
        <f>ROUND(CALLS[[#This Row],[Satisfaction Rating]],0)</f>
        <v>4</v>
      </c>
      <c r="M412" cm="1">
        <f t="array" ref="M412">_xlfn.IFS(CALLS[[#This Row],[DURATION BACKET]]="UNDER 10 MINS",1,
     CALLS[[#This Row],[DURATION BACKET]]="10 TO 30 MINS",2,
     CALLS[[#This Row],[DURATION BACKET]]="1 TO 2 HOURS",3,
     CALLS[[#This Row],[DURATION BACKET]]="&gt; 2 HOURS",4)</f>
        <v>3</v>
      </c>
      <c r="N412">
        <f>(CALLS[[#This Row],[Purchase Amount]]/ 1)</f>
        <v>111</v>
      </c>
    </row>
    <row r="413" spans="2:14" x14ac:dyDescent="0.25">
      <c r="B413" s="22" t="s">
        <v>435</v>
      </c>
      <c r="C413" s="4" t="s">
        <v>5</v>
      </c>
      <c r="D413" s="4">
        <v>26</v>
      </c>
      <c r="E413" s="5" t="s">
        <v>13</v>
      </c>
      <c r="F413" s="9">
        <v>45040</v>
      </c>
      <c r="G413" s="4">
        <v>43</v>
      </c>
      <c r="H413" s="2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Row],[Duration]]&lt;=30,"10 TO 30 MINS",
     CALLS[[#This Row],[Duration]]&lt;=120,"1 TO 2 HOURS",
     TRUE,"&gt; 2 HOURS")</f>
        <v>10 TO 30 MINS</v>
      </c>
      <c r="L413">
        <f>ROUND(CALLS[[#This Row],[Satisfaction Rating]],0)</f>
        <v>4</v>
      </c>
      <c r="M413" cm="1">
        <f t="array" ref="M413">_xlfn.IFS(CALLS[[#This Row],[DURATION BACKET]]="UNDER 10 MINS",1,
     CALLS[[#This Row],[DURATION BACKET]]="10 TO 30 MINS",2,
     CALLS[[#This Row],[DURATION BACKET]]="1 TO 2 HOURS",3,
     CALLS[[#This Row],[DURATION BACKET]]="&gt; 2 HOURS",4)</f>
        <v>2</v>
      </c>
      <c r="N413">
        <f>(CALLS[[#This Row],[Purchase Amount]]/ 1)</f>
        <v>43</v>
      </c>
    </row>
    <row r="414" spans="2:14" x14ac:dyDescent="0.25">
      <c r="B414" s="22" t="s">
        <v>436</v>
      </c>
      <c r="C414" s="4" t="s">
        <v>18</v>
      </c>
      <c r="D414" s="4">
        <v>131</v>
      </c>
      <c r="E414" s="5" t="s">
        <v>6</v>
      </c>
      <c r="F414" s="9">
        <v>45040</v>
      </c>
      <c r="G414" s="4">
        <v>41</v>
      </c>
      <c r="H414" s="23">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Row],[Duration]]&lt;=30,"10 TO 30 MINS",
     CALLS[[#This Row],[Duration]]&lt;=120,"1 TO 2 HOURS",
     TRUE,"&gt; 2 HOURS")</f>
        <v>&gt; 2 HOURS</v>
      </c>
      <c r="L414">
        <f>ROUND(CALLS[[#This Row],[Satisfaction Rating]],0)</f>
        <v>5</v>
      </c>
      <c r="M414" cm="1">
        <f t="array" ref="M414">_xlfn.IFS(CALLS[[#This Row],[DURATION BACKET]]="UNDER 10 MINS",1,
     CALLS[[#This Row],[DURATION BACKET]]="10 TO 30 MINS",2,
     CALLS[[#This Row],[DURATION BACKET]]="1 TO 2 HOURS",3,
     CALLS[[#This Row],[DURATION BACKET]]="&gt; 2 HOURS",4)</f>
        <v>4</v>
      </c>
      <c r="N414">
        <f>(CALLS[[#This Row],[Purchase Amount]]/ 1)</f>
        <v>41</v>
      </c>
    </row>
    <row r="415" spans="2:14" x14ac:dyDescent="0.25">
      <c r="B415" s="22" t="s">
        <v>437</v>
      </c>
      <c r="C415" s="4" t="s">
        <v>23</v>
      </c>
      <c r="D415" s="4">
        <v>27</v>
      </c>
      <c r="E415" s="5" t="s">
        <v>6</v>
      </c>
      <c r="F415" s="9">
        <v>45040</v>
      </c>
      <c r="G415" s="4">
        <v>74</v>
      </c>
      <c r="H415" s="23">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Row],[Duration]]&lt;=30,"10 TO 30 MINS",
     CALLS[[#This Row],[Duration]]&lt;=120,"1 TO 2 HOURS",
     TRUE,"&gt; 2 HOURS")</f>
        <v>10 TO 30 MINS</v>
      </c>
      <c r="L415">
        <f>ROUND(CALLS[[#This Row],[Satisfaction Rating]],0)</f>
        <v>4</v>
      </c>
      <c r="M415" cm="1">
        <f t="array" ref="M415">_xlfn.IFS(CALLS[[#This Row],[DURATION BACKET]]="UNDER 10 MINS",1,
     CALLS[[#This Row],[DURATION BACKET]]="10 TO 30 MINS",2,
     CALLS[[#This Row],[DURATION BACKET]]="1 TO 2 HOURS",3,
     CALLS[[#This Row],[DURATION BACKET]]="&gt; 2 HOURS",4)</f>
        <v>2</v>
      </c>
      <c r="N415">
        <f>(CALLS[[#This Row],[Purchase Amount]]/ 1)</f>
        <v>74</v>
      </c>
    </row>
    <row r="416" spans="2:14" x14ac:dyDescent="0.25">
      <c r="B416" s="22" t="s">
        <v>438</v>
      </c>
      <c r="C416" s="4" t="s">
        <v>16</v>
      </c>
      <c r="D416" s="4">
        <v>75</v>
      </c>
      <c r="E416" s="5" t="s">
        <v>11</v>
      </c>
      <c r="F416" s="9">
        <v>45040</v>
      </c>
      <c r="G416" s="4">
        <v>43</v>
      </c>
      <c r="H416" s="23">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Row],[Duration]]&lt;=30,"10 TO 30 MINS",
     CALLS[[#This Row],[Duration]]&lt;=120,"1 TO 2 HOURS",
     TRUE,"&gt; 2 HOURS")</f>
        <v>1 TO 2 HOURS</v>
      </c>
      <c r="L416">
        <f>ROUND(CALLS[[#This Row],[Satisfaction Rating]],0)</f>
        <v>5</v>
      </c>
      <c r="M416" cm="1">
        <f t="array" ref="M416">_xlfn.IFS(CALLS[[#This Row],[DURATION BACKET]]="UNDER 10 MINS",1,
     CALLS[[#This Row],[DURATION BACKET]]="10 TO 30 MINS",2,
     CALLS[[#This Row],[DURATION BACKET]]="1 TO 2 HOURS",3,
     CALLS[[#This Row],[DURATION BACKET]]="&gt; 2 HOURS",4)</f>
        <v>3</v>
      </c>
      <c r="N416">
        <f>(CALLS[[#This Row],[Purchase Amount]]/ 1)</f>
        <v>43</v>
      </c>
    </row>
    <row r="417" spans="2:14" x14ac:dyDescent="0.25">
      <c r="B417" s="22" t="s">
        <v>439</v>
      </c>
      <c r="C417" s="4" t="s">
        <v>7</v>
      </c>
      <c r="D417" s="4">
        <v>123</v>
      </c>
      <c r="E417" s="5" t="s">
        <v>6</v>
      </c>
      <c r="F417" s="9">
        <v>45040</v>
      </c>
      <c r="G417" s="4">
        <v>128</v>
      </c>
      <c r="H417" s="23">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Row],[Duration]]&lt;=30,"10 TO 30 MINS",
     CALLS[[#This Row],[Duration]]&lt;=120,"1 TO 2 HOURS",
     TRUE,"&gt; 2 HOURS")</f>
        <v>&gt; 2 HOURS</v>
      </c>
      <c r="L417">
        <f>ROUND(CALLS[[#This Row],[Satisfaction Rating]],0)</f>
        <v>4</v>
      </c>
      <c r="M417" cm="1">
        <f t="array" ref="M417">_xlfn.IFS(CALLS[[#This Row],[DURATION BACKET]]="UNDER 10 MINS",1,
     CALLS[[#This Row],[DURATION BACKET]]="10 TO 30 MINS",2,
     CALLS[[#This Row],[DURATION BACKET]]="1 TO 2 HOURS",3,
     CALLS[[#This Row],[DURATION BACKET]]="&gt; 2 HOURS",4)</f>
        <v>4</v>
      </c>
      <c r="N417">
        <f>(CALLS[[#This Row],[Purchase Amount]]/ 1)</f>
        <v>128</v>
      </c>
    </row>
    <row r="418" spans="2:14" x14ac:dyDescent="0.25">
      <c r="B418" s="22" t="s">
        <v>440</v>
      </c>
      <c r="C418" s="4" t="s">
        <v>20</v>
      </c>
      <c r="D418" s="4">
        <v>129</v>
      </c>
      <c r="E418" s="5" t="s">
        <v>6</v>
      </c>
      <c r="F418" s="9">
        <v>45041</v>
      </c>
      <c r="G418" s="4">
        <v>144</v>
      </c>
      <c r="H418" s="23">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Row],[Duration]]&lt;=30,"10 TO 30 MINS",
     CALLS[[#This Row],[Duration]]&lt;=120,"1 TO 2 HOURS",
     TRUE,"&gt; 2 HOURS")</f>
        <v>&gt; 2 HOURS</v>
      </c>
      <c r="L418">
        <f>ROUND(CALLS[[#This Row],[Satisfaction Rating]],0)</f>
        <v>4</v>
      </c>
      <c r="M418" cm="1">
        <f t="array" ref="M418">_xlfn.IFS(CALLS[[#This Row],[DURATION BACKET]]="UNDER 10 MINS",1,
     CALLS[[#This Row],[DURATION BACKET]]="10 TO 30 MINS",2,
     CALLS[[#This Row],[DURATION BACKET]]="1 TO 2 HOURS",3,
     CALLS[[#This Row],[DURATION BACKET]]="&gt; 2 HOURS",4)</f>
        <v>4</v>
      </c>
      <c r="N418">
        <f>(CALLS[[#This Row],[Purchase Amount]]/ 1)</f>
        <v>144</v>
      </c>
    </row>
    <row r="419" spans="2:14" x14ac:dyDescent="0.25">
      <c r="B419" s="22" t="s">
        <v>441</v>
      </c>
      <c r="C419" s="4" t="s">
        <v>16</v>
      </c>
      <c r="D419" s="4">
        <v>124</v>
      </c>
      <c r="E419" s="5" t="s">
        <v>9</v>
      </c>
      <c r="F419" s="9">
        <v>45041</v>
      </c>
      <c r="G419" s="4">
        <v>132</v>
      </c>
      <c r="H419" s="23">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Row],[Duration]]&lt;=30,"10 TO 30 MINS",
     CALLS[[#This Row],[Duration]]&lt;=120,"1 TO 2 HOURS",
     TRUE,"&gt; 2 HOURS")</f>
        <v>&gt; 2 HOURS</v>
      </c>
      <c r="L419">
        <f>ROUND(CALLS[[#This Row],[Satisfaction Rating]],0)</f>
        <v>5</v>
      </c>
      <c r="M419" cm="1">
        <f t="array" ref="M419">_xlfn.IFS(CALLS[[#This Row],[DURATION BACKET]]="UNDER 10 MINS",1,
     CALLS[[#This Row],[DURATION BACKET]]="10 TO 30 MINS",2,
     CALLS[[#This Row],[DURATION BACKET]]="1 TO 2 HOURS",3,
     CALLS[[#This Row],[DURATION BACKET]]="&gt; 2 HOURS",4)</f>
        <v>4</v>
      </c>
      <c r="N419">
        <f>(CALLS[[#This Row],[Purchase Amount]]/ 1)</f>
        <v>132</v>
      </c>
    </row>
    <row r="420" spans="2:14" x14ac:dyDescent="0.25">
      <c r="B420" s="22" t="s">
        <v>442</v>
      </c>
      <c r="C420" s="4" t="s">
        <v>23</v>
      </c>
      <c r="D420" s="4">
        <v>108</v>
      </c>
      <c r="E420" s="5" t="s">
        <v>9</v>
      </c>
      <c r="F420" s="9">
        <v>45041</v>
      </c>
      <c r="G420" s="4">
        <v>180</v>
      </c>
      <c r="H420" s="23">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Row],[Duration]]&lt;=30,"10 TO 30 MINS",
     CALLS[[#This Row],[Duration]]&lt;=120,"1 TO 2 HOURS",
     TRUE,"&gt; 2 HOURS")</f>
        <v>1 TO 2 HOURS</v>
      </c>
      <c r="L420">
        <f>ROUND(CALLS[[#This Row],[Satisfaction Rating]],0)</f>
        <v>4</v>
      </c>
      <c r="M420" cm="1">
        <f t="array" ref="M420">_xlfn.IFS(CALLS[[#This Row],[DURATION BACKET]]="UNDER 10 MINS",1,
     CALLS[[#This Row],[DURATION BACKET]]="10 TO 30 MINS",2,
     CALLS[[#This Row],[DURATION BACKET]]="1 TO 2 HOURS",3,
     CALLS[[#This Row],[DURATION BACKET]]="&gt; 2 HOURS",4)</f>
        <v>3</v>
      </c>
      <c r="N420">
        <f>(CALLS[[#This Row],[Purchase Amount]]/ 1)</f>
        <v>180</v>
      </c>
    </row>
    <row r="421" spans="2:14" x14ac:dyDescent="0.25">
      <c r="B421" s="22" t="s">
        <v>443</v>
      </c>
      <c r="C421" s="4" t="s">
        <v>8</v>
      </c>
      <c r="D421" s="4">
        <v>15</v>
      </c>
      <c r="E421" s="5" t="s">
        <v>9</v>
      </c>
      <c r="F421" s="9">
        <v>45041</v>
      </c>
      <c r="G421" s="4">
        <v>31</v>
      </c>
      <c r="H421" s="23">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Row],[Duration]]&lt;=30,"10 TO 30 MINS",
     CALLS[[#This Row],[Duration]]&lt;=120,"1 TO 2 HOURS",
     TRUE,"&gt; 2 HOURS")</f>
        <v>10 TO 30 MINS</v>
      </c>
      <c r="L421">
        <f>ROUND(CALLS[[#This Row],[Satisfaction Rating]],0)</f>
        <v>4</v>
      </c>
      <c r="M421" cm="1">
        <f t="array" ref="M421">_xlfn.IFS(CALLS[[#This Row],[DURATION BACKET]]="UNDER 10 MINS",1,
     CALLS[[#This Row],[DURATION BACKET]]="10 TO 30 MINS",2,
     CALLS[[#This Row],[DURATION BACKET]]="1 TO 2 HOURS",3,
     CALLS[[#This Row],[DURATION BACKET]]="&gt; 2 HOURS",4)</f>
        <v>2</v>
      </c>
      <c r="N421">
        <f>(CALLS[[#This Row],[Purchase Amount]]/ 1)</f>
        <v>31</v>
      </c>
    </row>
    <row r="422" spans="2:14" x14ac:dyDescent="0.25">
      <c r="B422" s="22" t="s">
        <v>444</v>
      </c>
      <c r="C422" s="4" t="s">
        <v>23</v>
      </c>
      <c r="D422" s="4">
        <v>66</v>
      </c>
      <c r="E422" s="5" t="s">
        <v>9</v>
      </c>
      <c r="F422" s="9">
        <v>45041</v>
      </c>
      <c r="G422" s="4">
        <v>102</v>
      </c>
      <c r="H422" s="23">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Row],[Duration]]&lt;=30,"10 TO 30 MINS",
     CALLS[[#This Row],[Duration]]&lt;=120,"1 TO 2 HOURS",
     TRUE,"&gt; 2 HOURS")</f>
        <v>1 TO 2 HOURS</v>
      </c>
      <c r="L422">
        <f>ROUND(CALLS[[#This Row],[Satisfaction Rating]],0)</f>
        <v>4</v>
      </c>
      <c r="M422" cm="1">
        <f t="array" ref="M422">_xlfn.IFS(CALLS[[#This Row],[DURATION BACKET]]="UNDER 10 MINS",1,
     CALLS[[#This Row],[DURATION BACKET]]="10 TO 30 MINS",2,
     CALLS[[#This Row],[DURATION BACKET]]="1 TO 2 HOURS",3,
     CALLS[[#This Row],[DURATION BACKET]]="&gt; 2 HOURS",4)</f>
        <v>3</v>
      </c>
      <c r="N422">
        <f>(CALLS[[#This Row],[Purchase Amount]]/ 1)</f>
        <v>102</v>
      </c>
    </row>
    <row r="423" spans="2:14" x14ac:dyDescent="0.25">
      <c r="B423" s="22" t="s">
        <v>445</v>
      </c>
      <c r="C423" s="4" t="s">
        <v>15</v>
      </c>
      <c r="D423" s="4">
        <v>126</v>
      </c>
      <c r="E423" s="5" t="s">
        <v>11</v>
      </c>
      <c r="F423" s="9">
        <v>45042</v>
      </c>
      <c r="G423" s="4">
        <v>175</v>
      </c>
      <c r="H423" s="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Row],[Duration]]&lt;=30,"10 TO 30 MINS",
     CALLS[[#This Row],[Duration]]&lt;=120,"1 TO 2 HOURS",
     TRUE,"&gt; 2 HOURS")</f>
        <v>&gt; 2 HOURS</v>
      </c>
      <c r="L423">
        <f>ROUND(CALLS[[#This Row],[Satisfaction Rating]],0)</f>
        <v>5</v>
      </c>
      <c r="M423" cm="1">
        <f t="array" ref="M423">_xlfn.IFS(CALLS[[#This Row],[DURATION BACKET]]="UNDER 10 MINS",1,
     CALLS[[#This Row],[DURATION BACKET]]="10 TO 30 MINS",2,
     CALLS[[#This Row],[DURATION BACKET]]="1 TO 2 HOURS",3,
     CALLS[[#This Row],[DURATION BACKET]]="&gt; 2 HOURS",4)</f>
        <v>4</v>
      </c>
      <c r="N423">
        <f>(CALLS[[#This Row],[Purchase Amount]]/ 1)</f>
        <v>175</v>
      </c>
    </row>
    <row r="424" spans="2:14" x14ac:dyDescent="0.25">
      <c r="B424" s="22" t="s">
        <v>446</v>
      </c>
      <c r="C424" s="4" t="s">
        <v>16</v>
      </c>
      <c r="D424" s="4">
        <v>26</v>
      </c>
      <c r="E424" s="5" t="s">
        <v>10</v>
      </c>
      <c r="F424" s="9">
        <v>45042</v>
      </c>
      <c r="G424" s="4">
        <v>87</v>
      </c>
      <c r="H424" s="23">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Row],[Duration]]&lt;=30,"10 TO 30 MINS",
     CALLS[[#This Row],[Duration]]&lt;=120,"1 TO 2 HOURS",
     TRUE,"&gt; 2 HOURS")</f>
        <v>10 TO 30 MINS</v>
      </c>
      <c r="L424">
        <f>ROUND(CALLS[[#This Row],[Satisfaction Rating]],0)</f>
        <v>5</v>
      </c>
      <c r="M424" cm="1">
        <f t="array" ref="M424">_xlfn.IFS(CALLS[[#This Row],[DURATION BACKET]]="UNDER 10 MINS",1,
     CALLS[[#This Row],[DURATION BACKET]]="10 TO 30 MINS",2,
     CALLS[[#This Row],[DURATION BACKET]]="1 TO 2 HOURS",3,
     CALLS[[#This Row],[DURATION BACKET]]="&gt; 2 HOURS",4)</f>
        <v>2</v>
      </c>
      <c r="N424">
        <f>(CALLS[[#This Row],[Purchase Amount]]/ 1)</f>
        <v>87</v>
      </c>
    </row>
    <row r="425" spans="2:14" x14ac:dyDescent="0.25">
      <c r="B425" s="22" t="s">
        <v>447</v>
      </c>
      <c r="C425" s="4" t="s">
        <v>24</v>
      </c>
      <c r="D425" s="4">
        <v>105</v>
      </c>
      <c r="E425" s="5" t="s">
        <v>11</v>
      </c>
      <c r="F425" s="9">
        <v>45042</v>
      </c>
      <c r="G425" s="4">
        <v>66</v>
      </c>
      <c r="H425" s="23">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Row],[Duration]]&lt;=30,"10 TO 30 MINS",
     CALLS[[#This Row],[Duration]]&lt;=120,"1 TO 2 HOURS",
     TRUE,"&gt; 2 HOURS")</f>
        <v>1 TO 2 HOURS</v>
      </c>
      <c r="L425">
        <f>ROUND(CALLS[[#This Row],[Satisfaction Rating]],0)</f>
        <v>4</v>
      </c>
      <c r="M425" cm="1">
        <f t="array" ref="M425">_xlfn.IFS(CALLS[[#This Row],[DURATION BACKET]]="UNDER 10 MINS",1,
     CALLS[[#This Row],[DURATION BACKET]]="10 TO 30 MINS",2,
     CALLS[[#This Row],[DURATION BACKET]]="1 TO 2 HOURS",3,
     CALLS[[#This Row],[DURATION BACKET]]="&gt; 2 HOURS",4)</f>
        <v>3</v>
      </c>
      <c r="N425">
        <f>(CALLS[[#This Row],[Purchase Amount]]/ 1)</f>
        <v>66</v>
      </c>
    </row>
    <row r="426" spans="2:14" x14ac:dyDescent="0.25">
      <c r="B426" s="22" t="s">
        <v>448</v>
      </c>
      <c r="C426" s="4" t="s">
        <v>24</v>
      </c>
      <c r="D426" s="4">
        <v>31</v>
      </c>
      <c r="E426" s="5" t="s">
        <v>11</v>
      </c>
      <c r="F426" s="9">
        <v>45042</v>
      </c>
      <c r="G426" s="4">
        <v>25</v>
      </c>
      <c r="H426" s="23">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Row],[Duration]]&lt;=30,"10 TO 30 MINS",
     CALLS[[#This Row],[Duration]]&lt;=120,"1 TO 2 HOURS",
     TRUE,"&gt; 2 HOURS")</f>
        <v>1 TO 2 HOURS</v>
      </c>
      <c r="L426">
        <f>ROUND(CALLS[[#This Row],[Satisfaction Rating]],0)</f>
        <v>3</v>
      </c>
      <c r="M426" cm="1">
        <f t="array" ref="M426">_xlfn.IFS(CALLS[[#This Row],[DURATION BACKET]]="UNDER 10 MINS",1,
     CALLS[[#This Row],[DURATION BACKET]]="10 TO 30 MINS",2,
     CALLS[[#This Row],[DURATION BACKET]]="1 TO 2 HOURS",3,
     CALLS[[#This Row],[DURATION BACKET]]="&gt; 2 HOURS",4)</f>
        <v>3</v>
      </c>
      <c r="N426">
        <f>(CALLS[[#This Row],[Purchase Amount]]/ 1)</f>
        <v>25</v>
      </c>
    </row>
    <row r="427" spans="2:14" x14ac:dyDescent="0.25">
      <c r="B427" s="22" t="s">
        <v>449</v>
      </c>
      <c r="C427" s="4" t="s">
        <v>23</v>
      </c>
      <c r="D427" s="4">
        <v>109</v>
      </c>
      <c r="E427" s="5" t="s">
        <v>9</v>
      </c>
      <c r="F427" s="9">
        <v>45042</v>
      </c>
      <c r="G427" s="4">
        <v>126</v>
      </c>
      <c r="H427" s="23">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Row],[Duration]]&lt;=30,"10 TO 30 MINS",
     CALLS[[#This Row],[Duration]]&lt;=120,"1 TO 2 HOURS",
     TRUE,"&gt; 2 HOURS")</f>
        <v>1 TO 2 HOURS</v>
      </c>
      <c r="L427">
        <f>ROUND(CALLS[[#This Row],[Satisfaction Rating]],0)</f>
        <v>3</v>
      </c>
      <c r="M427" cm="1">
        <f t="array" ref="M427">_xlfn.IFS(CALLS[[#This Row],[DURATION BACKET]]="UNDER 10 MINS",1,
     CALLS[[#This Row],[DURATION BACKET]]="10 TO 30 MINS",2,
     CALLS[[#This Row],[DURATION BACKET]]="1 TO 2 HOURS",3,
     CALLS[[#This Row],[DURATION BACKET]]="&gt; 2 HOURS",4)</f>
        <v>3</v>
      </c>
      <c r="N427">
        <f>(CALLS[[#This Row],[Purchase Amount]]/ 1)</f>
        <v>126</v>
      </c>
    </row>
    <row r="428" spans="2:14" x14ac:dyDescent="0.25">
      <c r="B428" s="22" t="s">
        <v>450</v>
      </c>
      <c r="C428" s="4" t="s">
        <v>20</v>
      </c>
      <c r="D428" s="4">
        <v>113</v>
      </c>
      <c r="E428" s="5" t="s">
        <v>13</v>
      </c>
      <c r="F428" s="9">
        <v>45043</v>
      </c>
      <c r="G428" s="4">
        <v>42</v>
      </c>
      <c r="H428" s="23">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Row],[Duration]]&lt;=30,"10 TO 30 MINS",
     CALLS[[#This Row],[Duration]]&lt;=120,"1 TO 2 HOURS",
     TRUE,"&gt; 2 HOURS")</f>
        <v>1 TO 2 HOURS</v>
      </c>
      <c r="L428">
        <f>ROUND(CALLS[[#This Row],[Satisfaction Rating]],0)</f>
        <v>5</v>
      </c>
      <c r="M428" cm="1">
        <f t="array" ref="M428">_xlfn.IFS(CALLS[[#This Row],[DURATION BACKET]]="UNDER 10 MINS",1,
     CALLS[[#This Row],[DURATION BACKET]]="10 TO 30 MINS",2,
     CALLS[[#This Row],[DURATION BACKET]]="1 TO 2 HOURS",3,
     CALLS[[#This Row],[DURATION BACKET]]="&gt; 2 HOURS",4)</f>
        <v>3</v>
      </c>
      <c r="N428">
        <f>(CALLS[[#This Row],[Purchase Amount]]/ 1)</f>
        <v>42</v>
      </c>
    </row>
    <row r="429" spans="2:14" x14ac:dyDescent="0.25">
      <c r="B429" s="22" t="s">
        <v>451</v>
      </c>
      <c r="C429" s="4" t="s">
        <v>15</v>
      </c>
      <c r="D429" s="4">
        <v>101</v>
      </c>
      <c r="E429" s="5" t="s">
        <v>10</v>
      </c>
      <c r="F429" s="9">
        <v>45043</v>
      </c>
      <c r="G429" s="4">
        <v>225</v>
      </c>
      <c r="H429" s="23">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Row],[Duration]]&lt;=30,"10 TO 30 MINS",
     CALLS[[#This Row],[Duration]]&lt;=120,"1 TO 2 HOURS",
     TRUE,"&gt; 2 HOURS")</f>
        <v>1 TO 2 HOURS</v>
      </c>
      <c r="L429">
        <f>ROUND(CALLS[[#This Row],[Satisfaction Rating]],0)</f>
        <v>2</v>
      </c>
      <c r="M429" cm="1">
        <f t="array" ref="M429">_xlfn.IFS(CALLS[[#This Row],[DURATION BACKET]]="UNDER 10 MINS",1,
     CALLS[[#This Row],[DURATION BACKET]]="10 TO 30 MINS",2,
     CALLS[[#This Row],[DURATION BACKET]]="1 TO 2 HOURS",3,
     CALLS[[#This Row],[DURATION BACKET]]="&gt; 2 HOURS",4)</f>
        <v>3</v>
      </c>
      <c r="N429">
        <f>(CALLS[[#This Row],[Purchase Amount]]/ 1)</f>
        <v>225</v>
      </c>
    </row>
    <row r="430" spans="2:14" x14ac:dyDescent="0.25">
      <c r="B430" s="22" t="s">
        <v>452</v>
      </c>
      <c r="C430" s="4" t="s">
        <v>21</v>
      </c>
      <c r="D430" s="4">
        <v>156</v>
      </c>
      <c r="E430" s="5" t="s">
        <v>10</v>
      </c>
      <c r="F430" s="9">
        <v>45043</v>
      </c>
      <c r="G430" s="4">
        <v>42</v>
      </c>
      <c r="H430" s="23">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Row],[Duration]]&lt;=30,"10 TO 30 MINS",
     CALLS[[#This Row],[Duration]]&lt;=120,"1 TO 2 HOURS",
     TRUE,"&gt; 2 HOURS")</f>
        <v>&gt; 2 HOURS</v>
      </c>
      <c r="L430">
        <f>ROUND(CALLS[[#This Row],[Satisfaction Rating]],0)</f>
        <v>3</v>
      </c>
      <c r="M430" cm="1">
        <f t="array" ref="M430">_xlfn.IFS(CALLS[[#This Row],[DURATION BACKET]]="UNDER 10 MINS",1,
     CALLS[[#This Row],[DURATION BACKET]]="10 TO 30 MINS",2,
     CALLS[[#This Row],[DURATION BACKET]]="1 TO 2 HOURS",3,
     CALLS[[#This Row],[DURATION BACKET]]="&gt; 2 HOURS",4)</f>
        <v>4</v>
      </c>
      <c r="N430">
        <f>(CALLS[[#This Row],[Purchase Amount]]/ 1)</f>
        <v>42</v>
      </c>
    </row>
    <row r="431" spans="2:14" x14ac:dyDescent="0.25">
      <c r="B431" s="22" t="s">
        <v>453</v>
      </c>
      <c r="C431" s="4" t="s">
        <v>23</v>
      </c>
      <c r="D431" s="4">
        <v>145</v>
      </c>
      <c r="E431" s="5" t="s">
        <v>13</v>
      </c>
      <c r="F431" s="9">
        <v>45044</v>
      </c>
      <c r="G431" s="4">
        <v>110</v>
      </c>
      <c r="H431" s="23">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Row],[Duration]]&lt;=30,"10 TO 30 MINS",
     CALLS[[#This Row],[Duration]]&lt;=120,"1 TO 2 HOURS",
     TRUE,"&gt; 2 HOURS")</f>
        <v>&gt; 2 HOURS</v>
      </c>
      <c r="L431">
        <f>ROUND(CALLS[[#This Row],[Satisfaction Rating]],0)</f>
        <v>3</v>
      </c>
      <c r="M431" cm="1">
        <f t="array" ref="M431">_xlfn.IFS(CALLS[[#This Row],[DURATION BACKET]]="UNDER 10 MINS",1,
     CALLS[[#This Row],[DURATION BACKET]]="10 TO 30 MINS",2,
     CALLS[[#This Row],[DURATION BACKET]]="1 TO 2 HOURS",3,
     CALLS[[#This Row],[DURATION BACKET]]="&gt; 2 HOURS",4)</f>
        <v>4</v>
      </c>
      <c r="N431">
        <f>(CALLS[[#This Row],[Purchase Amount]]/ 1)</f>
        <v>110</v>
      </c>
    </row>
    <row r="432" spans="2:14" x14ac:dyDescent="0.25">
      <c r="B432" s="22" t="s">
        <v>454</v>
      </c>
      <c r="C432" s="4" t="s">
        <v>7</v>
      </c>
      <c r="D432" s="4">
        <v>36</v>
      </c>
      <c r="E432" s="5" t="s">
        <v>9</v>
      </c>
      <c r="F432" s="9">
        <v>45044</v>
      </c>
      <c r="G432" s="4">
        <v>225</v>
      </c>
      <c r="H432" s="23">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Row],[Duration]]&lt;=30,"10 TO 30 MINS",
     CALLS[[#This Row],[Duration]]&lt;=120,"1 TO 2 HOURS",
     TRUE,"&gt; 2 HOURS")</f>
        <v>1 TO 2 HOURS</v>
      </c>
      <c r="L432">
        <f>ROUND(CALLS[[#This Row],[Satisfaction Rating]],0)</f>
        <v>5</v>
      </c>
      <c r="M432" cm="1">
        <f t="array" ref="M432">_xlfn.IFS(CALLS[[#This Row],[DURATION BACKET]]="UNDER 10 MINS",1,
     CALLS[[#This Row],[DURATION BACKET]]="10 TO 30 MINS",2,
     CALLS[[#This Row],[DURATION BACKET]]="1 TO 2 HOURS",3,
     CALLS[[#This Row],[DURATION BACKET]]="&gt; 2 HOURS",4)</f>
        <v>3</v>
      </c>
      <c r="N432">
        <f>(CALLS[[#This Row],[Purchase Amount]]/ 1)</f>
        <v>225</v>
      </c>
    </row>
    <row r="433" spans="2:14" x14ac:dyDescent="0.25">
      <c r="B433" s="22" t="s">
        <v>455</v>
      </c>
      <c r="C433" s="4" t="s">
        <v>24</v>
      </c>
      <c r="D433" s="4">
        <v>135</v>
      </c>
      <c r="E433" s="5" t="s">
        <v>6</v>
      </c>
      <c r="F433" s="9">
        <v>45045</v>
      </c>
      <c r="G433" s="4">
        <v>125</v>
      </c>
      <c r="H433" s="2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Row],[Duration]]&lt;=30,"10 TO 30 MINS",
     CALLS[[#This Row],[Duration]]&lt;=120,"1 TO 2 HOURS",
     TRUE,"&gt; 2 HOURS")</f>
        <v>&gt; 2 HOURS</v>
      </c>
      <c r="L433">
        <f>ROUND(CALLS[[#This Row],[Satisfaction Rating]],0)</f>
        <v>3</v>
      </c>
      <c r="M433" cm="1">
        <f t="array" ref="M433">_xlfn.IFS(CALLS[[#This Row],[DURATION BACKET]]="UNDER 10 MINS",1,
     CALLS[[#This Row],[DURATION BACKET]]="10 TO 30 MINS",2,
     CALLS[[#This Row],[DURATION BACKET]]="1 TO 2 HOURS",3,
     CALLS[[#This Row],[DURATION BACKET]]="&gt; 2 HOURS",4)</f>
        <v>4</v>
      </c>
      <c r="N433">
        <f>(CALLS[[#This Row],[Purchase Amount]]/ 1)</f>
        <v>125</v>
      </c>
    </row>
    <row r="434" spans="2:14" x14ac:dyDescent="0.25">
      <c r="B434" s="22" t="s">
        <v>456</v>
      </c>
      <c r="C434" s="4" t="s">
        <v>15</v>
      </c>
      <c r="D434" s="4">
        <v>81</v>
      </c>
      <c r="E434" s="5" t="s">
        <v>9</v>
      </c>
      <c r="F434" s="9">
        <v>45045</v>
      </c>
      <c r="G434" s="4">
        <v>78</v>
      </c>
      <c r="H434" s="23">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Row],[Duration]]&lt;=30,"10 TO 30 MINS",
     CALLS[[#This Row],[Duration]]&lt;=120,"1 TO 2 HOURS",
     TRUE,"&gt; 2 HOURS")</f>
        <v>1 TO 2 HOURS</v>
      </c>
      <c r="L434">
        <f>ROUND(CALLS[[#This Row],[Satisfaction Rating]],0)</f>
        <v>3</v>
      </c>
      <c r="M434" cm="1">
        <f t="array" ref="M434">_xlfn.IFS(CALLS[[#This Row],[DURATION BACKET]]="UNDER 10 MINS",1,
     CALLS[[#This Row],[DURATION BACKET]]="10 TO 30 MINS",2,
     CALLS[[#This Row],[DURATION BACKET]]="1 TO 2 HOURS",3,
     CALLS[[#This Row],[DURATION BACKET]]="&gt; 2 HOURS",4)</f>
        <v>3</v>
      </c>
      <c r="N434">
        <f>(CALLS[[#This Row],[Purchase Amount]]/ 1)</f>
        <v>78</v>
      </c>
    </row>
    <row r="435" spans="2:14" x14ac:dyDescent="0.25">
      <c r="B435" s="22" t="s">
        <v>457</v>
      </c>
      <c r="C435" s="4" t="s">
        <v>15</v>
      </c>
      <c r="D435" s="4">
        <v>81</v>
      </c>
      <c r="E435" s="5" t="s">
        <v>13</v>
      </c>
      <c r="F435" s="9">
        <v>45045</v>
      </c>
      <c r="G435" s="4">
        <v>40</v>
      </c>
      <c r="H435" s="23">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Row],[Duration]]&lt;=30,"10 TO 30 MINS",
     CALLS[[#This Row],[Duration]]&lt;=120,"1 TO 2 HOURS",
     TRUE,"&gt; 2 HOURS")</f>
        <v>1 TO 2 HOURS</v>
      </c>
      <c r="L435">
        <f>ROUND(CALLS[[#This Row],[Satisfaction Rating]],0)</f>
        <v>2</v>
      </c>
      <c r="M435" cm="1">
        <f t="array" ref="M435">_xlfn.IFS(CALLS[[#This Row],[DURATION BACKET]]="UNDER 10 MINS",1,
     CALLS[[#This Row],[DURATION BACKET]]="10 TO 30 MINS",2,
     CALLS[[#This Row],[DURATION BACKET]]="1 TO 2 HOURS",3,
     CALLS[[#This Row],[DURATION BACKET]]="&gt; 2 HOURS",4)</f>
        <v>3</v>
      </c>
      <c r="N435">
        <f>(CALLS[[#This Row],[Purchase Amount]]/ 1)</f>
        <v>40</v>
      </c>
    </row>
    <row r="436" spans="2:14" x14ac:dyDescent="0.25">
      <c r="B436" s="22" t="s">
        <v>458</v>
      </c>
      <c r="C436" s="4" t="s">
        <v>22</v>
      </c>
      <c r="D436" s="4">
        <v>93</v>
      </c>
      <c r="E436" s="5" t="s">
        <v>11</v>
      </c>
      <c r="F436" s="9">
        <v>45045</v>
      </c>
      <c r="G436" s="4">
        <v>150</v>
      </c>
      <c r="H436" s="23">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Row],[Duration]]&lt;=30,"10 TO 30 MINS",
     CALLS[[#This Row],[Duration]]&lt;=120,"1 TO 2 HOURS",
     TRUE,"&gt; 2 HOURS")</f>
        <v>1 TO 2 HOURS</v>
      </c>
      <c r="L436">
        <f>ROUND(CALLS[[#This Row],[Satisfaction Rating]],0)</f>
        <v>5</v>
      </c>
      <c r="M436" cm="1">
        <f t="array" ref="M436">_xlfn.IFS(CALLS[[#This Row],[DURATION BACKET]]="UNDER 10 MINS",1,
     CALLS[[#This Row],[DURATION BACKET]]="10 TO 30 MINS",2,
     CALLS[[#This Row],[DURATION BACKET]]="1 TO 2 HOURS",3,
     CALLS[[#This Row],[DURATION BACKET]]="&gt; 2 HOURS",4)</f>
        <v>3</v>
      </c>
      <c r="N436">
        <f>(CALLS[[#This Row],[Purchase Amount]]/ 1)</f>
        <v>150</v>
      </c>
    </row>
    <row r="437" spans="2:14" x14ac:dyDescent="0.25">
      <c r="B437" s="22" t="s">
        <v>459</v>
      </c>
      <c r="C437" s="4" t="s">
        <v>23</v>
      </c>
      <c r="D437" s="4">
        <v>14</v>
      </c>
      <c r="E437" s="5" t="s">
        <v>9</v>
      </c>
      <c r="F437" s="9">
        <v>45045</v>
      </c>
      <c r="G437" s="4">
        <v>96</v>
      </c>
      <c r="H437" s="23">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Row],[Duration]]&lt;=30,"10 TO 30 MINS",
     CALLS[[#This Row],[Duration]]&lt;=120,"1 TO 2 HOURS",
     TRUE,"&gt; 2 HOURS")</f>
        <v>10 TO 30 MINS</v>
      </c>
      <c r="L437">
        <f>ROUND(CALLS[[#This Row],[Satisfaction Rating]],0)</f>
        <v>5</v>
      </c>
      <c r="M437" cm="1">
        <f t="array" ref="M437">_xlfn.IFS(CALLS[[#This Row],[DURATION BACKET]]="UNDER 10 MINS",1,
     CALLS[[#This Row],[DURATION BACKET]]="10 TO 30 MINS",2,
     CALLS[[#This Row],[DURATION BACKET]]="1 TO 2 HOURS",3,
     CALLS[[#This Row],[DURATION BACKET]]="&gt; 2 HOURS",4)</f>
        <v>2</v>
      </c>
      <c r="N437">
        <f>(CALLS[[#This Row],[Purchase Amount]]/ 1)</f>
        <v>96</v>
      </c>
    </row>
    <row r="438" spans="2:14" x14ac:dyDescent="0.25">
      <c r="B438" s="22" t="s">
        <v>460</v>
      </c>
      <c r="C438" s="4" t="s">
        <v>24</v>
      </c>
      <c r="D438" s="4">
        <v>95</v>
      </c>
      <c r="E438" s="5" t="s">
        <v>13</v>
      </c>
      <c r="F438" s="9">
        <v>45046</v>
      </c>
      <c r="G438" s="4">
        <v>75</v>
      </c>
      <c r="H438" s="23">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Row],[Duration]]&lt;=30,"10 TO 30 MINS",
     CALLS[[#This Row],[Duration]]&lt;=120,"1 TO 2 HOURS",
     TRUE,"&gt; 2 HOURS")</f>
        <v>1 TO 2 HOURS</v>
      </c>
      <c r="L438">
        <f>ROUND(CALLS[[#This Row],[Satisfaction Rating]],0)</f>
        <v>5</v>
      </c>
      <c r="M438" cm="1">
        <f t="array" ref="M438">_xlfn.IFS(CALLS[[#This Row],[DURATION BACKET]]="UNDER 10 MINS",1,
     CALLS[[#This Row],[DURATION BACKET]]="10 TO 30 MINS",2,
     CALLS[[#This Row],[DURATION BACKET]]="1 TO 2 HOURS",3,
     CALLS[[#This Row],[DURATION BACKET]]="&gt; 2 HOURS",4)</f>
        <v>3</v>
      </c>
      <c r="N438">
        <f>(CALLS[[#This Row],[Purchase Amount]]/ 1)</f>
        <v>75</v>
      </c>
    </row>
    <row r="439" spans="2:14" x14ac:dyDescent="0.25">
      <c r="B439" s="22" t="s">
        <v>461</v>
      </c>
      <c r="C439" s="4" t="s">
        <v>22</v>
      </c>
      <c r="D439" s="4">
        <v>81</v>
      </c>
      <c r="E439" s="5" t="s">
        <v>13</v>
      </c>
      <c r="F439" s="9">
        <v>45046</v>
      </c>
      <c r="G439" s="4">
        <v>60</v>
      </c>
      <c r="H439" s="23">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Row],[Duration]]&lt;=30,"10 TO 30 MINS",
     CALLS[[#This Row],[Duration]]&lt;=120,"1 TO 2 HOURS",
     TRUE,"&gt; 2 HOURS")</f>
        <v>1 TO 2 HOURS</v>
      </c>
      <c r="L439">
        <f>ROUND(CALLS[[#This Row],[Satisfaction Rating]],0)</f>
        <v>4</v>
      </c>
      <c r="M439" cm="1">
        <f t="array" ref="M439">_xlfn.IFS(CALLS[[#This Row],[DURATION BACKET]]="UNDER 10 MINS",1,
     CALLS[[#This Row],[DURATION BACKET]]="10 TO 30 MINS",2,
     CALLS[[#This Row],[DURATION BACKET]]="1 TO 2 HOURS",3,
     CALLS[[#This Row],[DURATION BACKET]]="&gt; 2 HOURS",4)</f>
        <v>3</v>
      </c>
      <c r="N439">
        <f>(CALLS[[#This Row],[Purchase Amount]]/ 1)</f>
        <v>60</v>
      </c>
    </row>
    <row r="440" spans="2:14" x14ac:dyDescent="0.25">
      <c r="B440" s="22" t="s">
        <v>462</v>
      </c>
      <c r="C440" s="4" t="s">
        <v>5</v>
      </c>
      <c r="D440" s="4">
        <v>60</v>
      </c>
      <c r="E440" s="5" t="s">
        <v>9</v>
      </c>
      <c r="F440" s="9">
        <v>45047</v>
      </c>
      <c r="G440" s="4">
        <v>41</v>
      </c>
      <c r="H440" s="23">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Row],[Duration]]&lt;=30,"10 TO 30 MINS",
     CALLS[[#This Row],[Duration]]&lt;=120,"1 TO 2 HOURS",
     TRUE,"&gt; 2 HOURS")</f>
        <v>1 TO 2 HOURS</v>
      </c>
      <c r="L440">
        <f>ROUND(CALLS[[#This Row],[Satisfaction Rating]],0)</f>
        <v>5</v>
      </c>
      <c r="M440" cm="1">
        <f t="array" ref="M440">_xlfn.IFS(CALLS[[#This Row],[DURATION BACKET]]="UNDER 10 MINS",1,
     CALLS[[#This Row],[DURATION BACKET]]="10 TO 30 MINS",2,
     CALLS[[#This Row],[DURATION BACKET]]="1 TO 2 HOURS",3,
     CALLS[[#This Row],[DURATION BACKET]]="&gt; 2 HOURS",4)</f>
        <v>3</v>
      </c>
      <c r="N440">
        <f>(CALLS[[#This Row],[Purchase Amount]]/ 1)</f>
        <v>41</v>
      </c>
    </row>
    <row r="441" spans="2:14" x14ac:dyDescent="0.25">
      <c r="B441" s="22" t="s">
        <v>463</v>
      </c>
      <c r="C441" s="4" t="s">
        <v>14</v>
      </c>
      <c r="D441" s="4">
        <v>137</v>
      </c>
      <c r="E441" s="5" t="s">
        <v>11</v>
      </c>
      <c r="F441" s="9">
        <v>45047</v>
      </c>
      <c r="G441" s="4">
        <v>20</v>
      </c>
      <c r="H441" s="23">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Row],[Duration]]&lt;=30,"10 TO 30 MINS",
     CALLS[[#This Row],[Duration]]&lt;=120,"1 TO 2 HOURS",
     TRUE,"&gt; 2 HOURS")</f>
        <v>&gt; 2 HOURS</v>
      </c>
      <c r="L441">
        <f>ROUND(CALLS[[#This Row],[Satisfaction Rating]],0)</f>
        <v>4</v>
      </c>
      <c r="M441" cm="1">
        <f t="array" ref="M441">_xlfn.IFS(CALLS[[#This Row],[DURATION BACKET]]="UNDER 10 MINS",1,
     CALLS[[#This Row],[DURATION BACKET]]="10 TO 30 MINS",2,
     CALLS[[#This Row],[DURATION BACKET]]="1 TO 2 HOURS",3,
     CALLS[[#This Row],[DURATION BACKET]]="&gt; 2 HOURS",4)</f>
        <v>4</v>
      </c>
      <c r="N441">
        <f>(CALLS[[#This Row],[Purchase Amount]]/ 1)</f>
        <v>20</v>
      </c>
    </row>
    <row r="442" spans="2:14" x14ac:dyDescent="0.25">
      <c r="B442" s="22" t="s">
        <v>464</v>
      </c>
      <c r="C442" s="4" t="s">
        <v>12</v>
      </c>
      <c r="D442" s="4">
        <v>112</v>
      </c>
      <c r="E442" s="5" t="s">
        <v>6</v>
      </c>
      <c r="F442" s="9">
        <v>45047</v>
      </c>
      <c r="G442" s="4">
        <v>84</v>
      </c>
      <c r="H442" s="23">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Row],[Duration]]&lt;=30,"10 TO 30 MINS",
     CALLS[[#This Row],[Duration]]&lt;=120,"1 TO 2 HOURS",
     TRUE,"&gt; 2 HOURS")</f>
        <v>1 TO 2 HOURS</v>
      </c>
      <c r="L442">
        <f>ROUND(CALLS[[#This Row],[Satisfaction Rating]],0)</f>
        <v>3</v>
      </c>
      <c r="M442" cm="1">
        <f t="array" ref="M442">_xlfn.IFS(CALLS[[#This Row],[DURATION BACKET]]="UNDER 10 MINS",1,
     CALLS[[#This Row],[DURATION BACKET]]="10 TO 30 MINS",2,
     CALLS[[#This Row],[DURATION BACKET]]="1 TO 2 HOURS",3,
     CALLS[[#This Row],[DURATION BACKET]]="&gt; 2 HOURS",4)</f>
        <v>3</v>
      </c>
      <c r="N442">
        <f>(CALLS[[#This Row],[Purchase Amount]]/ 1)</f>
        <v>84</v>
      </c>
    </row>
    <row r="443" spans="2:14" x14ac:dyDescent="0.25">
      <c r="B443" s="22" t="s">
        <v>465</v>
      </c>
      <c r="C443" s="4" t="s">
        <v>24</v>
      </c>
      <c r="D443" s="4">
        <v>76</v>
      </c>
      <c r="E443" s="5" t="s">
        <v>10</v>
      </c>
      <c r="F443" s="9">
        <v>45047</v>
      </c>
      <c r="G443" s="4">
        <v>140</v>
      </c>
      <c r="H443" s="2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Row],[Duration]]&lt;=30,"10 TO 30 MINS",
     CALLS[[#This Row],[Duration]]&lt;=120,"1 TO 2 HOURS",
     TRUE,"&gt; 2 HOURS")</f>
        <v>1 TO 2 HOURS</v>
      </c>
      <c r="L443">
        <f>ROUND(CALLS[[#This Row],[Satisfaction Rating]],0)</f>
        <v>4</v>
      </c>
      <c r="M443" cm="1">
        <f t="array" ref="M443">_xlfn.IFS(CALLS[[#This Row],[DURATION BACKET]]="UNDER 10 MINS",1,
     CALLS[[#This Row],[DURATION BACKET]]="10 TO 30 MINS",2,
     CALLS[[#This Row],[DURATION BACKET]]="1 TO 2 HOURS",3,
     CALLS[[#This Row],[DURATION BACKET]]="&gt; 2 HOURS",4)</f>
        <v>3</v>
      </c>
      <c r="N443">
        <f>(CALLS[[#This Row],[Purchase Amount]]/ 1)</f>
        <v>140</v>
      </c>
    </row>
    <row r="444" spans="2:14" x14ac:dyDescent="0.25">
      <c r="B444" s="22" t="s">
        <v>466</v>
      </c>
      <c r="C444" s="4" t="s">
        <v>19</v>
      </c>
      <c r="D444" s="4">
        <v>73</v>
      </c>
      <c r="E444" s="5" t="s">
        <v>9</v>
      </c>
      <c r="F444" s="9">
        <v>45047</v>
      </c>
      <c r="G444" s="4">
        <v>66</v>
      </c>
      <c r="H444" s="23">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Row],[Duration]]&lt;=30,"10 TO 30 MINS",
     CALLS[[#This Row],[Duration]]&lt;=120,"1 TO 2 HOURS",
     TRUE,"&gt; 2 HOURS")</f>
        <v>1 TO 2 HOURS</v>
      </c>
      <c r="L444">
        <f>ROUND(CALLS[[#This Row],[Satisfaction Rating]],0)</f>
        <v>5</v>
      </c>
      <c r="M444" cm="1">
        <f t="array" ref="M444">_xlfn.IFS(CALLS[[#This Row],[DURATION BACKET]]="UNDER 10 MINS",1,
     CALLS[[#This Row],[DURATION BACKET]]="10 TO 30 MINS",2,
     CALLS[[#This Row],[DURATION BACKET]]="1 TO 2 HOURS",3,
     CALLS[[#This Row],[DURATION BACKET]]="&gt; 2 HOURS",4)</f>
        <v>3</v>
      </c>
      <c r="N444">
        <f>(CALLS[[#This Row],[Purchase Amount]]/ 1)</f>
        <v>66</v>
      </c>
    </row>
    <row r="445" spans="2:14" x14ac:dyDescent="0.25">
      <c r="B445" s="22" t="s">
        <v>467</v>
      </c>
      <c r="C445" s="4" t="s">
        <v>18</v>
      </c>
      <c r="D445" s="4">
        <v>119</v>
      </c>
      <c r="E445" s="5" t="s">
        <v>11</v>
      </c>
      <c r="F445" s="9">
        <v>45047</v>
      </c>
      <c r="G445" s="4">
        <v>105</v>
      </c>
      <c r="H445" s="23">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Row],[Duration]]&lt;=30,"10 TO 30 MINS",
     CALLS[[#This Row],[Duration]]&lt;=120,"1 TO 2 HOURS",
     TRUE,"&gt; 2 HOURS")</f>
        <v>1 TO 2 HOURS</v>
      </c>
      <c r="L445">
        <f>ROUND(CALLS[[#This Row],[Satisfaction Rating]],0)</f>
        <v>5</v>
      </c>
      <c r="M445" cm="1">
        <f t="array" ref="M445">_xlfn.IFS(CALLS[[#This Row],[DURATION BACKET]]="UNDER 10 MINS",1,
     CALLS[[#This Row],[DURATION BACKET]]="10 TO 30 MINS",2,
     CALLS[[#This Row],[DURATION BACKET]]="1 TO 2 HOURS",3,
     CALLS[[#This Row],[DURATION BACKET]]="&gt; 2 HOURS",4)</f>
        <v>3</v>
      </c>
      <c r="N445">
        <f>(CALLS[[#This Row],[Purchase Amount]]/ 1)</f>
        <v>105</v>
      </c>
    </row>
    <row r="446" spans="2:14" x14ac:dyDescent="0.25">
      <c r="B446" s="22" t="s">
        <v>468</v>
      </c>
      <c r="C446" s="4" t="s">
        <v>20</v>
      </c>
      <c r="D446" s="4">
        <v>135</v>
      </c>
      <c r="E446" s="5" t="s">
        <v>13</v>
      </c>
      <c r="F446" s="9">
        <v>45048</v>
      </c>
      <c r="G446" s="4">
        <v>104</v>
      </c>
      <c r="H446" s="23">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Row],[Duration]]&lt;=30,"10 TO 30 MINS",
     CALLS[[#This Row],[Duration]]&lt;=120,"1 TO 2 HOURS",
     TRUE,"&gt; 2 HOURS")</f>
        <v>&gt; 2 HOURS</v>
      </c>
      <c r="L446">
        <f>ROUND(CALLS[[#This Row],[Satisfaction Rating]],0)</f>
        <v>4</v>
      </c>
      <c r="M446" cm="1">
        <f t="array" ref="M446">_xlfn.IFS(CALLS[[#This Row],[DURATION BACKET]]="UNDER 10 MINS",1,
     CALLS[[#This Row],[DURATION BACKET]]="10 TO 30 MINS",2,
     CALLS[[#This Row],[DURATION BACKET]]="1 TO 2 HOURS",3,
     CALLS[[#This Row],[DURATION BACKET]]="&gt; 2 HOURS",4)</f>
        <v>4</v>
      </c>
      <c r="N446">
        <f>(CALLS[[#This Row],[Purchase Amount]]/ 1)</f>
        <v>104</v>
      </c>
    </row>
    <row r="447" spans="2:14" x14ac:dyDescent="0.25">
      <c r="B447" s="22" t="s">
        <v>469</v>
      </c>
      <c r="C447" s="4" t="s">
        <v>14</v>
      </c>
      <c r="D447" s="4">
        <v>41</v>
      </c>
      <c r="E447" s="5" t="s">
        <v>6</v>
      </c>
      <c r="F447" s="9">
        <v>45048</v>
      </c>
      <c r="G447" s="4">
        <v>123</v>
      </c>
      <c r="H447" s="23">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Row],[Duration]]&lt;=30,"10 TO 30 MINS",
     CALLS[[#This Row],[Duration]]&lt;=120,"1 TO 2 HOURS",
     TRUE,"&gt; 2 HOURS")</f>
        <v>1 TO 2 HOURS</v>
      </c>
      <c r="L447">
        <f>ROUND(CALLS[[#This Row],[Satisfaction Rating]],0)</f>
        <v>3</v>
      </c>
      <c r="M447" cm="1">
        <f t="array" ref="M447">_xlfn.IFS(CALLS[[#This Row],[DURATION BACKET]]="UNDER 10 MINS",1,
     CALLS[[#This Row],[DURATION BACKET]]="10 TO 30 MINS",2,
     CALLS[[#This Row],[DURATION BACKET]]="1 TO 2 HOURS",3,
     CALLS[[#This Row],[DURATION BACKET]]="&gt; 2 HOURS",4)</f>
        <v>3</v>
      </c>
      <c r="N447">
        <f>(CALLS[[#This Row],[Purchase Amount]]/ 1)</f>
        <v>123</v>
      </c>
    </row>
    <row r="448" spans="2:14" x14ac:dyDescent="0.25">
      <c r="B448" s="22" t="s">
        <v>470</v>
      </c>
      <c r="C448" s="4" t="s">
        <v>23</v>
      </c>
      <c r="D448" s="4">
        <v>35</v>
      </c>
      <c r="E448" s="5" t="s">
        <v>13</v>
      </c>
      <c r="F448" s="9">
        <v>45049</v>
      </c>
      <c r="G448" s="4">
        <v>215</v>
      </c>
      <c r="H448" s="23">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Row],[Duration]]&lt;=30,"10 TO 30 MINS",
     CALLS[[#This Row],[Duration]]&lt;=120,"1 TO 2 HOURS",
     TRUE,"&gt; 2 HOURS")</f>
        <v>1 TO 2 HOURS</v>
      </c>
      <c r="L448">
        <f>ROUND(CALLS[[#This Row],[Satisfaction Rating]],0)</f>
        <v>4</v>
      </c>
      <c r="M448" cm="1">
        <f t="array" ref="M448">_xlfn.IFS(CALLS[[#This Row],[DURATION BACKET]]="UNDER 10 MINS",1,
     CALLS[[#This Row],[DURATION BACKET]]="10 TO 30 MINS",2,
     CALLS[[#This Row],[DURATION BACKET]]="1 TO 2 HOURS",3,
     CALLS[[#This Row],[DURATION BACKET]]="&gt; 2 HOURS",4)</f>
        <v>3</v>
      </c>
      <c r="N448">
        <f>(CALLS[[#This Row],[Purchase Amount]]/ 1)</f>
        <v>215</v>
      </c>
    </row>
    <row r="449" spans="2:14" x14ac:dyDescent="0.25">
      <c r="B449" s="22" t="s">
        <v>471</v>
      </c>
      <c r="C449" s="4" t="s">
        <v>20</v>
      </c>
      <c r="D449" s="4">
        <v>96</v>
      </c>
      <c r="E449" s="5" t="s">
        <v>9</v>
      </c>
      <c r="F449" s="9">
        <v>45049</v>
      </c>
      <c r="G449" s="4">
        <v>46</v>
      </c>
      <c r="H449" s="23">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Row],[Duration]]&lt;=30,"10 TO 30 MINS",
     CALLS[[#This Row],[Duration]]&lt;=120,"1 TO 2 HOURS",
     TRUE,"&gt; 2 HOURS")</f>
        <v>1 TO 2 HOURS</v>
      </c>
      <c r="L449">
        <f>ROUND(CALLS[[#This Row],[Satisfaction Rating]],0)</f>
        <v>1</v>
      </c>
      <c r="M449" cm="1">
        <f t="array" ref="M449">_xlfn.IFS(CALLS[[#This Row],[DURATION BACKET]]="UNDER 10 MINS",1,
     CALLS[[#This Row],[DURATION BACKET]]="10 TO 30 MINS",2,
     CALLS[[#This Row],[DURATION BACKET]]="1 TO 2 HOURS",3,
     CALLS[[#This Row],[DURATION BACKET]]="&gt; 2 HOURS",4)</f>
        <v>3</v>
      </c>
      <c r="N449">
        <f>(CALLS[[#This Row],[Purchase Amount]]/ 1)</f>
        <v>46</v>
      </c>
    </row>
    <row r="450" spans="2:14" x14ac:dyDescent="0.25">
      <c r="B450" s="22" t="s">
        <v>472</v>
      </c>
      <c r="C450" s="4" t="s">
        <v>22</v>
      </c>
      <c r="D450" s="4">
        <v>61</v>
      </c>
      <c r="E450" s="5" t="s">
        <v>6</v>
      </c>
      <c r="F450" s="9">
        <v>45049</v>
      </c>
      <c r="G450" s="4">
        <v>115</v>
      </c>
      <c r="H450" s="23">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Row],[Duration]]&lt;=30,"10 TO 30 MINS",
     CALLS[[#This Row],[Duration]]&lt;=120,"1 TO 2 HOURS",
     TRUE,"&gt; 2 HOURS")</f>
        <v>1 TO 2 HOURS</v>
      </c>
      <c r="L450">
        <f>ROUND(CALLS[[#This Row],[Satisfaction Rating]],0)</f>
        <v>4</v>
      </c>
      <c r="M450" cm="1">
        <f t="array" ref="M450">_xlfn.IFS(CALLS[[#This Row],[DURATION BACKET]]="UNDER 10 MINS",1,
     CALLS[[#This Row],[DURATION BACKET]]="10 TO 30 MINS",2,
     CALLS[[#This Row],[DURATION BACKET]]="1 TO 2 HOURS",3,
     CALLS[[#This Row],[DURATION BACKET]]="&gt; 2 HOURS",4)</f>
        <v>3</v>
      </c>
      <c r="N450">
        <f>(CALLS[[#This Row],[Purchase Amount]]/ 1)</f>
        <v>115</v>
      </c>
    </row>
    <row r="451" spans="2:14" x14ac:dyDescent="0.25">
      <c r="B451" s="22" t="s">
        <v>473</v>
      </c>
      <c r="C451" s="4" t="s">
        <v>20</v>
      </c>
      <c r="D451" s="4">
        <v>91</v>
      </c>
      <c r="E451" s="5" t="s">
        <v>6</v>
      </c>
      <c r="F451" s="9">
        <v>45049</v>
      </c>
      <c r="G451" s="4">
        <v>124</v>
      </c>
      <c r="H451" s="23">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Row],[Duration]]&lt;=30,"10 TO 30 MINS",
     CALLS[[#This Row],[Duration]]&lt;=120,"1 TO 2 HOURS",
     TRUE,"&gt; 2 HOURS")</f>
        <v>1 TO 2 HOURS</v>
      </c>
      <c r="L451">
        <f>ROUND(CALLS[[#This Row],[Satisfaction Rating]],0)</f>
        <v>4</v>
      </c>
      <c r="M451" cm="1">
        <f t="array" ref="M451">_xlfn.IFS(CALLS[[#This Row],[DURATION BACKET]]="UNDER 10 MINS",1,
     CALLS[[#This Row],[DURATION BACKET]]="10 TO 30 MINS",2,
     CALLS[[#This Row],[DURATION BACKET]]="1 TO 2 HOURS",3,
     CALLS[[#This Row],[DURATION BACKET]]="&gt; 2 HOURS",4)</f>
        <v>3</v>
      </c>
      <c r="N451">
        <f>(CALLS[[#This Row],[Purchase Amount]]/ 1)</f>
        <v>124</v>
      </c>
    </row>
    <row r="452" spans="2:14" x14ac:dyDescent="0.25">
      <c r="B452" s="22" t="s">
        <v>474</v>
      </c>
      <c r="C452" s="4" t="s">
        <v>17</v>
      </c>
      <c r="D452" s="4">
        <v>30</v>
      </c>
      <c r="E452" s="5" t="s">
        <v>6</v>
      </c>
      <c r="F452" s="9">
        <v>45050</v>
      </c>
      <c r="G452" s="4">
        <v>205</v>
      </c>
      <c r="H452" s="23">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Row],[Duration]]&lt;=30,"10 TO 30 MINS",
     CALLS[[#This Row],[Duration]]&lt;=120,"1 TO 2 HOURS",
     TRUE,"&gt; 2 HOURS")</f>
        <v>10 TO 30 MINS</v>
      </c>
      <c r="L452">
        <f>ROUND(CALLS[[#This Row],[Satisfaction Rating]],0)</f>
        <v>5</v>
      </c>
      <c r="M452" cm="1">
        <f t="array" ref="M452">_xlfn.IFS(CALLS[[#This Row],[DURATION BACKET]]="UNDER 10 MINS",1,
     CALLS[[#This Row],[DURATION BACKET]]="10 TO 30 MINS",2,
     CALLS[[#This Row],[DURATION BACKET]]="1 TO 2 HOURS",3,
     CALLS[[#This Row],[DURATION BACKET]]="&gt; 2 HOURS",4)</f>
        <v>2</v>
      </c>
      <c r="N452">
        <f>(CALLS[[#This Row],[Purchase Amount]]/ 1)</f>
        <v>205</v>
      </c>
    </row>
    <row r="453" spans="2:14" x14ac:dyDescent="0.25">
      <c r="B453" s="22" t="s">
        <v>475</v>
      </c>
      <c r="C453" s="4" t="s">
        <v>5</v>
      </c>
      <c r="D453" s="4">
        <v>111</v>
      </c>
      <c r="E453" s="5" t="s">
        <v>11</v>
      </c>
      <c r="F453" s="9">
        <v>45050</v>
      </c>
      <c r="G453" s="4">
        <v>90</v>
      </c>
      <c r="H453" s="2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Row],[Duration]]&lt;=30,"10 TO 30 MINS",
     CALLS[[#This Row],[Duration]]&lt;=120,"1 TO 2 HOURS",
     TRUE,"&gt; 2 HOURS")</f>
        <v>1 TO 2 HOURS</v>
      </c>
      <c r="L453">
        <f>ROUND(CALLS[[#This Row],[Satisfaction Rating]],0)</f>
        <v>3</v>
      </c>
      <c r="M453" cm="1">
        <f t="array" ref="M453">_xlfn.IFS(CALLS[[#This Row],[DURATION BACKET]]="UNDER 10 MINS",1,
     CALLS[[#This Row],[DURATION BACKET]]="10 TO 30 MINS",2,
     CALLS[[#This Row],[DURATION BACKET]]="1 TO 2 HOURS",3,
     CALLS[[#This Row],[DURATION BACKET]]="&gt; 2 HOURS",4)</f>
        <v>3</v>
      </c>
      <c r="N453">
        <f>(CALLS[[#This Row],[Purchase Amount]]/ 1)</f>
        <v>90</v>
      </c>
    </row>
    <row r="454" spans="2:14" x14ac:dyDescent="0.25">
      <c r="B454" s="22" t="s">
        <v>476</v>
      </c>
      <c r="C454" s="4" t="s">
        <v>22</v>
      </c>
      <c r="D454" s="4">
        <v>81</v>
      </c>
      <c r="E454" s="5" t="s">
        <v>9</v>
      </c>
      <c r="F454" s="9">
        <v>45050</v>
      </c>
      <c r="G454" s="4">
        <v>92</v>
      </c>
      <c r="H454" s="23">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Row],[Duration]]&lt;=30,"10 TO 30 MINS",
     CALLS[[#This Row],[Duration]]&lt;=120,"1 TO 2 HOURS",
     TRUE,"&gt; 2 HOURS")</f>
        <v>1 TO 2 HOURS</v>
      </c>
      <c r="L454">
        <f>ROUND(CALLS[[#This Row],[Satisfaction Rating]],0)</f>
        <v>5</v>
      </c>
      <c r="M454" cm="1">
        <f t="array" ref="M454">_xlfn.IFS(CALLS[[#This Row],[DURATION BACKET]]="UNDER 10 MINS",1,
     CALLS[[#This Row],[DURATION BACKET]]="10 TO 30 MINS",2,
     CALLS[[#This Row],[DURATION BACKET]]="1 TO 2 HOURS",3,
     CALLS[[#This Row],[DURATION BACKET]]="&gt; 2 HOURS",4)</f>
        <v>3</v>
      </c>
      <c r="N454">
        <f>(CALLS[[#This Row],[Purchase Amount]]/ 1)</f>
        <v>92</v>
      </c>
    </row>
    <row r="455" spans="2:14" x14ac:dyDescent="0.25">
      <c r="B455" s="22" t="s">
        <v>477</v>
      </c>
      <c r="C455" s="4" t="s">
        <v>24</v>
      </c>
      <c r="D455" s="4">
        <v>40</v>
      </c>
      <c r="E455" s="5" t="s">
        <v>13</v>
      </c>
      <c r="F455" s="9">
        <v>45052</v>
      </c>
      <c r="G455" s="4">
        <v>108</v>
      </c>
      <c r="H455" s="23">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Row],[Duration]]&lt;=30,"10 TO 30 MINS",
     CALLS[[#This Row],[Duration]]&lt;=120,"1 TO 2 HOURS",
     TRUE,"&gt; 2 HOURS")</f>
        <v>1 TO 2 HOURS</v>
      </c>
      <c r="L455">
        <f>ROUND(CALLS[[#This Row],[Satisfaction Rating]],0)</f>
        <v>4</v>
      </c>
      <c r="M455" cm="1">
        <f t="array" ref="M455">_xlfn.IFS(CALLS[[#This Row],[DURATION BACKET]]="UNDER 10 MINS",1,
     CALLS[[#This Row],[DURATION BACKET]]="10 TO 30 MINS",2,
     CALLS[[#This Row],[DURATION BACKET]]="1 TO 2 HOURS",3,
     CALLS[[#This Row],[DURATION BACKET]]="&gt; 2 HOURS",4)</f>
        <v>3</v>
      </c>
      <c r="N455">
        <f>(CALLS[[#This Row],[Purchase Amount]]/ 1)</f>
        <v>108</v>
      </c>
    </row>
    <row r="456" spans="2:14" x14ac:dyDescent="0.25">
      <c r="B456" s="22" t="s">
        <v>478</v>
      </c>
      <c r="C456" s="4" t="s">
        <v>5</v>
      </c>
      <c r="D456" s="4">
        <v>143</v>
      </c>
      <c r="E456" s="5" t="s">
        <v>13</v>
      </c>
      <c r="F456" s="9">
        <v>45052</v>
      </c>
      <c r="G456" s="4">
        <v>54</v>
      </c>
      <c r="H456" s="23">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Row],[Duration]]&lt;=30,"10 TO 30 MINS",
     CALLS[[#This Row],[Duration]]&lt;=120,"1 TO 2 HOURS",
     TRUE,"&gt; 2 HOURS")</f>
        <v>&gt; 2 HOURS</v>
      </c>
      <c r="L456">
        <f>ROUND(CALLS[[#This Row],[Satisfaction Rating]],0)</f>
        <v>4</v>
      </c>
      <c r="M456" cm="1">
        <f t="array" ref="M456">_xlfn.IFS(CALLS[[#This Row],[DURATION BACKET]]="UNDER 10 MINS",1,
     CALLS[[#This Row],[DURATION BACKET]]="10 TO 30 MINS",2,
     CALLS[[#This Row],[DURATION BACKET]]="1 TO 2 HOURS",3,
     CALLS[[#This Row],[DURATION BACKET]]="&gt; 2 HOURS",4)</f>
        <v>4</v>
      </c>
      <c r="N456">
        <f>(CALLS[[#This Row],[Purchase Amount]]/ 1)</f>
        <v>54</v>
      </c>
    </row>
    <row r="457" spans="2:14" x14ac:dyDescent="0.25">
      <c r="B457" s="22" t="s">
        <v>479</v>
      </c>
      <c r="C457" s="4" t="s">
        <v>24</v>
      </c>
      <c r="D457" s="4">
        <v>70</v>
      </c>
      <c r="E457" s="5" t="s">
        <v>13</v>
      </c>
      <c r="F457" s="9">
        <v>45053</v>
      </c>
      <c r="G457" s="4">
        <v>44</v>
      </c>
      <c r="H457" s="23">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Row],[Duration]]&lt;=30,"10 TO 30 MINS",
     CALLS[[#This Row],[Duration]]&lt;=120,"1 TO 2 HOURS",
     TRUE,"&gt; 2 HOURS")</f>
        <v>1 TO 2 HOURS</v>
      </c>
      <c r="L457">
        <f>ROUND(CALLS[[#This Row],[Satisfaction Rating]],0)</f>
        <v>4</v>
      </c>
      <c r="M457" cm="1">
        <f t="array" ref="M457">_xlfn.IFS(CALLS[[#This Row],[DURATION BACKET]]="UNDER 10 MINS",1,
     CALLS[[#This Row],[DURATION BACKET]]="10 TO 30 MINS",2,
     CALLS[[#This Row],[DURATION BACKET]]="1 TO 2 HOURS",3,
     CALLS[[#This Row],[DURATION BACKET]]="&gt; 2 HOURS",4)</f>
        <v>3</v>
      </c>
      <c r="N457">
        <f>(CALLS[[#This Row],[Purchase Amount]]/ 1)</f>
        <v>44</v>
      </c>
    </row>
    <row r="458" spans="2:14" x14ac:dyDescent="0.25">
      <c r="B458" s="22" t="s">
        <v>480</v>
      </c>
      <c r="C458" s="4" t="s">
        <v>19</v>
      </c>
      <c r="D458" s="4">
        <v>137</v>
      </c>
      <c r="E458" s="5" t="s">
        <v>13</v>
      </c>
      <c r="F458" s="9">
        <v>45053</v>
      </c>
      <c r="G458" s="4">
        <v>44</v>
      </c>
      <c r="H458" s="23">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Row],[Duration]]&lt;=30,"10 TO 30 MINS",
     CALLS[[#This Row],[Duration]]&lt;=120,"1 TO 2 HOURS",
     TRUE,"&gt; 2 HOURS")</f>
        <v>&gt; 2 HOURS</v>
      </c>
      <c r="L458">
        <f>ROUND(CALLS[[#This Row],[Satisfaction Rating]],0)</f>
        <v>5</v>
      </c>
      <c r="M458" cm="1">
        <f t="array" ref="M458">_xlfn.IFS(CALLS[[#This Row],[DURATION BACKET]]="UNDER 10 MINS",1,
     CALLS[[#This Row],[DURATION BACKET]]="10 TO 30 MINS",2,
     CALLS[[#This Row],[DURATION BACKET]]="1 TO 2 HOURS",3,
     CALLS[[#This Row],[DURATION BACKET]]="&gt; 2 HOURS",4)</f>
        <v>4</v>
      </c>
      <c r="N458">
        <f>(CALLS[[#This Row],[Purchase Amount]]/ 1)</f>
        <v>44</v>
      </c>
    </row>
    <row r="459" spans="2:14" x14ac:dyDescent="0.25">
      <c r="B459" s="22" t="s">
        <v>481</v>
      </c>
      <c r="C459" s="4" t="s">
        <v>20</v>
      </c>
      <c r="D459" s="4">
        <v>52</v>
      </c>
      <c r="E459" s="5" t="s">
        <v>9</v>
      </c>
      <c r="F459" s="9">
        <v>45054</v>
      </c>
      <c r="G459" s="4">
        <v>37</v>
      </c>
      <c r="H459" s="23">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Row],[Duration]]&lt;=30,"10 TO 30 MINS",
     CALLS[[#This Row],[Duration]]&lt;=120,"1 TO 2 HOURS",
     TRUE,"&gt; 2 HOURS")</f>
        <v>1 TO 2 HOURS</v>
      </c>
      <c r="L459">
        <f>ROUND(CALLS[[#This Row],[Satisfaction Rating]],0)</f>
        <v>5</v>
      </c>
      <c r="M459" cm="1">
        <f t="array" ref="M459">_xlfn.IFS(CALLS[[#This Row],[DURATION BACKET]]="UNDER 10 MINS",1,
     CALLS[[#This Row],[DURATION BACKET]]="10 TO 30 MINS",2,
     CALLS[[#This Row],[DURATION BACKET]]="1 TO 2 HOURS",3,
     CALLS[[#This Row],[DURATION BACKET]]="&gt; 2 HOURS",4)</f>
        <v>3</v>
      </c>
      <c r="N459">
        <f>(CALLS[[#This Row],[Purchase Amount]]/ 1)</f>
        <v>37</v>
      </c>
    </row>
    <row r="460" spans="2:14" x14ac:dyDescent="0.25">
      <c r="B460" s="22" t="s">
        <v>482</v>
      </c>
      <c r="C460" s="4" t="s">
        <v>12</v>
      </c>
      <c r="D460" s="4">
        <v>31</v>
      </c>
      <c r="E460" s="5" t="s">
        <v>11</v>
      </c>
      <c r="F460" s="9">
        <v>45054</v>
      </c>
      <c r="G460" s="4">
        <v>180</v>
      </c>
      <c r="H460" s="23">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Row],[Duration]]&lt;=30,"10 TO 30 MINS",
     CALLS[[#This Row],[Duration]]&lt;=120,"1 TO 2 HOURS",
     TRUE,"&gt; 2 HOURS")</f>
        <v>1 TO 2 HOURS</v>
      </c>
      <c r="L460">
        <f>ROUND(CALLS[[#This Row],[Satisfaction Rating]],0)</f>
        <v>5</v>
      </c>
      <c r="M460" cm="1">
        <f t="array" ref="M460">_xlfn.IFS(CALLS[[#This Row],[DURATION BACKET]]="UNDER 10 MINS",1,
     CALLS[[#This Row],[DURATION BACKET]]="10 TO 30 MINS",2,
     CALLS[[#This Row],[DURATION BACKET]]="1 TO 2 HOURS",3,
     CALLS[[#This Row],[DURATION BACKET]]="&gt; 2 HOURS",4)</f>
        <v>3</v>
      </c>
      <c r="N460">
        <f>(CALLS[[#This Row],[Purchase Amount]]/ 1)</f>
        <v>180</v>
      </c>
    </row>
    <row r="461" spans="2:14" x14ac:dyDescent="0.25">
      <c r="B461" s="22" t="s">
        <v>483</v>
      </c>
      <c r="C461" s="4" t="s">
        <v>20</v>
      </c>
      <c r="D461" s="4">
        <v>114</v>
      </c>
      <c r="E461" s="5" t="s">
        <v>6</v>
      </c>
      <c r="F461" s="9">
        <v>45054</v>
      </c>
      <c r="G461" s="4">
        <v>105</v>
      </c>
      <c r="H461" s="23">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Row],[Duration]]&lt;=30,"10 TO 30 MINS",
     CALLS[[#This Row],[Duration]]&lt;=120,"1 TO 2 HOURS",
     TRUE,"&gt; 2 HOURS")</f>
        <v>1 TO 2 HOURS</v>
      </c>
      <c r="L461">
        <f>ROUND(CALLS[[#This Row],[Satisfaction Rating]],0)</f>
        <v>5</v>
      </c>
      <c r="M461" cm="1">
        <f t="array" ref="M461">_xlfn.IFS(CALLS[[#This Row],[DURATION BACKET]]="UNDER 10 MINS",1,
     CALLS[[#This Row],[DURATION BACKET]]="10 TO 30 MINS",2,
     CALLS[[#This Row],[DURATION BACKET]]="1 TO 2 HOURS",3,
     CALLS[[#This Row],[DURATION BACKET]]="&gt; 2 HOURS",4)</f>
        <v>3</v>
      </c>
      <c r="N461">
        <f>(CALLS[[#This Row],[Purchase Amount]]/ 1)</f>
        <v>105</v>
      </c>
    </row>
    <row r="462" spans="2:14" x14ac:dyDescent="0.25">
      <c r="B462" s="22" t="s">
        <v>484</v>
      </c>
      <c r="C462" s="4" t="s">
        <v>19</v>
      </c>
      <c r="D462" s="4">
        <v>73</v>
      </c>
      <c r="E462" s="5" t="s">
        <v>10</v>
      </c>
      <c r="F462" s="9">
        <v>45054</v>
      </c>
      <c r="G462" s="4">
        <v>87</v>
      </c>
      <c r="H462" s="23">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Row],[Duration]]&lt;=30,"10 TO 30 MINS",
     CALLS[[#This Row],[Duration]]&lt;=120,"1 TO 2 HOURS",
     TRUE,"&gt; 2 HOURS")</f>
        <v>1 TO 2 HOURS</v>
      </c>
      <c r="L462">
        <f>ROUND(CALLS[[#This Row],[Satisfaction Rating]],0)</f>
        <v>4</v>
      </c>
      <c r="M462" cm="1">
        <f t="array" ref="M462">_xlfn.IFS(CALLS[[#This Row],[DURATION BACKET]]="UNDER 10 MINS",1,
     CALLS[[#This Row],[DURATION BACKET]]="10 TO 30 MINS",2,
     CALLS[[#This Row],[DURATION BACKET]]="1 TO 2 HOURS",3,
     CALLS[[#This Row],[DURATION BACKET]]="&gt; 2 HOURS",4)</f>
        <v>3</v>
      </c>
      <c r="N462">
        <f>(CALLS[[#This Row],[Purchase Amount]]/ 1)</f>
        <v>87</v>
      </c>
    </row>
    <row r="463" spans="2:14" x14ac:dyDescent="0.25">
      <c r="B463" s="22" t="s">
        <v>485</v>
      </c>
      <c r="C463" s="4" t="s">
        <v>22</v>
      </c>
      <c r="D463" s="4">
        <v>25</v>
      </c>
      <c r="E463" s="5" t="s">
        <v>11</v>
      </c>
      <c r="F463" s="9">
        <v>45054</v>
      </c>
      <c r="G463" s="4">
        <v>52</v>
      </c>
      <c r="H463" s="2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Row],[Duration]]&lt;=30,"10 TO 30 MINS",
     CALLS[[#This Row],[Duration]]&lt;=120,"1 TO 2 HOURS",
     TRUE,"&gt; 2 HOURS")</f>
        <v>10 TO 30 MINS</v>
      </c>
      <c r="L463">
        <f>ROUND(CALLS[[#This Row],[Satisfaction Rating]],0)</f>
        <v>4</v>
      </c>
      <c r="M463" cm="1">
        <f t="array" ref="M463">_xlfn.IFS(CALLS[[#This Row],[DURATION BACKET]]="UNDER 10 MINS",1,
     CALLS[[#This Row],[DURATION BACKET]]="10 TO 30 MINS",2,
     CALLS[[#This Row],[DURATION BACKET]]="1 TO 2 HOURS",3,
     CALLS[[#This Row],[DURATION BACKET]]="&gt; 2 HOURS",4)</f>
        <v>2</v>
      </c>
      <c r="N463">
        <f>(CALLS[[#This Row],[Purchase Amount]]/ 1)</f>
        <v>52</v>
      </c>
    </row>
    <row r="464" spans="2:14" x14ac:dyDescent="0.25">
      <c r="B464" s="22" t="s">
        <v>486</v>
      </c>
      <c r="C464" s="4" t="s">
        <v>8</v>
      </c>
      <c r="D464" s="4">
        <v>44</v>
      </c>
      <c r="E464" s="5" t="s">
        <v>6</v>
      </c>
      <c r="F464" s="9">
        <v>45054</v>
      </c>
      <c r="G464" s="4">
        <v>63</v>
      </c>
      <c r="H464" s="23">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Row],[Duration]]&lt;=30,"10 TO 30 MINS",
     CALLS[[#This Row],[Duration]]&lt;=120,"1 TO 2 HOURS",
     TRUE,"&gt; 2 HOURS")</f>
        <v>1 TO 2 HOURS</v>
      </c>
      <c r="L464">
        <f>ROUND(CALLS[[#This Row],[Satisfaction Rating]],0)</f>
        <v>4</v>
      </c>
      <c r="M464" cm="1">
        <f t="array" ref="M464">_xlfn.IFS(CALLS[[#This Row],[DURATION BACKET]]="UNDER 10 MINS",1,
     CALLS[[#This Row],[DURATION BACKET]]="10 TO 30 MINS",2,
     CALLS[[#This Row],[DURATION BACKET]]="1 TO 2 HOURS",3,
     CALLS[[#This Row],[DURATION BACKET]]="&gt; 2 HOURS",4)</f>
        <v>3</v>
      </c>
      <c r="N464">
        <f>(CALLS[[#This Row],[Purchase Amount]]/ 1)</f>
        <v>63</v>
      </c>
    </row>
    <row r="465" spans="2:14" x14ac:dyDescent="0.25">
      <c r="B465" s="22" t="s">
        <v>487</v>
      </c>
      <c r="C465" s="4" t="s">
        <v>7</v>
      </c>
      <c r="D465" s="4">
        <v>34</v>
      </c>
      <c r="E465" s="5" t="s">
        <v>9</v>
      </c>
      <c r="F465" s="9">
        <v>45055</v>
      </c>
      <c r="G465" s="4">
        <v>195</v>
      </c>
      <c r="H465" s="23">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Row],[Duration]]&lt;=30,"10 TO 30 MINS",
     CALLS[[#This Row],[Duration]]&lt;=120,"1 TO 2 HOURS",
     TRUE,"&gt; 2 HOURS")</f>
        <v>1 TO 2 HOURS</v>
      </c>
      <c r="L465">
        <f>ROUND(CALLS[[#This Row],[Satisfaction Rating]],0)</f>
        <v>5</v>
      </c>
      <c r="M465" cm="1">
        <f t="array" ref="M465">_xlfn.IFS(CALLS[[#This Row],[DURATION BACKET]]="UNDER 10 MINS",1,
     CALLS[[#This Row],[DURATION BACKET]]="10 TO 30 MINS",2,
     CALLS[[#This Row],[DURATION BACKET]]="1 TO 2 HOURS",3,
     CALLS[[#This Row],[DURATION BACKET]]="&gt; 2 HOURS",4)</f>
        <v>3</v>
      </c>
      <c r="N465">
        <f>(CALLS[[#This Row],[Purchase Amount]]/ 1)</f>
        <v>195</v>
      </c>
    </row>
    <row r="466" spans="2:14" x14ac:dyDescent="0.25">
      <c r="B466" s="22" t="s">
        <v>488</v>
      </c>
      <c r="C466" s="4" t="s">
        <v>5</v>
      </c>
      <c r="D466" s="4">
        <v>89</v>
      </c>
      <c r="E466" s="5" t="s">
        <v>13</v>
      </c>
      <c r="F466" s="9">
        <v>45056</v>
      </c>
      <c r="G466" s="4">
        <v>176</v>
      </c>
      <c r="H466" s="23">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Row],[Duration]]&lt;=30,"10 TO 30 MINS",
     CALLS[[#This Row],[Duration]]&lt;=120,"1 TO 2 HOURS",
     TRUE,"&gt; 2 HOURS")</f>
        <v>1 TO 2 HOURS</v>
      </c>
      <c r="L466">
        <f>ROUND(CALLS[[#This Row],[Satisfaction Rating]],0)</f>
        <v>5</v>
      </c>
      <c r="M466" cm="1">
        <f t="array" ref="M466">_xlfn.IFS(CALLS[[#This Row],[DURATION BACKET]]="UNDER 10 MINS",1,
     CALLS[[#This Row],[DURATION BACKET]]="10 TO 30 MINS",2,
     CALLS[[#This Row],[DURATION BACKET]]="1 TO 2 HOURS",3,
     CALLS[[#This Row],[DURATION BACKET]]="&gt; 2 HOURS",4)</f>
        <v>3</v>
      </c>
      <c r="N466">
        <f>(CALLS[[#This Row],[Purchase Amount]]/ 1)</f>
        <v>176</v>
      </c>
    </row>
    <row r="467" spans="2:14" x14ac:dyDescent="0.25">
      <c r="B467" s="22" t="s">
        <v>489</v>
      </c>
      <c r="C467" s="4" t="s">
        <v>18</v>
      </c>
      <c r="D467" s="4">
        <v>54</v>
      </c>
      <c r="E467" s="5" t="s">
        <v>11</v>
      </c>
      <c r="F467" s="9">
        <v>45057</v>
      </c>
      <c r="G467" s="4">
        <v>31</v>
      </c>
      <c r="H467" s="23">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Row],[Duration]]&lt;=30,"10 TO 30 MINS",
     CALLS[[#This Row],[Duration]]&lt;=120,"1 TO 2 HOURS",
     TRUE,"&gt; 2 HOURS")</f>
        <v>1 TO 2 HOURS</v>
      </c>
      <c r="L467">
        <f>ROUND(CALLS[[#This Row],[Satisfaction Rating]],0)</f>
        <v>3</v>
      </c>
      <c r="M467" cm="1">
        <f t="array" ref="M467">_xlfn.IFS(CALLS[[#This Row],[DURATION BACKET]]="UNDER 10 MINS",1,
     CALLS[[#This Row],[DURATION BACKET]]="10 TO 30 MINS",2,
     CALLS[[#This Row],[DURATION BACKET]]="1 TO 2 HOURS",3,
     CALLS[[#This Row],[DURATION BACKET]]="&gt; 2 HOURS",4)</f>
        <v>3</v>
      </c>
      <c r="N467">
        <f>(CALLS[[#This Row],[Purchase Amount]]/ 1)</f>
        <v>31</v>
      </c>
    </row>
    <row r="468" spans="2:14" x14ac:dyDescent="0.25">
      <c r="B468" s="22" t="s">
        <v>490</v>
      </c>
      <c r="C468" s="4" t="s">
        <v>23</v>
      </c>
      <c r="D468" s="4">
        <v>25</v>
      </c>
      <c r="E468" s="5" t="s">
        <v>11</v>
      </c>
      <c r="F468" s="9">
        <v>45058</v>
      </c>
      <c r="G468" s="4">
        <v>27</v>
      </c>
      <c r="H468" s="23">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Row],[Duration]]&lt;=30,"10 TO 30 MINS",
     CALLS[[#This Row],[Duration]]&lt;=120,"1 TO 2 HOURS",
     TRUE,"&gt; 2 HOURS")</f>
        <v>10 TO 30 MINS</v>
      </c>
      <c r="L468">
        <f>ROUND(CALLS[[#This Row],[Satisfaction Rating]],0)</f>
        <v>3</v>
      </c>
      <c r="M468" cm="1">
        <f t="array" ref="M468">_xlfn.IFS(CALLS[[#This Row],[DURATION BACKET]]="UNDER 10 MINS",1,
     CALLS[[#This Row],[DURATION BACKET]]="10 TO 30 MINS",2,
     CALLS[[#This Row],[DURATION BACKET]]="1 TO 2 HOURS",3,
     CALLS[[#This Row],[DURATION BACKET]]="&gt; 2 HOURS",4)</f>
        <v>2</v>
      </c>
      <c r="N468">
        <f>(CALLS[[#This Row],[Purchase Amount]]/ 1)</f>
        <v>27</v>
      </c>
    </row>
    <row r="469" spans="2:14" x14ac:dyDescent="0.25">
      <c r="B469" s="22" t="s">
        <v>491</v>
      </c>
      <c r="C469" s="4" t="s">
        <v>14</v>
      </c>
      <c r="D469" s="4">
        <v>91</v>
      </c>
      <c r="E469" s="5" t="s">
        <v>13</v>
      </c>
      <c r="F469" s="9">
        <v>45058</v>
      </c>
      <c r="G469" s="4">
        <v>76</v>
      </c>
      <c r="H469" s="23">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Row],[Duration]]&lt;=30,"10 TO 30 MINS",
     CALLS[[#This Row],[Duration]]&lt;=120,"1 TO 2 HOURS",
     TRUE,"&gt; 2 HOURS")</f>
        <v>1 TO 2 HOURS</v>
      </c>
      <c r="L469">
        <f>ROUND(CALLS[[#This Row],[Satisfaction Rating]],0)</f>
        <v>5</v>
      </c>
      <c r="M469" cm="1">
        <f t="array" ref="M469">_xlfn.IFS(CALLS[[#This Row],[DURATION BACKET]]="UNDER 10 MINS",1,
     CALLS[[#This Row],[DURATION BACKET]]="10 TO 30 MINS",2,
     CALLS[[#This Row],[DURATION BACKET]]="1 TO 2 HOURS",3,
     CALLS[[#This Row],[DURATION BACKET]]="&gt; 2 HOURS",4)</f>
        <v>3</v>
      </c>
      <c r="N469">
        <f>(CALLS[[#This Row],[Purchase Amount]]/ 1)</f>
        <v>76</v>
      </c>
    </row>
    <row r="470" spans="2:14" x14ac:dyDescent="0.25">
      <c r="B470" s="22" t="s">
        <v>492</v>
      </c>
      <c r="C470" s="4" t="s">
        <v>8</v>
      </c>
      <c r="D470" s="4">
        <v>144</v>
      </c>
      <c r="E470" s="5" t="s">
        <v>6</v>
      </c>
      <c r="F470" s="9">
        <v>45058</v>
      </c>
      <c r="G470" s="4">
        <v>62</v>
      </c>
      <c r="H470" s="23">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Row],[Duration]]&lt;=30,"10 TO 30 MINS",
     CALLS[[#This Row],[Duration]]&lt;=120,"1 TO 2 HOURS",
     TRUE,"&gt; 2 HOURS")</f>
        <v>&gt; 2 HOURS</v>
      </c>
      <c r="L470">
        <f>ROUND(CALLS[[#This Row],[Satisfaction Rating]],0)</f>
        <v>5</v>
      </c>
      <c r="M470" cm="1">
        <f t="array" ref="M470">_xlfn.IFS(CALLS[[#This Row],[DURATION BACKET]]="UNDER 10 MINS",1,
     CALLS[[#This Row],[DURATION BACKET]]="10 TO 30 MINS",2,
     CALLS[[#This Row],[DURATION BACKET]]="1 TO 2 HOURS",3,
     CALLS[[#This Row],[DURATION BACKET]]="&gt; 2 HOURS",4)</f>
        <v>4</v>
      </c>
      <c r="N470">
        <f>(CALLS[[#This Row],[Purchase Amount]]/ 1)</f>
        <v>62</v>
      </c>
    </row>
    <row r="471" spans="2:14" x14ac:dyDescent="0.25">
      <c r="B471" s="22" t="s">
        <v>493</v>
      </c>
      <c r="C471" s="4" t="s">
        <v>14</v>
      </c>
      <c r="D471" s="4">
        <v>81</v>
      </c>
      <c r="E471" s="5" t="s">
        <v>9</v>
      </c>
      <c r="F471" s="9">
        <v>45060</v>
      </c>
      <c r="G471" s="4">
        <v>100</v>
      </c>
      <c r="H471" s="23">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Row],[Duration]]&lt;=30,"10 TO 30 MINS",
     CALLS[[#This Row],[Duration]]&lt;=120,"1 TO 2 HOURS",
     TRUE,"&gt; 2 HOURS")</f>
        <v>1 TO 2 HOURS</v>
      </c>
      <c r="L471">
        <f>ROUND(CALLS[[#This Row],[Satisfaction Rating]],0)</f>
        <v>1</v>
      </c>
      <c r="M471" cm="1">
        <f t="array" ref="M471">_xlfn.IFS(CALLS[[#This Row],[DURATION BACKET]]="UNDER 10 MINS",1,
     CALLS[[#This Row],[DURATION BACKET]]="10 TO 30 MINS",2,
     CALLS[[#This Row],[DURATION BACKET]]="1 TO 2 HOURS",3,
     CALLS[[#This Row],[DURATION BACKET]]="&gt; 2 HOURS",4)</f>
        <v>3</v>
      </c>
      <c r="N471">
        <f>(CALLS[[#This Row],[Purchase Amount]]/ 1)</f>
        <v>100</v>
      </c>
    </row>
    <row r="472" spans="2:14" x14ac:dyDescent="0.25">
      <c r="B472" s="22" t="s">
        <v>494</v>
      </c>
      <c r="C472" s="4" t="s">
        <v>17</v>
      </c>
      <c r="D472" s="4">
        <v>92</v>
      </c>
      <c r="E472" s="5" t="s">
        <v>11</v>
      </c>
      <c r="F472" s="9">
        <v>45060</v>
      </c>
      <c r="G472" s="4">
        <v>44</v>
      </c>
      <c r="H472" s="23">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Row],[Duration]]&lt;=30,"10 TO 30 MINS",
     CALLS[[#This Row],[Duration]]&lt;=120,"1 TO 2 HOURS",
     TRUE,"&gt; 2 HOURS")</f>
        <v>1 TO 2 HOURS</v>
      </c>
      <c r="L472">
        <f>ROUND(CALLS[[#This Row],[Satisfaction Rating]],0)</f>
        <v>3</v>
      </c>
      <c r="M472" cm="1">
        <f t="array" ref="M472">_xlfn.IFS(CALLS[[#This Row],[DURATION BACKET]]="UNDER 10 MINS",1,
     CALLS[[#This Row],[DURATION BACKET]]="10 TO 30 MINS",2,
     CALLS[[#This Row],[DURATION BACKET]]="1 TO 2 HOURS",3,
     CALLS[[#This Row],[DURATION BACKET]]="&gt; 2 HOURS",4)</f>
        <v>3</v>
      </c>
      <c r="N472">
        <f>(CALLS[[#This Row],[Purchase Amount]]/ 1)</f>
        <v>44</v>
      </c>
    </row>
    <row r="473" spans="2:14" x14ac:dyDescent="0.25">
      <c r="B473" s="22" t="s">
        <v>495</v>
      </c>
      <c r="C473" s="4" t="s">
        <v>23</v>
      </c>
      <c r="D473" s="4">
        <v>115</v>
      </c>
      <c r="E473" s="5" t="s">
        <v>13</v>
      </c>
      <c r="F473" s="9">
        <v>45060</v>
      </c>
      <c r="G473" s="4">
        <v>168</v>
      </c>
      <c r="H473" s="2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Row],[Duration]]&lt;=30,"10 TO 30 MINS",
     CALLS[[#This Row],[Duration]]&lt;=120,"1 TO 2 HOURS",
     TRUE,"&gt; 2 HOURS")</f>
        <v>1 TO 2 HOURS</v>
      </c>
      <c r="L473">
        <f>ROUND(CALLS[[#This Row],[Satisfaction Rating]],0)</f>
        <v>3</v>
      </c>
      <c r="M473" cm="1">
        <f t="array" ref="M473">_xlfn.IFS(CALLS[[#This Row],[DURATION BACKET]]="UNDER 10 MINS",1,
     CALLS[[#This Row],[DURATION BACKET]]="10 TO 30 MINS",2,
     CALLS[[#This Row],[DURATION BACKET]]="1 TO 2 HOURS",3,
     CALLS[[#This Row],[DURATION BACKET]]="&gt; 2 HOURS",4)</f>
        <v>3</v>
      </c>
      <c r="N473">
        <f>(CALLS[[#This Row],[Purchase Amount]]/ 1)</f>
        <v>168</v>
      </c>
    </row>
    <row r="474" spans="2:14" x14ac:dyDescent="0.25">
      <c r="B474" s="22" t="s">
        <v>496</v>
      </c>
      <c r="C474" s="4" t="s">
        <v>15</v>
      </c>
      <c r="D474" s="4">
        <v>56</v>
      </c>
      <c r="E474" s="5" t="s">
        <v>13</v>
      </c>
      <c r="F474" s="9">
        <v>45061</v>
      </c>
      <c r="G474" s="4">
        <v>200</v>
      </c>
      <c r="H474" s="23">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Row],[Duration]]&lt;=30,"10 TO 30 MINS",
     CALLS[[#This Row],[Duration]]&lt;=120,"1 TO 2 HOURS",
     TRUE,"&gt; 2 HOURS")</f>
        <v>1 TO 2 HOURS</v>
      </c>
      <c r="L474">
        <f>ROUND(CALLS[[#This Row],[Satisfaction Rating]],0)</f>
        <v>5</v>
      </c>
      <c r="M474" cm="1">
        <f t="array" ref="M474">_xlfn.IFS(CALLS[[#This Row],[DURATION BACKET]]="UNDER 10 MINS",1,
     CALLS[[#This Row],[DURATION BACKET]]="10 TO 30 MINS",2,
     CALLS[[#This Row],[DURATION BACKET]]="1 TO 2 HOURS",3,
     CALLS[[#This Row],[DURATION BACKET]]="&gt; 2 HOURS",4)</f>
        <v>3</v>
      </c>
      <c r="N474">
        <f>(CALLS[[#This Row],[Purchase Amount]]/ 1)</f>
        <v>200</v>
      </c>
    </row>
    <row r="475" spans="2:14" x14ac:dyDescent="0.25">
      <c r="B475" s="22" t="s">
        <v>497</v>
      </c>
      <c r="C475" s="4" t="s">
        <v>12</v>
      </c>
      <c r="D475" s="4">
        <v>154</v>
      </c>
      <c r="E475" s="5" t="s">
        <v>11</v>
      </c>
      <c r="F475" s="9">
        <v>45061</v>
      </c>
      <c r="G475" s="4">
        <v>84</v>
      </c>
      <c r="H475" s="23">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Row],[Duration]]&lt;=30,"10 TO 30 MINS",
     CALLS[[#This Row],[Duration]]&lt;=120,"1 TO 2 HOURS",
     TRUE,"&gt; 2 HOURS")</f>
        <v>&gt; 2 HOURS</v>
      </c>
      <c r="L475">
        <f>ROUND(CALLS[[#This Row],[Satisfaction Rating]],0)</f>
        <v>4</v>
      </c>
      <c r="M475" cm="1">
        <f t="array" ref="M475">_xlfn.IFS(CALLS[[#This Row],[DURATION BACKET]]="UNDER 10 MINS",1,
     CALLS[[#This Row],[DURATION BACKET]]="10 TO 30 MINS",2,
     CALLS[[#This Row],[DURATION BACKET]]="1 TO 2 HOURS",3,
     CALLS[[#This Row],[DURATION BACKET]]="&gt; 2 HOURS",4)</f>
        <v>4</v>
      </c>
      <c r="N475">
        <f>(CALLS[[#This Row],[Purchase Amount]]/ 1)</f>
        <v>84</v>
      </c>
    </row>
    <row r="476" spans="2:14" x14ac:dyDescent="0.25">
      <c r="B476" s="22" t="s">
        <v>498</v>
      </c>
      <c r="C476" s="4" t="s">
        <v>5</v>
      </c>
      <c r="D476" s="4">
        <v>51</v>
      </c>
      <c r="E476" s="5" t="s">
        <v>13</v>
      </c>
      <c r="F476" s="9">
        <v>45062</v>
      </c>
      <c r="G476" s="4">
        <v>117</v>
      </c>
      <c r="H476" s="23">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Row],[Duration]]&lt;=30,"10 TO 30 MINS",
     CALLS[[#This Row],[Duration]]&lt;=120,"1 TO 2 HOURS",
     TRUE,"&gt; 2 HOURS")</f>
        <v>1 TO 2 HOURS</v>
      </c>
      <c r="L476">
        <f>ROUND(CALLS[[#This Row],[Satisfaction Rating]],0)</f>
        <v>3</v>
      </c>
      <c r="M476" cm="1">
        <f t="array" ref="M476">_xlfn.IFS(CALLS[[#This Row],[DURATION BACKET]]="UNDER 10 MINS",1,
     CALLS[[#This Row],[DURATION BACKET]]="10 TO 30 MINS",2,
     CALLS[[#This Row],[DURATION BACKET]]="1 TO 2 HOURS",3,
     CALLS[[#This Row],[DURATION BACKET]]="&gt; 2 HOURS",4)</f>
        <v>3</v>
      </c>
      <c r="N476">
        <f>(CALLS[[#This Row],[Purchase Amount]]/ 1)</f>
        <v>117</v>
      </c>
    </row>
    <row r="477" spans="2:14" x14ac:dyDescent="0.25">
      <c r="B477" s="22" t="s">
        <v>499</v>
      </c>
      <c r="C477" s="4" t="s">
        <v>7</v>
      </c>
      <c r="D477" s="4">
        <v>21</v>
      </c>
      <c r="E477" s="5" t="s">
        <v>9</v>
      </c>
      <c r="F477" s="9">
        <v>45062</v>
      </c>
      <c r="G477" s="4">
        <v>63</v>
      </c>
      <c r="H477" s="23">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Row],[Duration]]&lt;=30,"10 TO 30 MINS",
     CALLS[[#This Row],[Duration]]&lt;=120,"1 TO 2 HOURS",
     TRUE,"&gt; 2 HOURS")</f>
        <v>10 TO 30 MINS</v>
      </c>
      <c r="L477">
        <f>ROUND(CALLS[[#This Row],[Satisfaction Rating]],0)</f>
        <v>4</v>
      </c>
      <c r="M477" cm="1">
        <f t="array" ref="M477">_xlfn.IFS(CALLS[[#This Row],[DURATION BACKET]]="UNDER 10 MINS",1,
     CALLS[[#This Row],[DURATION BACKET]]="10 TO 30 MINS",2,
     CALLS[[#This Row],[DURATION BACKET]]="1 TO 2 HOURS",3,
     CALLS[[#This Row],[DURATION BACKET]]="&gt; 2 HOURS",4)</f>
        <v>2</v>
      </c>
      <c r="N477">
        <f>(CALLS[[#This Row],[Purchase Amount]]/ 1)</f>
        <v>63</v>
      </c>
    </row>
    <row r="478" spans="2:14" x14ac:dyDescent="0.25">
      <c r="B478" s="22" t="s">
        <v>500</v>
      </c>
      <c r="C478" s="4" t="s">
        <v>23</v>
      </c>
      <c r="D478" s="4">
        <v>80</v>
      </c>
      <c r="E478" s="5" t="s">
        <v>13</v>
      </c>
      <c r="F478" s="9">
        <v>45063</v>
      </c>
      <c r="G478" s="4">
        <v>145</v>
      </c>
      <c r="H478" s="23">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Row],[Duration]]&lt;=30,"10 TO 30 MINS",
     CALLS[[#This Row],[Duration]]&lt;=120,"1 TO 2 HOURS",
     TRUE,"&gt; 2 HOURS")</f>
        <v>1 TO 2 HOURS</v>
      </c>
      <c r="L478">
        <f>ROUND(CALLS[[#This Row],[Satisfaction Rating]],0)</f>
        <v>5</v>
      </c>
      <c r="M478" cm="1">
        <f t="array" ref="M478">_xlfn.IFS(CALLS[[#This Row],[DURATION BACKET]]="UNDER 10 MINS",1,
     CALLS[[#This Row],[DURATION BACKET]]="10 TO 30 MINS",2,
     CALLS[[#This Row],[DURATION BACKET]]="1 TO 2 HOURS",3,
     CALLS[[#This Row],[DURATION BACKET]]="&gt; 2 HOURS",4)</f>
        <v>3</v>
      </c>
      <c r="N478">
        <f>(CALLS[[#This Row],[Purchase Amount]]/ 1)</f>
        <v>145</v>
      </c>
    </row>
    <row r="479" spans="2:14" x14ac:dyDescent="0.25">
      <c r="B479" s="22" t="s">
        <v>501</v>
      </c>
      <c r="C479" s="4" t="s">
        <v>5</v>
      </c>
      <c r="D479" s="4">
        <v>139</v>
      </c>
      <c r="E479" s="5" t="s">
        <v>11</v>
      </c>
      <c r="F479" s="9">
        <v>45063</v>
      </c>
      <c r="G479" s="4">
        <v>220</v>
      </c>
      <c r="H479" s="23">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Row],[Duration]]&lt;=30,"10 TO 30 MINS",
     CALLS[[#This Row],[Duration]]&lt;=120,"1 TO 2 HOURS",
     TRUE,"&gt; 2 HOURS")</f>
        <v>&gt; 2 HOURS</v>
      </c>
      <c r="L479">
        <f>ROUND(CALLS[[#This Row],[Satisfaction Rating]],0)</f>
        <v>3</v>
      </c>
      <c r="M479" cm="1">
        <f t="array" ref="M479">_xlfn.IFS(CALLS[[#This Row],[DURATION BACKET]]="UNDER 10 MINS",1,
     CALLS[[#This Row],[DURATION BACKET]]="10 TO 30 MINS",2,
     CALLS[[#This Row],[DURATION BACKET]]="1 TO 2 HOURS",3,
     CALLS[[#This Row],[DURATION BACKET]]="&gt; 2 HOURS",4)</f>
        <v>4</v>
      </c>
      <c r="N479">
        <f>(CALLS[[#This Row],[Purchase Amount]]/ 1)</f>
        <v>220</v>
      </c>
    </row>
    <row r="480" spans="2:14" x14ac:dyDescent="0.25">
      <c r="B480" s="22" t="s">
        <v>502</v>
      </c>
      <c r="C480" s="4" t="s">
        <v>24</v>
      </c>
      <c r="D480" s="4">
        <v>50</v>
      </c>
      <c r="E480" s="5" t="s">
        <v>9</v>
      </c>
      <c r="F480" s="9">
        <v>45063</v>
      </c>
      <c r="G480" s="4">
        <v>26</v>
      </c>
      <c r="H480" s="23">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Row],[Duration]]&lt;=30,"10 TO 30 MINS",
     CALLS[[#This Row],[Duration]]&lt;=120,"1 TO 2 HOURS",
     TRUE,"&gt; 2 HOURS")</f>
        <v>1 TO 2 HOURS</v>
      </c>
      <c r="L480">
        <f>ROUND(CALLS[[#This Row],[Satisfaction Rating]],0)</f>
        <v>5</v>
      </c>
      <c r="M480" cm="1">
        <f t="array" ref="M480">_xlfn.IFS(CALLS[[#This Row],[DURATION BACKET]]="UNDER 10 MINS",1,
     CALLS[[#This Row],[DURATION BACKET]]="10 TO 30 MINS",2,
     CALLS[[#This Row],[DURATION BACKET]]="1 TO 2 HOURS",3,
     CALLS[[#This Row],[DURATION BACKET]]="&gt; 2 HOURS",4)</f>
        <v>3</v>
      </c>
      <c r="N480">
        <f>(CALLS[[#This Row],[Purchase Amount]]/ 1)</f>
        <v>26</v>
      </c>
    </row>
    <row r="481" spans="2:14" x14ac:dyDescent="0.25">
      <c r="B481" s="22" t="s">
        <v>503</v>
      </c>
      <c r="C481" s="4" t="s">
        <v>23</v>
      </c>
      <c r="D481" s="4">
        <v>88</v>
      </c>
      <c r="E481" s="5" t="s">
        <v>13</v>
      </c>
      <c r="F481" s="9">
        <v>45063</v>
      </c>
      <c r="G481" s="4">
        <v>78</v>
      </c>
      <c r="H481" s="23">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Row],[Duration]]&lt;=30,"10 TO 30 MINS",
     CALLS[[#This Row],[Duration]]&lt;=120,"1 TO 2 HOURS",
     TRUE,"&gt; 2 HOURS")</f>
        <v>1 TO 2 HOURS</v>
      </c>
      <c r="L481">
        <f>ROUND(CALLS[[#This Row],[Satisfaction Rating]],0)</f>
        <v>4</v>
      </c>
      <c r="M481" cm="1">
        <f t="array" ref="M481">_xlfn.IFS(CALLS[[#This Row],[DURATION BACKET]]="UNDER 10 MINS",1,
     CALLS[[#This Row],[DURATION BACKET]]="10 TO 30 MINS",2,
     CALLS[[#This Row],[DURATION BACKET]]="1 TO 2 HOURS",3,
     CALLS[[#This Row],[DURATION BACKET]]="&gt; 2 HOURS",4)</f>
        <v>3</v>
      </c>
      <c r="N481">
        <f>(CALLS[[#This Row],[Purchase Amount]]/ 1)</f>
        <v>78</v>
      </c>
    </row>
    <row r="482" spans="2:14" x14ac:dyDescent="0.25">
      <c r="B482" s="22" t="s">
        <v>504</v>
      </c>
      <c r="C482" s="4" t="s">
        <v>18</v>
      </c>
      <c r="D482" s="4">
        <v>19</v>
      </c>
      <c r="E482" s="5" t="s">
        <v>6</v>
      </c>
      <c r="F482" s="9">
        <v>45064</v>
      </c>
      <c r="G482" s="4">
        <v>132</v>
      </c>
      <c r="H482" s="23">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Row],[Duration]]&lt;=30,"10 TO 30 MINS",
     CALLS[[#This Row],[Duration]]&lt;=120,"1 TO 2 HOURS",
     TRUE,"&gt; 2 HOURS")</f>
        <v>10 TO 30 MINS</v>
      </c>
      <c r="L482">
        <f>ROUND(CALLS[[#This Row],[Satisfaction Rating]],0)</f>
        <v>4</v>
      </c>
      <c r="M482" cm="1">
        <f t="array" ref="M482">_xlfn.IFS(CALLS[[#This Row],[DURATION BACKET]]="UNDER 10 MINS",1,
     CALLS[[#This Row],[DURATION BACKET]]="10 TO 30 MINS",2,
     CALLS[[#This Row],[DURATION BACKET]]="1 TO 2 HOURS",3,
     CALLS[[#This Row],[DURATION BACKET]]="&gt; 2 HOURS",4)</f>
        <v>2</v>
      </c>
      <c r="N482">
        <f>(CALLS[[#This Row],[Purchase Amount]]/ 1)</f>
        <v>132</v>
      </c>
    </row>
    <row r="483" spans="2:14" x14ac:dyDescent="0.25">
      <c r="B483" s="22" t="s">
        <v>505</v>
      </c>
      <c r="C483" s="4" t="s">
        <v>22</v>
      </c>
      <c r="D483" s="4">
        <v>104</v>
      </c>
      <c r="E483" s="5" t="s">
        <v>6</v>
      </c>
      <c r="F483" s="9">
        <v>45065</v>
      </c>
      <c r="G483" s="4">
        <v>68</v>
      </c>
      <c r="H483" s="2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Row],[Duration]]&lt;=30,"10 TO 30 MINS",
     CALLS[[#This Row],[Duration]]&lt;=120,"1 TO 2 HOURS",
     TRUE,"&gt; 2 HOURS")</f>
        <v>1 TO 2 HOURS</v>
      </c>
      <c r="L483">
        <f>ROUND(CALLS[[#This Row],[Satisfaction Rating]],0)</f>
        <v>4</v>
      </c>
      <c r="M483" cm="1">
        <f t="array" ref="M483">_xlfn.IFS(CALLS[[#This Row],[DURATION BACKET]]="UNDER 10 MINS",1,
     CALLS[[#This Row],[DURATION BACKET]]="10 TO 30 MINS",2,
     CALLS[[#This Row],[DURATION BACKET]]="1 TO 2 HOURS",3,
     CALLS[[#This Row],[DURATION BACKET]]="&gt; 2 HOURS",4)</f>
        <v>3</v>
      </c>
      <c r="N483">
        <f>(CALLS[[#This Row],[Purchase Amount]]/ 1)</f>
        <v>68</v>
      </c>
    </row>
    <row r="484" spans="2:14" x14ac:dyDescent="0.25">
      <c r="B484" s="22" t="s">
        <v>506</v>
      </c>
      <c r="C484" s="4" t="s">
        <v>12</v>
      </c>
      <c r="D484" s="4">
        <v>67</v>
      </c>
      <c r="E484" s="5" t="s">
        <v>11</v>
      </c>
      <c r="F484" s="9">
        <v>45067</v>
      </c>
      <c r="G484" s="4">
        <v>129</v>
      </c>
      <c r="H484" s="23">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Row],[Duration]]&lt;=30,"10 TO 30 MINS",
     CALLS[[#This Row],[Duration]]&lt;=120,"1 TO 2 HOURS",
     TRUE,"&gt; 2 HOURS")</f>
        <v>1 TO 2 HOURS</v>
      </c>
      <c r="L484">
        <f>ROUND(CALLS[[#This Row],[Satisfaction Rating]],0)</f>
        <v>5</v>
      </c>
      <c r="M484" cm="1">
        <f t="array" ref="M484">_xlfn.IFS(CALLS[[#This Row],[DURATION BACKET]]="UNDER 10 MINS",1,
     CALLS[[#This Row],[DURATION BACKET]]="10 TO 30 MINS",2,
     CALLS[[#This Row],[DURATION BACKET]]="1 TO 2 HOURS",3,
     CALLS[[#This Row],[DURATION BACKET]]="&gt; 2 HOURS",4)</f>
        <v>3</v>
      </c>
      <c r="N484">
        <f>(CALLS[[#This Row],[Purchase Amount]]/ 1)</f>
        <v>129</v>
      </c>
    </row>
    <row r="485" spans="2:14" x14ac:dyDescent="0.25">
      <c r="B485" s="22" t="s">
        <v>507</v>
      </c>
      <c r="C485" s="4" t="s">
        <v>16</v>
      </c>
      <c r="D485" s="4">
        <v>107</v>
      </c>
      <c r="E485" s="5" t="s">
        <v>6</v>
      </c>
      <c r="F485" s="9">
        <v>45067</v>
      </c>
      <c r="G485" s="4">
        <v>115</v>
      </c>
      <c r="H485" s="23">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Row],[Duration]]&lt;=30,"10 TO 30 MINS",
     CALLS[[#This Row],[Duration]]&lt;=120,"1 TO 2 HOURS",
     TRUE,"&gt; 2 HOURS")</f>
        <v>1 TO 2 HOURS</v>
      </c>
      <c r="L485">
        <f>ROUND(CALLS[[#This Row],[Satisfaction Rating]],0)</f>
        <v>5</v>
      </c>
      <c r="M485" cm="1">
        <f t="array" ref="M485">_xlfn.IFS(CALLS[[#This Row],[DURATION BACKET]]="UNDER 10 MINS",1,
     CALLS[[#This Row],[DURATION BACKET]]="10 TO 30 MINS",2,
     CALLS[[#This Row],[DURATION BACKET]]="1 TO 2 HOURS",3,
     CALLS[[#This Row],[DURATION BACKET]]="&gt; 2 HOURS",4)</f>
        <v>3</v>
      </c>
      <c r="N485">
        <f>(CALLS[[#This Row],[Purchase Amount]]/ 1)</f>
        <v>115</v>
      </c>
    </row>
    <row r="486" spans="2:14" x14ac:dyDescent="0.25">
      <c r="B486" s="22" t="s">
        <v>508</v>
      </c>
      <c r="C486" s="4" t="s">
        <v>16</v>
      </c>
      <c r="D486" s="4">
        <v>93</v>
      </c>
      <c r="E486" s="5" t="s">
        <v>6</v>
      </c>
      <c r="F486" s="9">
        <v>45067</v>
      </c>
      <c r="G486" s="4">
        <v>128</v>
      </c>
      <c r="H486" s="23">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Row],[Duration]]&lt;=30,"10 TO 30 MINS",
     CALLS[[#This Row],[Duration]]&lt;=120,"1 TO 2 HOURS",
     TRUE,"&gt; 2 HOURS")</f>
        <v>1 TO 2 HOURS</v>
      </c>
      <c r="L486">
        <f>ROUND(CALLS[[#This Row],[Satisfaction Rating]],0)</f>
        <v>4</v>
      </c>
      <c r="M486" cm="1">
        <f t="array" ref="M486">_xlfn.IFS(CALLS[[#This Row],[DURATION BACKET]]="UNDER 10 MINS",1,
     CALLS[[#This Row],[DURATION BACKET]]="10 TO 30 MINS",2,
     CALLS[[#This Row],[DURATION BACKET]]="1 TO 2 HOURS",3,
     CALLS[[#This Row],[DURATION BACKET]]="&gt; 2 HOURS",4)</f>
        <v>3</v>
      </c>
      <c r="N486">
        <f>(CALLS[[#This Row],[Purchase Amount]]/ 1)</f>
        <v>128</v>
      </c>
    </row>
    <row r="487" spans="2:14" x14ac:dyDescent="0.25">
      <c r="B487" s="22" t="s">
        <v>509</v>
      </c>
      <c r="C487" s="4" t="s">
        <v>16</v>
      </c>
      <c r="D487" s="4">
        <v>117</v>
      </c>
      <c r="E487" s="5" t="s">
        <v>11</v>
      </c>
      <c r="F487" s="9">
        <v>45067</v>
      </c>
      <c r="G487" s="4">
        <v>90</v>
      </c>
      <c r="H487" s="23">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Row],[Duration]]&lt;=30,"10 TO 30 MINS",
     CALLS[[#This Row],[Duration]]&lt;=120,"1 TO 2 HOURS",
     TRUE,"&gt; 2 HOURS")</f>
        <v>1 TO 2 HOURS</v>
      </c>
      <c r="L487">
        <f>ROUND(CALLS[[#This Row],[Satisfaction Rating]],0)</f>
        <v>5</v>
      </c>
      <c r="M487" cm="1">
        <f t="array" ref="M487">_xlfn.IFS(CALLS[[#This Row],[DURATION BACKET]]="UNDER 10 MINS",1,
     CALLS[[#This Row],[DURATION BACKET]]="10 TO 30 MINS",2,
     CALLS[[#This Row],[DURATION BACKET]]="1 TO 2 HOURS",3,
     CALLS[[#This Row],[DURATION BACKET]]="&gt; 2 HOURS",4)</f>
        <v>3</v>
      </c>
      <c r="N487">
        <f>(CALLS[[#This Row],[Purchase Amount]]/ 1)</f>
        <v>90</v>
      </c>
    </row>
    <row r="488" spans="2:14" x14ac:dyDescent="0.25">
      <c r="B488" s="22" t="s">
        <v>510</v>
      </c>
      <c r="C488" s="4" t="s">
        <v>24</v>
      </c>
      <c r="D488" s="4">
        <v>76</v>
      </c>
      <c r="E488" s="5" t="s">
        <v>13</v>
      </c>
      <c r="F488" s="9">
        <v>45068</v>
      </c>
      <c r="G488" s="4">
        <v>39</v>
      </c>
      <c r="H488" s="23">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Row],[Duration]]&lt;=30,"10 TO 30 MINS",
     CALLS[[#This Row],[Duration]]&lt;=120,"1 TO 2 HOURS",
     TRUE,"&gt; 2 HOURS")</f>
        <v>1 TO 2 HOURS</v>
      </c>
      <c r="L488">
        <f>ROUND(CALLS[[#This Row],[Satisfaction Rating]],0)</f>
        <v>5</v>
      </c>
      <c r="M488" cm="1">
        <f t="array" ref="M488">_xlfn.IFS(CALLS[[#This Row],[DURATION BACKET]]="UNDER 10 MINS",1,
     CALLS[[#This Row],[DURATION BACKET]]="10 TO 30 MINS",2,
     CALLS[[#This Row],[DURATION BACKET]]="1 TO 2 HOURS",3,
     CALLS[[#This Row],[DURATION BACKET]]="&gt; 2 HOURS",4)</f>
        <v>3</v>
      </c>
      <c r="N488">
        <f>(CALLS[[#This Row],[Purchase Amount]]/ 1)</f>
        <v>39</v>
      </c>
    </row>
    <row r="489" spans="2:14" x14ac:dyDescent="0.25">
      <c r="B489" s="22" t="s">
        <v>511</v>
      </c>
      <c r="C489" s="4" t="s">
        <v>18</v>
      </c>
      <c r="D489" s="4">
        <v>64</v>
      </c>
      <c r="E489" s="5" t="s">
        <v>6</v>
      </c>
      <c r="F489" s="9">
        <v>45068</v>
      </c>
      <c r="G489" s="4">
        <v>132</v>
      </c>
      <c r="H489" s="23">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Row],[Duration]]&lt;=30,"10 TO 30 MINS",
     CALLS[[#This Row],[Duration]]&lt;=120,"1 TO 2 HOURS",
     TRUE,"&gt; 2 HOURS")</f>
        <v>1 TO 2 HOURS</v>
      </c>
      <c r="L489">
        <f>ROUND(CALLS[[#This Row],[Satisfaction Rating]],0)</f>
        <v>3</v>
      </c>
      <c r="M489" cm="1">
        <f t="array" ref="M489">_xlfn.IFS(CALLS[[#This Row],[DURATION BACKET]]="UNDER 10 MINS",1,
     CALLS[[#This Row],[DURATION BACKET]]="10 TO 30 MINS",2,
     CALLS[[#This Row],[DURATION BACKET]]="1 TO 2 HOURS",3,
     CALLS[[#This Row],[DURATION BACKET]]="&gt; 2 HOURS",4)</f>
        <v>3</v>
      </c>
      <c r="N489">
        <f>(CALLS[[#This Row],[Purchase Amount]]/ 1)</f>
        <v>132</v>
      </c>
    </row>
    <row r="490" spans="2:14" x14ac:dyDescent="0.25">
      <c r="B490" s="22" t="s">
        <v>512</v>
      </c>
      <c r="C490" s="4" t="s">
        <v>8</v>
      </c>
      <c r="D490" s="4">
        <v>33</v>
      </c>
      <c r="E490" s="5" t="s">
        <v>6</v>
      </c>
      <c r="F490" s="9">
        <v>45068</v>
      </c>
      <c r="G490" s="4">
        <v>170</v>
      </c>
      <c r="H490" s="23">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Row],[Duration]]&lt;=30,"10 TO 30 MINS",
     CALLS[[#This Row],[Duration]]&lt;=120,"1 TO 2 HOURS",
     TRUE,"&gt; 2 HOURS")</f>
        <v>1 TO 2 HOURS</v>
      </c>
      <c r="L490">
        <f>ROUND(CALLS[[#This Row],[Satisfaction Rating]],0)</f>
        <v>4</v>
      </c>
      <c r="M490" cm="1">
        <f t="array" ref="M490">_xlfn.IFS(CALLS[[#This Row],[DURATION BACKET]]="UNDER 10 MINS",1,
     CALLS[[#This Row],[DURATION BACKET]]="10 TO 30 MINS",2,
     CALLS[[#This Row],[DURATION BACKET]]="1 TO 2 HOURS",3,
     CALLS[[#This Row],[DURATION BACKET]]="&gt; 2 HOURS",4)</f>
        <v>3</v>
      </c>
      <c r="N490">
        <f>(CALLS[[#This Row],[Purchase Amount]]/ 1)</f>
        <v>170</v>
      </c>
    </row>
    <row r="491" spans="2:14" x14ac:dyDescent="0.25">
      <c r="B491" s="22" t="s">
        <v>513</v>
      </c>
      <c r="C491" s="4" t="s">
        <v>16</v>
      </c>
      <c r="D491" s="4">
        <v>115</v>
      </c>
      <c r="E491" s="5" t="s">
        <v>11</v>
      </c>
      <c r="F491" s="9">
        <v>45068</v>
      </c>
      <c r="G491" s="4">
        <v>42</v>
      </c>
      <c r="H491" s="23">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Row],[Duration]]&lt;=30,"10 TO 30 MINS",
     CALLS[[#This Row],[Duration]]&lt;=120,"1 TO 2 HOURS",
     TRUE,"&gt; 2 HOURS")</f>
        <v>1 TO 2 HOURS</v>
      </c>
      <c r="L491">
        <f>ROUND(CALLS[[#This Row],[Satisfaction Rating]],0)</f>
        <v>5</v>
      </c>
      <c r="M491" cm="1">
        <f t="array" ref="M491">_xlfn.IFS(CALLS[[#This Row],[DURATION BACKET]]="UNDER 10 MINS",1,
     CALLS[[#This Row],[DURATION BACKET]]="10 TO 30 MINS",2,
     CALLS[[#This Row],[DURATION BACKET]]="1 TO 2 HOURS",3,
     CALLS[[#This Row],[DURATION BACKET]]="&gt; 2 HOURS",4)</f>
        <v>3</v>
      </c>
      <c r="N491">
        <f>(CALLS[[#This Row],[Purchase Amount]]/ 1)</f>
        <v>42</v>
      </c>
    </row>
    <row r="492" spans="2:14" x14ac:dyDescent="0.25">
      <c r="B492" s="22" t="s">
        <v>514</v>
      </c>
      <c r="C492" s="4" t="s">
        <v>21</v>
      </c>
      <c r="D492" s="4">
        <v>155</v>
      </c>
      <c r="E492" s="5" t="s">
        <v>13</v>
      </c>
      <c r="F492" s="9">
        <v>45069</v>
      </c>
      <c r="G492" s="4">
        <v>37</v>
      </c>
      <c r="H492" s="23">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Row],[Duration]]&lt;=30,"10 TO 30 MINS",
     CALLS[[#This Row],[Duration]]&lt;=120,"1 TO 2 HOURS",
     TRUE,"&gt; 2 HOURS")</f>
        <v>&gt; 2 HOURS</v>
      </c>
      <c r="L492">
        <f>ROUND(CALLS[[#This Row],[Satisfaction Rating]],0)</f>
        <v>4</v>
      </c>
      <c r="M492" cm="1">
        <f t="array" ref="M492">_xlfn.IFS(CALLS[[#This Row],[DURATION BACKET]]="UNDER 10 MINS",1,
     CALLS[[#This Row],[DURATION BACKET]]="10 TO 30 MINS",2,
     CALLS[[#This Row],[DURATION BACKET]]="1 TO 2 HOURS",3,
     CALLS[[#This Row],[DURATION BACKET]]="&gt; 2 HOURS",4)</f>
        <v>4</v>
      </c>
      <c r="N492">
        <f>(CALLS[[#This Row],[Purchase Amount]]/ 1)</f>
        <v>37</v>
      </c>
    </row>
    <row r="493" spans="2:14" x14ac:dyDescent="0.25">
      <c r="B493" s="22" t="s">
        <v>515</v>
      </c>
      <c r="C493" s="4" t="s">
        <v>12</v>
      </c>
      <c r="D493" s="4">
        <v>117</v>
      </c>
      <c r="E493" s="5" t="s">
        <v>13</v>
      </c>
      <c r="F493" s="9">
        <v>45069</v>
      </c>
      <c r="G493" s="4">
        <v>88</v>
      </c>
      <c r="H493" s="2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Row],[Duration]]&lt;=30,"10 TO 30 MINS",
     CALLS[[#This Row],[Duration]]&lt;=120,"1 TO 2 HOURS",
     TRUE,"&gt; 2 HOURS")</f>
        <v>1 TO 2 HOURS</v>
      </c>
      <c r="L493">
        <f>ROUND(CALLS[[#This Row],[Satisfaction Rating]],0)</f>
        <v>5</v>
      </c>
      <c r="M493" cm="1">
        <f t="array" ref="M493">_xlfn.IFS(CALLS[[#This Row],[DURATION BACKET]]="UNDER 10 MINS",1,
     CALLS[[#This Row],[DURATION BACKET]]="10 TO 30 MINS",2,
     CALLS[[#This Row],[DURATION BACKET]]="1 TO 2 HOURS",3,
     CALLS[[#This Row],[DURATION BACKET]]="&gt; 2 HOURS",4)</f>
        <v>3</v>
      </c>
      <c r="N493">
        <f>(CALLS[[#This Row],[Purchase Amount]]/ 1)</f>
        <v>88</v>
      </c>
    </row>
    <row r="494" spans="2:14" x14ac:dyDescent="0.25">
      <c r="B494" s="22" t="s">
        <v>516</v>
      </c>
      <c r="C494" s="4" t="s">
        <v>5</v>
      </c>
      <c r="D494" s="4">
        <v>63</v>
      </c>
      <c r="E494" s="5" t="s">
        <v>13</v>
      </c>
      <c r="F494" s="9">
        <v>45069</v>
      </c>
      <c r="G494" s="4">
        <v>80</v>
      </c>
      <c r="H494" s="23">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Row],[Duration]]&lt;=30,"10 TO 30 MINS",
     CALLS[[#This Row],[Duration]]&lt;=120,"1 TO 2 HOURS",
     TRUE,"&gt; 2 HOURS")</f>
        <v>1 TO 2 HOURS</v>
      </c>
      <c r="L494">
        <f>ROUND(CALLS[[#This Row],[Satisfaction Rating]],0)</f>
        <v>3</v>
      </c>
      <c r="M494" cm="1">
        <f t="array" ref="M494">_xlfn.IFS(CALLS[[#This Row],[DURATION BACKET]]="UNDER 10 MINS",1,
     CALLS[[#This Row],[DURATION BACKET]]="10 TO 30 MINS",2,
     CALLS[[#This Row],[DURATION BACKET]]="1 TO 2 HOURS",3,
     CALLS[[#This Row],[DURATION BACKET]]="&gt; 2 HOURS",4)</f>
        <v>3</v>
      </c>
      <c r="N494">
        <f>(CALLS[[#This Row],[Purchase Amount]]/ 1)</f>
        <v>80</v>
      </c>
    </row>
    <row r="495" spans="2:14" x14ac:dyDescent="0.25">
      <c r="B495" s="22" t="s">
        <v>517</v>
      </c>
      <c r="C495" s="4" t="s">
        <v>18</v>
      </c>
      <c r="D495" s="4">
        <v>59</v>
      </c>
      <c r="E495" s="5" t="s">
        <v>10</v>
      </c>
      <c r="F495" s="9">
        <v>45070</v>
      </c>
      <c r="G495" s="4">
        <v>123</v>
      </c>
      <c r="H495" s="23">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Row],[Duration]]&lt;=30,"10 TO 30 MINS",
     CALLS[[#This Row],[Duration]]&lt;=120,"1 TO 2 HOURS",
     TRUE,"&gt; 2 HOURS")</f>
        <v>1 TO 2 HOURS</v>
      </c>
      <c r="L495">
        <f>ROUND(CALLS[[#This Row],[Satisfaction Rating]],0)</f>
        <v>4</v>
      </c>
      <c r="M495" cm="1">
        <f t="array" ref="M495">_xlfn.IFS(CALLS[[#This Row],[DURATION BACKET]]="UNDER 10 MINS",1,
     CALLS[[#This Row],[DURATION BACKET]]="10 TO 30 MINS",2,
     CALLS[[#This Row],[DURATION BACKET]]="1 TO 2 HOURS",3,
     CALLS[[#This Row],[DURATION BACKET]]="&gt; 2 HOURS",4)</f>
        <v>3</v>
      </c>
      <c r="N495">
        <f>(CALLS[[#This Row],[Purchase Amount]]/ 1)</f>
        <v>123</v>
      </c>
    </row>
    <row r="496" spans="2:14" x14ac:dyDescent="0.25">
      <c r="B496" s="22" t="s">
        <v>518</v>
      </c>
      <c r="C496" s="4" t="s">
        <v>7</v>
      </c>
      <c r="D496" s="4">
        <v>133</v>
      </c>
      <c r="E496" s="5" t="s">
        <v>6</v>
      </c>
      <c r="F496" s="9">
        <v>45070</v>
      </c>
      <c r="G496" s="4">
        <v>31</v>
      </c>
      <c r="H496" s="23">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Row],[Duration]]&lt;=30,"10 TO 30 MINS",
     CALLS[[#This Row],[Duration]]&lt;=120,"1 TO 2 HOURS",
     TRUE,"&gt; 2 HOURS")</f>
        <v>&gt; 2 HOURS</v>
      </c>
      <c r="L496">
        <f>ROUND(CALLS[[#This Row],[Satisfaction Rating]],0)</f>
        <v>4</v>
      </c>
      <c r="M496" cm="1">
        <f t="array" ref="M496">_xlfn.IFS(CALLS[[#This Row],[DURATION BACKET]]="UNDER 10 MINS",1,
     CALLS[[#This Row],[DURATION BACKET]]="10 TO 30 MINS",2,
     CALLS[[#This Row],[DURATION BACKET]]="1 TO 2 HOURS",3,
     CALLS[[#This Row],[DURATION BACKET]]="&gt; 2 HOURS",4)</f>
        <v>4</v>
      </c>
      <c r="N496">
        <f>(CALLS[[#This Row],[Purchase Amount]]/ 1)</f>
        <v>31</v>
      </c>
    </row>
    <row r="497" spans="2:14" x14ac:dyDescent="0.25">
      <c r="B497" s="22" t="s">
        <v>519</v>
      </c>
      <c r="C497" s="4" t="s">
        <v>17</v>
      </c>
      <c r="D497" s="4">
        <v>101</v>
      </c>
      <c r="E497" s="5" t="s">
        <v>9</v>
      </c>
      <c r="F497" s="9">
        <v>45070</v>
      </c>
      <c r="G497" s="4">
        <v>205</v>
      </c>
      <c r="H497" s="23">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Row],[Duration]]&lt;=30,"10 TO 30 MINS",
     CALLS[[#This Row],[Duration]]&lt;=120,"1 TO 2 HOURS",
     TRUE,"&gt; 2 HOURS")</f>
        <v>1 TO 2 HOURS</v>
      </c>
      <c r="L497">
        <f>ROUND(CALLS[[#This Row],[Satisfaction Rating]],0)</f>
        <v>4</v>
      </c>
      <c r="M497" cm="1">
        <f t="array" ref="M497">_xlfn.IFS(CALLS[[#This Row],[DURATION BACKET]]="UNDER 10 MINS",1,
     CALLS[[#This Row],[DURATION BACKET]]="10 TO 30 MINS",2,
     CALLS[[#This Row],[DURATION BACKET]]="1 TO 2 HOURS",3,
     CALLS[[#This Row],[DURATION BACKET]]="&gt; 2 HOURS",4)</f>
        <v>3</v>
      </c>
      <c r="N497">
        <f>(CALLS[[#This Row],[Purchase Amount]]/ 1)</f>
        <v>205</v>
      </c>
    </row>
    <row r="498" spans="2:14" x14ac:dyDescent="0.25">
      <c r="B498" s="22" t="s">
        <v>520</v>
      </c>
      <c r="C498" s="4" t="s">
        <v>14</v>
      </c>
      <c r="D498" s="4">
        <v>151</v>
      </c>
      <c r="E498" s="5" t="s">
        <v>13</v>
      </c>
      <c r="F498" s="9">
        <v>45071</v>
      </c>
      <c r="G498" s="4">
        <v>123</v>
      </c>
      <c r="H498" s="23">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Row],[Duration]]&lt;=30,"10 TO 30 MINS",
     CALLS[[#This Row],[Duration]]&lt;=120,"1 TO 2 HOURS",
     TRUE,"&gt; 2 HOURS")</f>
        <v>&gt; 2 HOURS</v>
      </c>
      <c r="L498">
        <f>ROUND(CALLS[[#This Row],[Satisfaction Rating]],0)</f>
        <v>4</v>
      </c>
      <c r="M498" cm="1">
        <f t="array" ref="M498">_xlfn.IFS(CALLS[[#This Row],[DURATION BACKET]]="UNDER 10 MINS",1,
     CALLS[[#This Row],[DURATION BACKET]]="10 TO 30 MINS",2,
     CALLS[[#This Row],[DURATION BACKET]]="1 TO 2 HOURS",3,
     CALLS[[#This Row],[DURATION BACKET]]="&gt; 2 HOURS",4)</f>
        <v>4</v>
      </c>
      <c r="N498">
        <f>(CALLS[[#This Row],[Purchase Amount]]/ 1)</f>
        <v>123</v>
      </c>
    </row>
    <row r="499" spans="2:14" x14ac:dyDescent="0.25">
      <c r="B499" s="22" t="s">
        <v>521</v>
      </c>
      <c r="C499" s="4" t="s">
        <v>8</v>
      </c>
      <c r="D499" s="4">
        <v>146</v>
      </c>
      <c r="E499" s="5" t="s">
        <v>6</v>
      </c>
      <c r="F499" s="9">
        <v>45071</v>
      </c>
      <c r="G499" s="4">
        <v>123</v>
      </c>
      <c r="H499" s="23">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Row],[Duration]]&lt;=30,"10 TO 30 MINS",
     CALLS[[#This Row],[Duration]]&lt;=120,"1 TO 2 HOURS",
     TRUE,"&gt; 2 HOURS")</f>
        <v>&gt; 2 HOURS</v>
      </c>
      <c r="L499">
        <f>ROUND(CALLS[[#This Row],[Satisfaction Rating]],0)</f>
        <v>4</v>
      </c>
      <c r="M499" cm="1">
        <f t="array" ref="M499">_xlfn.IFS(CALLS[[#This Row],[DURATION BACKET]]="UNDER 10 MINS",1,
     CALLS[[#This Row],[DURATION BACKET]]="10 TO 30 MINS",2,
     CALLS[[#This Row],[DURATION BACKET]]="1 TO 2 HOURS",3,
     CALLS[[#This Row],[DURATION BACKET]]="&gt; 2 HOURS",4)</f>
        <v>4</v>
      </c>
      <c r="N499">
        <f>(CALLS[[#This Row],[Purchase Amount]]/ 1)</f>
        <v>123</v>
      </c>
    </row>
    <row r="500" spans="2:14" x14ac:dyDescent="0.25">
      <c r="B500" s="22" t="s">
        <v>522</v>
      </c>
      <c r="C500" s="4" t="s">
        <v>5</v>
      </c>
      <c r="D500" s="4">
        <v>148</v>
      </c>
      <c r="E500" s="5" t="s">
        <v>6</v>
      </c>
      <c r="F500" s="9">
        <v>45071</v>
      </c>
      <c r="G500" s="4">
        <v>36</v>
      </c>
      <c r="H500" s="23">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Row],[Duration]]&lt;=30,"10 TO 30 MINS",
     CALLS[[#This Row],[Duration]]&lt;=120,"1 TO 2 HOURS",
     TRUE,"&gt; 2 HOURS")</f>
        <v>&gt; 2 HOURS</v>
      </c>
      <c r="L500">
        <f>ROUND(CALLS[[#This Row],[Satisfaction Rating]],0)</f>
        <v>3</v>
      </c>
      <c r="M500" cm="1">
        <f t="array" ref="M500">_xlfn.IFS(CALLS[[#This Row],[DURATION BACKET]]="UNDER 10 MINS",1,
     CALLS[[#This Row],[DURATION BACKET]]="10 TO 30 MINS",2,
     CALLS[[#This Row],[DURATION BACKET]]="1 TO 2 HOURS",3,
     CALLS[[#This Row],[DURATION BACKET]]="&gt; 2 HOURS",4)</f>
        <v>4</v>
      </c>
      <c r="N500">
        <f>(CALLS[[#This Row],[Purchase Amount]]/ 1)</f>
        <v>36</v>
      </c>
    </row>
    <row r="501" spans="2:14" x14ac:dyDescent="0.25">
      <c r="B501" s="22" t="s">
        <v>523</v>
      </c>
      <c r="C501" s="4" t="s">
        <v>14</v>
      </c>
      <c r="D501" s="4">
        <v>81</v>
      </c>
      <c r="E501" s="5" t="s">
        <v>6</v>
      </c>
      <c r="F501" s="9">
        <v>45071</v>
      </c>
      <c r="G501" s="4">
        <v>116</v>
      </c>
      <c r="H501" s="23">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Row],[Duration]]&lt;=30,"10 TO 30 MINS",
     CALLS[[#This Row],[Duration]]&lt;=120,"1 TO 2 HOURS",
     TRUE,"&gt; 2 HOURS")</f>
        <v>1 TO 2 HOURS</v>
      </c>
      <c r="L501">
        <f>ROUND(CALLS[[#This Row],[Satisfaction Rating]],0)</f>
        <v>4</v>
      </c>
      <c r="M501" cm="1">
        <f t="array" ref="M501">_xlfn.IFS(CALLS[[#This Row],[DURATION BACKET]]="UNDER 10 MINS",1,
     CALLS[[#This Row],[DURATION BACKET]]="10 TO 30 MINS",2,
     CALLS[[#This Row],[DURATION BACKET]]="1 TO 2 HOURS",3,
     CALLS[[#This Row],[DURATION BACKET]]="&gt; 2 HOURS",4)</f>
        <v>3</v>
      </c>
      <c r="N501">
        <f>(CALLS[[#This Row],[Purchase Amount]]/ 1)</f>
        <v>116</v>
      </c>
    </row>
    <row r="502" spans="2:14" x14ac:dyDescent="0.25">
      <c r="B502" s="22" t="s">
        <v>524</v>
      </c>
      <c r="C502" s="4" t="s">
        <v>22</v>
      </c>
      <c r="D502" s="4">
        <v>115</v>
      </c>
      <c r="E502" s="5" t="s">
        <v>6</v>
      </c>
      <c r="F502" s="9">
        <v>45071</v>
      </c>
      <c r="G502" s="4">
        <v>40</v>
      </c>
      <c r="H502" s="23">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Row],[Duration]]&lt;=30,"10 TO 30 MINS",
     CALLS[[#This Row],[Duration]]&lt;=120,"1 TO 2 HOURS",
     TRUE,"&gt; 2 HOURS")</f>
        <v>1 TO 2 HOURS</v>
      </c>
      <c r="L502">
        <f>ROUND(CALLS[[#This Row],[Satisfaction Rating]],0)</f>
        <v>5</v>
      </c>
      <c r="M502" cm="1">
        <f t="array" ref="M502">_xlfn.IFS(CALLS[[#This Row],[DURATION BACKET]]="UNDER 10 MINS",1,
     CALLS[[#This Row],[DURATION BACKET]]="10 TO 30 MINS",2,
     CALLS[[#This Row],[DURATION BACKET]]="1 TO 2 HOURS",3,
     CALLS[[#This Row],[DURATION BACKET]]="&gt; 2 HOURS",4)</f>
        <v>3</v>
      </c>
      <c r="N502">
        <f>(CALLS[[#This Row],[Purchase Amount]]/ 1)</f>
        <v>40</v>
      </c>
    </row>
    <row r="503" spans="2:14" x14ac:dyDescent="0.25">
      <c r="B503" s="22" t="s">
        <v>525</v>
      </c>
      <c r="C503" s="4" t="s">
        <v>22</v>
      </c>
      <c r="D503" s="4">
        <v>117</v>
      </c>
      <c r="E503" s="5" t="s">
        <v>13</v>
      </c>
      <c r="F503" s="9">
        <v>45071</v>
      </c>
      <c r="G503" s="4">
        <v>40</v>
      </c>
      <c r="H503" s="2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Row],[Duration]]&lt;=30,"10 TO 30 MINS",
     CALLS[[#This Row],[Duration]]&lt;=120,"1 TO 2 HOURS",
     TRUE,"&gt; 2 HOURS")</f>
        <v>1 TO 2 HOURS</v>
      </c>
      <c r="L503">
        <f>ROUND(CALLS[[#This Row],[Satisfaction Rating]],0)</f>
        <v>4</v>
      </c>
      <c r="M503" cm="1">
        <f t="array" ref="M503">_xlfn.IFS(CALLS[[#This Row],[DURATION BACKET]]="UNDER 10 MINS",1,
     CALLS[[#This Row],[DURATION BACKET]]="10 TO 30 MINS",2,
     CALLS[[#This Row],[DURATION BACKET]]="1 TO 2 HOURS",3,
     CALLS[[#This Row],[DURATION BACKET]]="&gt; 2 HOURS",4)</f>
        <v>3</v>
      </c>
      <c r="N503">
        <f>(CALLS[[#This Row],[Purchase Amount]]/ 1)</f>
        <v>40</v>
      </c>
    </row>
    <row r="504" spans="2:14" x14ac:dyDescent="0.25">
      <c r="B504" s="22" t="s">
        <v>526</v>
      </c>
      <c r="C504" s="4" t="s">
        <v>17</v>
      </c>
      <c r="D504" s="4">
        <v>110</v>
      </c>
      <c r="E504" s="5" t="s">
        <v>11</v>
      </c>
      <c r="F504" s="9">
        <v>45072</v>
      </c>
      <c r="G504" s="4">
        <v>82</v>
      </c>
      <c r="H504" s="23">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Row],[Duration]]&lt;=30,"10 TO 30 MINS",
     CALLS[[#This Row],[Duration]]&lt;=120,"1 TO 2 HOURS",
     TRUE,"&gt; 2 HOURS")</f>
        <v>1 TO 2 HOURS</v>
      </c>
      <c r="L504">
        <f>ROUND(CALLS[[#This Row],[Satisfaction Rating]],0)</f>
        <v>4</v>
      </c>
      <c r="M504" cm="1">
        <f t="array" ref="M504">_xlfn.IFS(CALLS[[#This Row],[DURATION BACKET]]="UNDER 10 MINS",1,
     CALLS[[#This Row],[DURATION BACKET]]="10 TO 30 MINS",2,
     CALLS[[#This Row],[DURATION BACKET]]="1 TO 2 HOURS",3,
     CALLS[[#This Row],[DURATION BACKET]]="&gt; 2 HOURS",4)</f>
        <v>3</v>
      </c>
      <c r="N504">
        <f>(CALLS[[#This Row],[Purchase Amount]]/ 1)</f>
        <v>82</v>
      </c>
    </row>
    <row r="505" spans="2:14" x14ac:dyDescent="0.25">
      <c r="B505" s="22" t="s">
        <v>527</v>
      </c>
      <c r="C505" s="4" t="s">
        <v>24</v>
      </c>
      <c r="D505" s="4">
        <v>103</v>
      </c>
      <c r="E505" s="5" t="s">
        <v>10</v>
      </c>
      <c r="F505" s="9">
        <v>45072</v>
      </c>
      <c r="G505" s="4">
        <v>62</v>
      </c>
      <c r="H505" s="23">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Row],[Duration]]&lt;=30,"10 TO 30 MINS",
     CALLS[[#This Row],[Duration]]&lt;=120,"1 TO 2 HOURS",
     TRUE,"&gt; 2 HOURS")</f>
        <v>1 TO 2 HOURS</v>
      </c>
      <c r="L505">
        <f>ROUND(CALLS[[#This Row],[Satisfaction Rating]],0)</f>
        <v>3</v>
      </c>
      <c r="M505" cm="1">
        <f t="array" ref="M505">_xlfn.IFS(CALLS[[#This Row],[DURATION BACKET]]="UNDER 10 MINS",1,
     CALLS[[#This Row],[DURATION BACKET]]="10 TO 30 MINS",2,
     CALLS[[#This Row],[DURATION BACKET]]="1 TO 2 HOURS",3,
     CALLS[[#This Row],[DURATION BACKET]]="&gt; 2 HOURS",4)</f>
        <v>3</v>
      </c>
      <c r="N505">
        <f>(CALLS[[#This Row],[Purchase Amount]]/ 1)</f>
        <v>62</v>
      </c>
    </row>
    <row r="506" spans="2:14" x14ac:dyDescent="0.25">
      <c r="B506" s="22" t="s">
        <v>528</v>
      </c>
      <c r="C506" s="4" t="s">
        <v>21</v>
      </c>
      <c r="D506" s="4">
        <v>45</v>
      </c>
      <c r="E506" s="5" t="s">
        <v>10</v>
      </c>
      <c r="F506" s="9">
        <v>45072</v>
      </c>
      <c r="G506" s="4">
        <v>135</v>
      </c>
      <c r="H506" s="23">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Row],[Duration]]&lt;=30,"10 TO 30 MINS",
     CALLS[[#This Row],[Duration]]&lt;=120,"1 TO 2 HOURS",
     TRUE,"&gt; 2 HOURS")</f>
        <v>1 TO 2 HOURS</v>
      </c>
      <c r="L506">
        <f>ROUND(CALLS[[#This Row],[Satisfaction Rating]],0)</f>
        <v>4</v>
      </c>
      <c r="M506" cm="1">
        <f t="array" ref="M506">_xlfn.IFS(CALLS[[#This Row],[DURATION BACKET]]="UNDER 10 MINS",1,
     CALLS[[#This Row],[DURATION BACKET]]="10 TO 30 MINS",2,
     CALLS[[#This Row],[DURATION BACKET]]="1 TO 2 HOURS",3,
     CALLS[[#This Row],[DURATION BACKET]]="&gt; 2 HOURS",4)</f>
        <v>3</v>
      </c>
      <c r="N506">
        <f>(CALLS[[#This Row],[Purchase Amount]]/ 1)</f>
        <v>135</v>
      </c>
    </row>
    <row r="507" spans="2:14" x14ac:dyDescent="0.25">
      <c r="B507" s="22" t="s">
        <v>529</v>
      </c>
      <c r="C507" s="4" t="s">
        <v>17</v>
      </c>
      <c r="D507" s="4">
        <v>110</v>
      </c>
      <c r="E507" s="5" t="s">
        <v>9</v>
      </c>
      <c r="F507" s="9">
        <v>45072</v>
      </c>
      <c r="G507" s="4">
        <v>155</v>
      </c>
      <c r="H507" s="23">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Row],[Duration]]&lt;=30,"10 TO 30 MINS",
     CALLS[[#This Row],[Duration]]&lt;=120,"1 TO 2 HOURS",
     TRUE,"&gt; 2 HOURS")</f>
        <v>1 TO 2 HOURS</v>
      </c>
      <c r="L507">
        <f>ROUND(CALLS[[#This Row],[Satisfaction Rating]],0)</f>
        <v>2</v>
      </c>
      <c r="M507" cm="1">
        <f t="array" ref="M507">_xlfn.IFS(CALLS[[#This Row],[DURATION BACKET]]="UNDER 10 MINS",1,
     CALLS[[#This Row],[DURATION BACKET]]="10 TO 30 MINS",2,
     CALLS[[#This Row],[DURATION BACKET]]="1 TO 2 HOURS",3,
     CALLS[[#This Row],[DURATION BACKET]]="&gt; 2 HOURS",4)</f>
        <v>3</v>
      </c>
      <c r="N507">
        <f>(CALLS[[#This Row],[Purchase Amount]]/ 1)</f>
        <v>155</v>
      </c>
    </row>
    <row r="508" spans="2:14" x14ac:dyDescent="0.25">
      <c r="B508" s="22" t="s">
        <v>530</v>
      </c>
      <c r="C508" s="4" t="s">
        <v>18</v>
      </c>
      <c r="D508" s="4">
        <v>43</v>
      </c>
      <c r="E508" s="5" t="s">
        <v>11</v>
      </c>
      <c r="F508" s="9">
        <v>45072</v>
      </c>
      <c r="G508" s="4">
        <v>37</v>
      </c>
      <c r="H508" s="23">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Row],[Duration]]&lt;=30,"10 TO 30 MINS",
     CALLS[[#This Row],[Duration]]&lt;=120,"1 TO 2 HOURS",
     TRUE,"&gt; 2 HOURS")</f>
        <v>1 TO 2 HOURS</v>
      </c>
      <c r="L508">
        <f>ROUND(CALLS[[#This Row],[Satisfaction Rating]],0)</f>
        <v>5</v>
      </c>
      <c r="M508" cm="1">
        <f t="array" ref="M508">_xlfn.IFS(CALLS[[#This Row],[DURATION BACKET]]="UNDER 10 MINS",1,
     CALLS[[#This Row],[DURATION BACKET]]="10 TO 30 MINS",2,
     CALLS[[#This Row],[DURATION BACKET]]="1 TO 2 HOURS",3,
     CALLS[[#This Row],[DURATION BACKET]]="&gt; 2 HOURS",4)</f>
        <v>3</v>
      </c>
      <c r="N508">
        <f>(CALLS[[#This Row],[Purchase Amount]]/ 1)</f>
        <v>37</v>
      </c>
    </row>
    <row r="509" spans="2:14" x14ac:dyDescent="0.25">
      <c r="B509" s="22" t="s">
        <v>531</v>
      </c>
      <c r="C509" s="4" t="s">
        <v>17</v>
      </c>
      <c r="D509" s="4">
        <v>104</v>
      </c>
      <c r="E509" s="5" t="s">
        <v>13</v>
      </c>
      <c r="F509" s="9">
        <v>45073</v>
      </c>
      <c r="G509" s="4">
        <v>56</v>
      </c>
      <c r="H509" s="23">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Row],[Duration]]&lt;=30,"10 TO 30 MINS",
     CALLS[[#This Row],[Duration]]&lt;=120,"1 TO 2 HOURS",
     TRUE,"&gt; 2 HOURS")</f>
        <v>1 TO 2 HOURS</v>
      </c>
      <c r="L509">
        <f>ROUND(CALLS[[#This Row],[Satisfaction Rating]],0)</f>
        <v>3</v>
      </c>
      <c r="M509" cm="1">
        <f t="array" ref="M509">_xlfn.IFS(CALLS[[#This Row],[DURATION BACKET]]="UNDER 10 MINS",1,
     CALLS[[#This Row],[DURATION BACKET]]="10 TO 30 MINS",2,
     CALLS[[#This Row],[DURATION BACKET]]="1 TO 2 HOURS",3,
     CALLS[[#This Row],[DURATION BACKET]]="&gt; 2 HOURS",4)</f>
        <v>3</v>
      </c>
      <c r="N509">
        <f>(CALLS[[#This Row],[Purchase Amount]]/ 1)</f>
        <v>56</v>
      </c>
    </row>
    <row r="510" spans="2:14" x14ac:dyDescent="0.25">
      <c r="B510" s="22" t="s">
        <v>532</v>
      </c>
      <c r="C510" s="4" t="s">
        <v>17</v>
      </c>
      <c r="D510" s="4">
        <v>101</v>
      </c>
      <c r="E510" s="5" t="s">
        <v>13</v>
      </c>
      <c r="F510" s="9">
        <v>45073</v>
      </c>
      <c r="G510" s="4">
        <v>185</v>
      </c>
      <c r="H510" s="23">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Row],[Duration]]&lt;=30,"10 TO 30 MINS",
     CALLS[[#This Row],[Duration]]&lt;=120,"1 TO 2 HOURS",
     TRUE,"&gt; 2 HOURS")</f>
        <v>1 TO 2 HOURS</v>
      </c>
      <c r="L510">
        <f>ROUND(CALLS[[#This Row],[Satisfaction Rating]],0)</f>
        <v>5</v>
      </c>
      <c r="M510" cm="1">
        <f t="array" ref="M510">_xlfn.IFS(CALLS[[#This Row],[DURATION BACKET]]="UNDER 10 MINS",1,
     CALLS[[#This Row],[DURATION BACKET]]="10 TO 30 MINS",2,
     CALLS[[#This Row],[DURATION BACKET]]="1 TO 2 HOURS",3,
     CALLS[[#This Row],[DURATION BACKET]]="&gt; 2 HOURS",4)</f>
        <v>3</v>
      </c>
      <c r="N510">
        <f>(CALLS[[#This Row],[Purchase Amount]]/ 1)</f>
        <v>185</v>
      </c>
    </row>
    <row r="511" spans="2:14" x14ac:dyDescent="0.25">
      <c r="B511" s="22" t="s">
        <v>533</v>
      </c>
      <c r="C511" s="4" t="s">
        <v>20</v>
      </c>
      <c r="D511" s="4">
        <v>55</v>
      </c>
      <c r="E511" s="5" t="s">
        <v>11</v>
      </c>
      <c r="F511" s="9">
        <v>45074</v>
      </c>
      <c r="G511" s="4">
        <v>145</v>
      </c>
      <c r="H511" s="23">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Row],[Duration]]&lt;=30,"10 TO 30 MINS",
     CALLS[[#This Row],[Duration]]&lt;=120,"1 TO 2 HOURS",
     TRUE,"&gt; 2 HOURS")</f>
        <v>1 TO 2 HOURS</v>
      </c>
      <c r="L511">
        <f>ROUND(CALLS[[#This Row],[Satisfaction Rating]],0)</f>
        <v>5</v>
      </c>
      <c r="M511" cm="1">
        <f t="array" ref="M511">_xlfn.IFS(CALLS[[#This Row],[DURATION BACKET]]="UNDER 10 MINS",1,
     CALLS[[#This Row],[DURATION BACKET]]="10 TO 30 MINS",2,
     CALLS[[#This Row],[DURATION BACKET]]="1 TO 2 HOURS",3,
     CALLS[[#This Row],[DURATION BACKET]]="&gt; 2 HOURS",4)</f>
        <v>3</v>
      </c>
      <c r="N511">
        <f>(CALLS[[#This Row],[Purchase Amount]]/ 1)</f>
        <v>145</v>
      </c>
    </row>
    <row r="512" spans="2:14" x14ac:dyDescent="0.25">
      <c r="B512" s="22" t="s">
        <v>534</v>
      </c>
      <c r="C512" s="4" t="s">
        <v>14</v>
      </c>
      <c r="D512" s="4">
        <v>40</v>
      </c>
      <c r="E512" s="5" t="s">
        <v>10</v>
      </c>
      <c r="F512" s="9">
        <v>45074</v>
      </c>
      <c r="G512" s="4">
        <v>116</v>
      </c>
      <c r="H512" s="23">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Row],[Duration]]&lt;=30,"10 TO 30 MINS",
     CALLS[[#This Row],[Duration]]&lt;=120,"1 TO 2 HOURS",
     TRUE,"&gt; 2 HOURS")</f>
        <v>1 TO 2 HOURS</v>
      </c>
      <c r="L512">
        <f>ROUND(CALLS[[#This Row],[Satisfaction Rating]],0)</f>
        <v>3</v>
      </c>
      <c r="M512" cm="1">
        <f t="array" ref="M512">_xlfn.IFS(CALLS[[#This Row],[DURATION BACKET]]="UNDER 10 MINS",1,
     CALLS[[#This Row],[DURATION BACKET]]="10 TO 30 MINS",2,
     CALLS[[#This Row],[DURATION BACKET]]="1 TO 2 HOURS",3,
     CALLS[[#This Row],[DURATION BACKET]]="&gt; 2 HOURS",4)</f>
        <v>3</v>
      </c>
      <c r="N512">
        <f>(CALLS[[#This Row],[Purchase Amount]]/ 1)</f>
        <v>116</v>
      </c>
    </row>
    <row r="513" spans="2:14" x14ac:dyDescent="0.25">
      <c r="B513" s="22" t="s">
        <v>535</v>
      </c>
      <c r="C513" s="4" t="s">
        <v>18</v>
      </c>
      <c r="D513" s="4">
        <v>122</v>
      </c>
      <c r="E513" s="5" t="s">
        <v>6</v>
      </c>
      <c r="F513" s="9">
        <v>45074</v>
      </c>
      <c r="G513" s="4">
        <v>45</v>
      </c>
      <c r="H513" s="2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Row],[Duration]]&lt;=30,"10 TO 30 MINS",
     CALLS[[#This Row],[Duration]]&lt;=120,"1 TO 2 HOURS",
     TRUE,"&gt; 2 HOURS")</f>
        <v>&gt; 2 HOURS</v>
      </c>
      <c r="L513">
        <f>ROUND(CALLS[[#This Row],[Satisfaction Rating]],0)</f>
        <v>4</v>
      </c>
      <c r="M513" cm="1">
        <f t="array" ref="M513">_xlfn.IFS(CALLS[[#This Row],[DURATION BACKET]]="UNDER 10 MINS",1,
     CALLS[[#This Row],[DURATION BACKET]]="10 TO 30 MINS",2,
     CALLS[[#This Row],[DURATION BACKET]]="1 TO 2 HOURS",3,
     CALLS[[#This Row],[DURATION BACKET]]="&gt; 2 HOURS",4)</f>
        <v>4</v>
      </c>
      <c r="N513">
        <f>(CALLS[[#This Row],[Purchase Amount]]/ 1)</f>
        <v>45</v>
      </c>
    </row>
    <row r="514" spans="2:14" x14ac:dyDescent="0.25">
      <c r="B514" s="22" t="s">
        <v>536</v>
      </c>
      <c r="C514" s="4" t="s">
        <v>8</v>
      </c>
      <c r="D514" s="4">
        <v>98</v>
      </c>
      <c r="E514" s="5" t="s">
        <v>13</v>
      </c>
      <c r="F514" s="9">
        <v>45075</v>
      </c>
      <c r="G514" s="4">
        <v>35</v>
      </c>
      <c r="H514" s="23">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Row],[Duration]]&lt;=30,"10 TO 30 MINS",
     CALLS[[#This Row],[Duration]]&lt;=120,"1 TO 2 HOURS",
     TRUE,"&gt; 2 HOURS")</f>
        <v>1 TO 2 HOURS</v>
      </c>
      <c r="L514">
        <f>ROUND(CALLS[[#This Row],[Satisfaction Rating]],0)</f>
        <v>5</v>
      </c>
      <c r="M514" cm="1">
        <f t="array" ref="M514">_xlfn.IFS(CALLS[[#This Row],[DURATION BACKET]]="UNDER 10 MINS",1,
     CALLS[[#This Row],[DURATION BACKET]]="10 TO 30 MINS",2,
     CALLS[[#This Row],[DURATION BACKET]]="1 TO 2 HOURS",3,
     CALLS[[#This Row],[DURATION BACKET]]="&gt; 2 HOURS",4)</f>
        <v>3</v>
      </c>
      <c r="N514">
        <f>(CALLS[[#This Row],[Purchase Amount]]/ 1)</f>
        <v>35</v>
      </c>
    </row>
    <row r="515" spans="2:14" x14ac:dyDescent="0.25">
      <c r="B515" s="22" t="s">
        <v>537</v>
      </c>
      <c r="C515" s="4" t="s">
        <v>22</v>
      </c>
      <c r="D515" s="4">
        <v>110</v>
      </c>
      <c r="E515" s="5" t="s">
        <v>10</v>
      </c>
      <c r="F515" s="9">
        <v>45075</v>
      </c>
      <c r="G515" s="4">
        <v>100</v>
      </c>
      <c r="H515" s="23">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Row],[Duration]]&lt;=30,"10 TO 30 MINS",
     CALLS[[#This Row],[Duration]]&lt;=120,"1 TO 2 HOURS",
     TRUE,"&gt; 2 HOURS")</f>
        <v>1 TO 2 HOURS</v>
      </c>
      <c r="L515">
        <f>ROUND(CALLS[[#This Row],[Satisfaction Rating]],0)</f>
        <v>4</v>
      </c>
      <c r="M515" cm="1">
        <f t="array" ref="M515">_xlfn.IFS(CALLS[[#This Row],[DURATION BACKET]]="UNDER 10 MINS",1,
     CALLS[[#This Row],[DURATION BACKET]]="10 TO 30 MINS",2,
     CALLS[[#This Row],[DURATION BACKET]]="1 TO 2 HOURS",3,
     CALLS[[#This Row],[DURATION BACKET]]="&gt; 2 HOURS",4)</f>
        <v>3</v>
      </c>
      <c r="N515">
        <f>(CALLS[[#This Row],[Purchase Amount]]/ 1)</f>
        <v>100</v>
      </c>
    </row>
    <row r="516" spans="2:14" x14ac:dyDescent="0.25">
      <c r="B516" s="22" t="s">
        <v>538</v>
      </c>
      <c r="C516" s="4" t="s">
        <v>22</v>
      </c>
      <c r="D516" s="4">
        <v>62</v>
      </c>
      <c r="E516" s="5" t="s">
        <v>11</v>
      </c>
      <c r="F516" s="9">
        <v>45076</v>
      </c>
      <c r="G516" s="4">
        <v>125</v>
      </c>
      <c r="H516" s="23">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Row],[Duration]]&lt;=30,"10 TO 30 MINS",
     CALLS[[#This Row],[Duration]]&lt;=120,"1 TO 2 HOURS",
     TRUE,"&gt; 2 HOURS")</f>
        <v>1 TO 2 HOURS</v>
      </c>
      <c r="L516">
        <f>ROUND(CALLS[[#This Row],[Satisfaction Rating]],0)</f>
        <v>4</v>
      </c>
      <c r="M516" cm="1">
        <f t="array" ref="M516">_xlfn.IFS(CALLS[[#This Row],[DURATION BACKET]]="UNDER 10 MINS",1,
     CALLS[[#This Row],[DURATION BACKET]]="10 TO 30 MINS",2,
     CALLS[[#This Row],[DURATION BACKET]]="1 TO 2 HOURS",3,
     CALLS[[#This Row],[DURATION BACKET]]="&gt; 2 HOURS",4)</f>
        <v>3</v>
      </c>
      <c r="N516">
        <f>(CALLS[[#This Row],[Purchase Amount]]/ 1)</f>
        <v>125</v>
      </c>
    </row>
    <row r="517" spans="2:14" x14ac:dyDescent="0.25">
      <c r="B517" s="22" t="s">
        <v>539</v>
      </c>
      <c r="C517" s="4" t="s">
        <v>18</v>
      </c>
      <c r="D517" s="4">
        <v>134</v>
      </c>
      <c r="E517" s="5" t="s">
        <v>6</v>
      </c>
      <c r="F517" s="9">
        <v>45076</v>
      </c>
      <c r="G517" s="4">
        <v>120</v>
      </c>
      <c r="H517" s="23">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Row],[Duration]]&lt;=30,"10 TO 30 MINS",
     CALLS[[#This Row],[Duration]]&lt;=120,"1 TO 2 HOURS",
     TRUE,"&gt; 2 HOURS")</f>
        <v>&gt; 2 HOURS</v>
      </c>
      <c r="L517">
        <f>ROUND(CALLS[[#This Row],[Satisfaction Rating]],0)</f>
        <v>3</v>
      </c>
      <c r="M517" cm="1">
        <f t="array" ref="M517">_xlfn.IFS(CALLS[[#This Row],[DURATION BACKET]]="UNDER 10 MINS",1,
     CALLS[[#This Row],[DURATION BACKET]]="10 TO 30 MINS",2,
     CALLS[[#This Row],[DURATION BACKET]]="1 TO 2 HOURS",3,
     CALLS[[#This Row],[DURATION BACKET]]="&gt; 2 HOURS",4)</f>
        <v>4</v>
      </c>
      <c r="N517">
        <f>(CALLS[[#This Row],[Purchase Amount]]/ 1)</f>
        <v>120</v>
      </c>
    </row>
    <row r="518" spans="2:14" x14ac:dyDescent="0.25">
      <c r="B518" s="22" t="s">
        <v>540</v>
      </c>
      <c r="C518" s="4" t="s">
        <v>19</v>
      </c>
      <c r="D518" s="4">
        <v>94</v>
      </c>
      <c r="E518" s="5" t="s">
        <v>9</v>
      </c>
      <c r="F518" s="9">
        <v>45076</v>
      </c>
      <c r="G518" s="4">
        <v>180</v>
      </c>
      <c r="H518" s="23">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Row],[Duration]]&lt;=30,"10 TO 30 MINS",
     CALLS[[#This Row],[Duration]]&lt;=120,"1 TO 2 HOURS",
     TRUE,"&gt; 2 HOURS")</f>
        <v>1 TO 2 HOURS</v>
      </c>
      <c r="L518">
        <f>ROUND(CALLS[[#This Row],[Satisfaction Rating]],0)</f>
        <v>5</v>
      </c>
      <c r="M518" cm="1">
        <f t="array" ref="M518">_xlfn.IFS(CALLS[[#This Row],[DURATION BACKET]]="UNDER 10 MINS",1,
     CALLS[[#This Row],[DURATION BACKET]]="10 TO 30 MINS",2,
     CALLS[[#This Row],[DURATION BACKET]]="1 TO 2 HOURS",3,
     CALLS[[#This Row],[DURATION BACKET]]="&gt; 2 HOURS",4)</f>
        <v>3</v>
      </c>
      <c r="N518">
        <f>(CALLS[[#This Row],[Purchase Amount]]/ 1)</f>
        <v>180</v>
      </c>
    </row>
    <row r="519" spans="2:14" x14ac:dyDescent="0.25">
      <c r="B519" s="22" t="s">
        <v>541</v>
      </c>
      <c r="C519" s="4" t="s">
        <v>15</v>
      </c>
      <c r="D519" s="4">
        <v>63</v>
      </c>
      <c r="E519" s="5" t="s">
        <v>10</v>
      </c>
      <c r="F519" s="9">
        <v>45076</v>
      </c>
      <c r="G519" s="4">
        <v>44</v>
      </c>
      <c r="H519" s="23">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Row],[Duration]]&lt;=30,"10 TO 30 MINS",
     CALLS[[#This Row],[Duration]]&lt;=120,"1 TO 2 HOURS",
     TRUE,"&gt; 2 HOURS")</f>
        <v>1 TO 2 HOURS</v>
      </c>
      <c r="L519">
        <f>ROUND(CALLS[[#This Row],[Satisfaction Rating]],0)</f>
        <v>3</v>
      </c>
      <c r="M519" cm="1">
        <f t="array" ref="M519">_xlfn.IFS(CALLS[[#This Row],[DURATION BACKET]]="UNDER 10 MINS",1,
     CALLS[[#This Row],[DURATION BACKET]]="10 TO 30 MINS",2,
     CALLS[[#This Row],[DURATION BACKET]]="1 TO 2 HOURS",3,
     CALLS[[#This Row],[DURATION BACKET]]="&gt; 2 HOURS",4)</f>
        <v>3</v>
      </c>
      <c r="N519">
        <f>(CALLS[[#This Row],[Purchase Amount]]/ 1)</f>
        <v>44</v>
      </c>
    </row>
    <row r="520" spans="2:14" x14ac:dyDescent="0.25">
      <c r="B520" s="22" t="s">
        <v>542</v>
      </c>
      <c r="C520" s="4" t="s">
        <v>7</v>
      </c>
      <c r="D520" s="4">
        <v>95</v>
      </c>
      <c r="E520" s="5" t="s">
        <v>6</v>
      </c>
      <c r="F520" s="9">
        <v>45076</v>
      </c>
      <c r="G520" s="4">
        <v>86</v>
      </c>
      <c r="H520" s="23">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Row],[Duration]]&lt;=30,"10 TO 30 MINS",
     CALLS[[#This Row],[Duration]]&lt;=120,"1 TO 2 HOURS",
     TRUE,"&gt; 2 HOURS")</f>
        <v>1 TO 2 HOURS</v>
      </c>
      <c r="L520">
        <f>ROUND(CALLS[[#This Row],[Satisfaction Rating]],0)</f>
        <v>4</v>
      </c>
      <c r="M520" cm="1">
        <f t="array" ref="M520">_xlfn.IFS(CALLS[[#This Row],[DURATION BACKET]]="UNDER 10 MINS",1,
     CALLS[[#This Row],[DURATION BACKET]]="10 TO 30 MINS",2,
     CALLS[[#This Row],[DURATION BACKET]]="1 TO 2 HOURS",3,
     CALLS[[#This Row],[DURATION BACKET]]="&gt; 2 HOURS",4)</f>
        <v>3</v>
      </c>
      <c r="N520">
        <f>(CALLS[[#This Row],[Purchase Amount]]/ 1)</f>
        <v>86</v>
      </c>
    </row>
    <row r="521" spans="2:14" x14ac:dyDescent="0.25">
      <c r="B521" s="22" t="s">
        <v>543</v>
      </c>
      <c r="C521" s="4" t="s">
        <v>18</v>
      </c>
      <c r="D521" s="4">
        <v>106</v>
      </c>
      <c r="E521" s="5" t="s">
        <v>6</v>
      </c>
      <c r="F521" s="9">
        <v>45077</v>
      </c>
      <c r="G521" s="4">
        <v>120</v>
      </c>
      <c r="H521" s="23">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Row],[Duration]]&lt;=30,"10 TO 30 MINS",
     CALLS[[#This Row],[Duration]]&lt;=120,"1 TO 2 HOURS",
     TRUE,"&gt; 2 HOURS")</f>
        <v>1 TO 2 HOURS</v>
      </c>
      <c r="L521">
        <f>ROUND(CALLS[[#This Row],[Satisfaction Rating]],0)</f>
        <v>4</v>
      </c>
      <c r="M521" cm="1">
        <f t="array" ref="M521">_xlfn.IFS(CALLS[[#This Row],[DURATION BACKET]]="UNDER 10 MINS",1,
     CALLS[[#This Row],[DURATION BACKET]]="10 TO 30 MINS",2,
     CALLS[[#This Row],[DURATION BACKET]]="1 TO 2 HOURS",3,
     CALLS[[#This Row],[DURATION BACKET]]="&gt; 2 HOURS",4)</f>
        <v>3</v>
      </c>
      <c r="N521">
        <f>(CALLS[[#This Row],[Purchase Amount]]/ 1)</f>
        <v>120</v>
      </c>
    </row>
    <row r="522" spans="2:14" x14ac:dyDescent="0.25">
      <c r="B522" s="22" t="s">
        <v>544</v>
      </c>
      <c r="C522" s="4" t="s">
        <v>21</v>
      </c>
      <c r="D522" s="4">
        <v>94</v>
      </c>
      <c r="E522" s="5" t="s">
        <v>9</v>
      </c>
      <c r="F522" s="9">
        <v>45077</v>
      </c>
      <c r="G522" s="4">
        <v>100</v>
      </c>
      <c r="H522" s="23">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Row],[Duration]]&lt;=30,"10 TO 30 MINS",
     CALLS[[#This Row],[Duration]]&lt;=120,"1 TO 2 HOURS",
     TRUE,"&gt; 2 HOURS")</f>
        <v>1 TO 2 HOURS</v>
      </c>
      <c r="L522">
        <f>ROUND(CALLS[[#This Row],[Satisfaction Rating]],0)</f>
        <v>4</v>
      </c>
      <c r="M522" cm="1">
        <f t="array" ref="M522">_xlfn.IFS(CALLS[[#This Row],[DURATION BACKET]]="UNDER 10 MINS",1,
     CALLS[[#This Row],[DURATION BACKET]]="10 TO 30 MINS",2,
     CALLS[[#This Row],[DURATION BACKET]]="1 TO 2 HOURS",3,
     CALLS[[#This Row],[DURATION BACKET]]="&gt; 2 HOURS",4)</f>
        <v>3</v>
      </c>
      <c r="N522">
        <f>(CALLS[[#This Row],[Purchase Amount]]/ 1)</f>
        <v>100</v>
      </c>
    </row>
    <row r="523" spans="2:14" x14ac:dyDescent="0.25">
      <c r="B523" s="22" t="s">
        <v>545</v>
      </c>
      <c r="C523" s="4" t="s">
        <v>21</v>
      </c>
      <c r="D523" s="4">
        <v>51</v>
      </c>
      <c r="E523" s="5" t="s">
        <v>9</v>
      </c>
      <c r="F523" s="9">
        <v>45078</v>
      </c>
      <c r="G523" s="4">
        <v>108</v>
      </c>
      <c r="H523" s="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Row],[Duration]]&lt;=30,"10 TO 30 MINS",
     CALLS[[#This Row],[Duration]]&lt;=120,"1 TO 2 HOURS",
     TRUE,"&gt; 2 HOURS")</f>
        <v>1 TO 2 HOURS</v>
      </c>
      <c r="L523">
        <f>ROUND(CALLS[[#This Row],[Satisfaction Rating]],0)</f>
        <v>5</v>
      </c>
      <c r="M523" cm="1">
        <f t="array" ref="M523">_xlfn.IFS(CALLS[[#This Row],[DURATION BACKET]]="UNDER 10 MINS",1,
     CALLS[[#This Row],[DURATION BACKET]]="10 TO 30 MINS",2,
     CALLS[[#This Row],[DURATION BACKET]]="1 TO 2 HOURS",3,
     CALLS[[#This Row],[DURATION BACKET]]="&gt; 2 HOURS",4)</f>
        <v>3</v>
      </c>
      <c r="N523">
        <f>(CALLS[[#This Row],[Purchase Amount]]/ 1)</f>
        <v>108</v>
      </c>
    </row>
    <row r="524" spans="2:14" x14ac:dyDescent="0.25">
      <c r="B524" s="22" t="s">
        <v>546</v>
      </c>
      <c r="C524" s="4" t="s">
        <v>5</v>
      </c>
      <c r="D524" s="4">
        <v>39</v>
      </c>
      <c r="E524" s="5" t="s">
        <v>9</v>
      </c>
      <c r="F524" s="9">
        <v>45078</v>
      </c>
      <c r="G524" s="4">
        <v>46</v>
      </c>
      <c r="H524" s="23">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Row],[Duration]]&lt;=30,"10 TO 30 MINS",
     CALLS[[#This Row],[Duration]]&lt;=120,"1 TO 2 HOURS",
     TRUE,"&gt; 2 HOURS")</f>
        <v>1 TO 2 HOURS</v>
      </c>
      <c r="L524">
        <f>ROUND(CALLS[[#This Row],[Satisfaction Rating]],0)</f>
        <v>5</v>
      </c>
      <c r="M524" cm="1">
        <f t="array" ref="M524">_xlfn.IFS(CALLS[[#This Row],[DURATION BACKET]]="UNDER 10 MINS",1,
     CALLS[[#This Row],[DURATION BACKET]]="10 TO 30 MINS",2,
     CALLS[[#This Row],[DURATION BACKET]]="1 TO 2 HOURS",3,
     CALLS[[#This Row],[DURATION BACKET]]="&gt; 2 HOURS",4)</f>
        <v>3</v>
      </c>
      <c r="N524">
        <f>(CALLS[[#This Row],[Purchase Amount]]/ 1)</f>
        <v>46</v>
      </c>
    </row>
    <row r="525" spans="2:14" x14ac:dyDescent="0.25">
      <c r="B525" s="22" t="s">
        <v>547</v>
      </c>
      <c r="C525" s="4" t="s">
        <v>14</v>
      </c>
      <c r="D525" s="4">
        <v>111</v>
      </c>
      <c r="E525" s="5" t="s">
        <v>6</v>
      </c>
      <c r="F525" s="9">
        <v>45078</v>
      </c>
      <c r="G525" s="4">
        <v>210</v>
      </c>
      <c r="H525" s="23">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Row],[Duration]]&lt;=30,"10 TO 30 MINS",
     CALLS[[#This Row],[Duration]]&lt;=120,"1 TO 2 HOURS",
     TRUE,"&gt; 2 HOURS")</f>
        <v>1 TO 2 HOURS</v>
      </c>
      <c r="L525">
        <f>ROUND(CALLS[[#This Row],[Satisfaction Rating]],0)</f>
        <v>4</v>
      </c>
      <c r="M525" cm="1">
        <f t="array" ref="M525">_xlfn.IFS(CALLS[[#This Row],[DURATION BACKET]]="UNDER 10 MINS",1,
     CALLS[[#This Row],[DURATION BACKET]]="10 TO 30 MINS",2,
     CALLS[[#This Row],[DURATION BACKET]]="1 TO 2 HOURS",3,
     CALLS[[#This Row],[DURATION BACKET]]="&gt; 2 HOURS",4)</f>
        <v>3</v>
      </c>
      <c r="N525">
        <f>(CALLS[[#This Row],[Purchase Amount]]/ 1)</f>
        <v>210</v>
      </c>
    </row>
    <row r="526" spans="2:14" x14ac:dyDescent="0.25">
      <c r="B526" s="22" t="s">
        <v>548</v>
      </c>
      <c r="C526" s="4" t="s">
        <v>16</v>
      </c>
      <c r="D526" s="4">
        <v>141</v>
      </c>
      <c r="E526" s="5" t="s">
        <v>11</v>
      </c>
      <c r="F526" s="9">
        <v>45080</v>
      </c>
      <c r="G526" s="4">
        <v>54</v>
      </c>
      <c r="H526" s="23">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Row],[Duration]]&lt;=30,"10 TO 30 MINS",
     CALLS[[#This Row],[Duration]]&lt;=120,"1 TO 2 HOURS",
     TRUE,"&gt; 2 HOURS")</f>
        <v>&gt; 2 HOURS</v>
      </c>
      <c r="L526">
        <f>ROUND(CALLS[[#This Row],[Satisfaction Rating]],0)</f>
        <v>5</v>
      </c>
      <c r="M526" cm="1">
        <f t="array" ref="M526">_xlfn.IFS(CALLS[[#This Row],[DURATION BACKET]]="UNDER 10 MINS",1,
     CALLS[[#This Row],[DURATION BACKET]]="10 TO 30 MINS",2,
     CALLS[[#This Row],[DURATION BACKET]]="1 TO 2 HOURS",3,
     CALLS[[#This Row],[DURATION BACKET]]="&gt; 2 HOURS",4)</f>
        <v>4</v>
      </c>
      <c r="N526">
        <f>(CALLS[[#This Row],[Purchase Amount]]/ 1)</f>
        <v>54</v>
      </c>
    </row>
    <row r="527" spans="2:14" x14ac:dyDescent="0.25">
      <c r="B527" s="22" t="s">
        <v>549</v>
      </c>
      <c r="C527" s="4" t="s">
        <v>15</v>
      </c>
      <c r="D527" s="4">
        <v>147</v>
      </c>
      <c r="E527" s="5" t="s">
        <v>6</v>
      </c>
      <c r="F527" s="9">
        <v>45080</v>
      </c>
      <c r="G527" s="4">
        <v>115</v>
      </c>
      <c r="H527" s="23">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Row],[Duration]]&lt;=30,"10 TO 30 MINS",
     CALLS[[#This Row],[Duration]]&lt;=120,"1 TO 2 HOURS",
     TRUE,"&gt; 2 HOURS")</f>
        <v>&gt; 2 HOURS</v>
      </c>
      <c r="L527">
        <f>ROUND(CALLS[[#This Row],[Satisfaction Rating]],0)</f>
        <v>5</v>
      </c>
      <c r="M527" cm="1">
        <f t="array" ref="M527">_xlfn.IFS(CALLS[[#This Row],[DURATION BACKET]]="UNDER 10 MINS",1,
     CALLS[[#This Row],[DURATION BACKET]]="10 TO 30 MINS",2,
     CALLS[[#This Row],[DURATION BACKET]]="1 TO 2 HOURS",3,
     CALLS[[#This Row],[DURATION BACKET]]="&gt; 2 HOURS",4)</f>
        <v>4</v>
      </c>
      <c r="N527">
        <f>(CALLS[[#This Row],[Purchase Amount]]/ 1)</f>
        <v>115</v>
      </c>
    </row>
    <row r="528" spans="2:14" x14ac:dyDescent="0.25">
      <c r="B528" s="22" t="s">
        <v>550</v>
      </c>
      <c r="C528" s="4" t="s">
        <v>19</v>
      </c>
      <c r="D528" s="4">
        <v>49</v>
      </c>
      <c r="E528" s="5" t="s">
        <v>9</v>
      </c>
      <c r="F528" s="9">
        <v>45081</v>
      </c>
      <c r="G528" s="4">
        <v>100</v>
      </c>
      <c r="H528" s="23">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Row],[Duration]]&lt;=30,"10 TO 30 MINS",
     CALLS[[#This Row],[Duration]]&lt;=120,"1 TO 2 HOURS",
     TRUE,"&gt; 2 HOURS")</f>
        <v>1 TO 2 HOURS</v>
      </c>
      <c r="L528">
        <f>ROUND(CALLS[[#This Row],[Satisfaction Rating]],0)</f>
        <v>2</v>
      </c>
      <c r="M528" cm="1">
        <f t="array" ref="M528">_xlfn.IFS(CALLS[[#This Row],[DURATION BACKET]]="UNDER 10 MINS",1,
     CALLS[[#This Row],[DURATION BACKET]]="10 TO 30 MINS",2,
     CALLS[[#This Row],[DURATION BACKET]]="1 TO 2 HOURS",3,
     CALLS[[#This Row],[DURATION BACKET]]="&gt; 2 HOURS",4)</f>
        <v>3</v>
      </c>
      <c r="N528">
        <f>(CALLS[[#This Row],[Purchase Amount]]/ 1)</f>
        <v>100</v>
      </c>
    </row>
    <row r="529" spans="2:14" x14ac:dyDescent="0.25">
      <c r="B529" s="22" t="s">
        <v>551</v>
      </c>
      <c r="C529" s="4" t="s">
        <v>23</v>
      </c>
      <c r="D529" s="4">
        <v>75</v>
      </c>
      <c r="E529" s="5" t="s">
        <v>6</v>
      </c>
      <c r="F529" s="9">
        <v>45081</v>
      </c>
      <c r="G529" s="4">
        <v>38</v>
      </c>
      <c r="H529" s="23">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Row],[Duration]]&lt;=30,"10 TO 30 MINS",
     CALLS[[#This Row],[Duration]]&lt;=120,"1 TO 2 HOURS",
     TRUE,"&gt; 2 HOURS")</f>
        <v>1 TO 2 HOURS</v>
      </c>
      <c r="L529">
        <f>ROUND(CALLS[[#This Row],[Satisfaction Rating]],0)</f>
        <v>4</v>
      </c>
      <c r="M529" cm="1">
        <f t="array" ref="M529">_xlfn.IFS(CALLS[[#This Row],[DURATION BACKET]]="UNDER 10 MINS",1,
     CALLS[[#This Row],[DURATION BACKET]]="10 TO 30 MINS",2,
     CALLS[[#This Row],[DURATION BACKET]]="1 TO 2 HOURS",3,
     CALLS[[#This Row],[DURATION BACKET]]="&gt; 2 HOURS",4)</f>
        <v>3</v>
      </c>
      <c r="N529">
        <f>(CALLS[[#This Row],[Purchase Amount]]/ 1)</f>
        <v>38</v>
      </c>
    </row>
    <row r="530" spans="2:14" x14ac:dyDescent="0.25">
      <c r="B530" s="22" t="s">
        <v>552</v>
      </c>
      <c r="C530" s="4" t="s">
        <v>16</v>
      </c>
      <c r="D530" s="4">
        <v>48</v>
      </c>
      <c r="E530" s="5" t="s">
        <v>11</v>
      </c>
      <c r="F530" s="9">
        <v>45082</v>
      </c>
      <c r="G530" s="4">
        <v>120</v>
      </c>
      <c r="H530" s="23">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Row],[Duration]]&lt;=30,"10 TO 30 MINS",
     CALLS[[#This Row],[Duration]]&lt;=120,"1 TO 2 HOURS",
     TRUE,"&gt; 2 HOURS")</f>
        <v>1 TO 2 HOURS</v>
      </c>
      <c r="L530">
        <f>ROUND(CALLS[[#This Row],[Satisfaction Rating]],0)</f>
        <v>4</v>
      </c>
      <c r="M530" cm="1">
        <f t="array" ref="M530">_xlfn.IFS(CALLS[[#This Row],[DURATION BACKET]]="UNDER 10 MINS",1,
     CALLS[[#This Row],[DURATION BACKET]]="10 TO 30 MINS",2,
     CALLS[[#This Row],[DURATION BACKET]]="1 TO 2 HOURS",3,
     CALLS[[#This Row],[DURATION BACKET]]="&gt; 2 HOURS",4)</f>
        <v>3</v>
      </c>
      <c r="N530">
        <f>(CALLS[[#This Row],[Purchase Amount]]/ 1)</f>
        <v>120</v>
      </c>
    </row>
    <row r="531" spans="2:14" x14ac:dyDescent="0.25">
      <c r="B531" s="22" t="s">
        <v>553</v>
      </c>
      <c r="C531" s="4" t="s">
        <v>22</v>
      </c>
      <c r="D531" s="4">
        <v>48</v>
      </c>
      <c r="E531" s="5" t="s">
        <v>11</v>
      </c>
      <c r="F531" s="9">
        <v>45082</v>
      </c>
      <c r="G531" s="4">
        <v>120</v>
      </c>
      <c r="H531" s="23">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Row],[Duration]]&lt;=30,"10 TO 30 MINS",
     CALLS[[#This Row],[Duration]]&lt;=120,"1 TO 2 HOURS",
     TRUE,"&gt; 2 HOURS")</f>
        <v>1 TO 2 HOURS</v>
      </c>
      <c r="L531">
        <f>ROUND(CALLS[[#This Row],[Satisfaction Rating]],0)</f>
        <v>4</v>
      </c>
      <c r="M531" cm="1">
        <f t="array" ref="M531">_xlfn.IFS(CALLS[[#This Row],[DURATION BACKET]]="UNDER 10 MINS",1,
     CALLS[[#This Row],[DURATION BACKET]]="10 TO 30 MINS",2,
     CALLS[[#This Row],[DURATION BACKET]]="1 TO 2 HOURS",3,
     CALLS[[#This Row],[DURATION BACKET]]="&gt; 2 HOURS",4)</f>
        <v>3</v>
      </c>
      <c r="N531">
        <f>(CALLS[[#This Row],[Purchase Amount]]/ 1)</f>
        <v>120</v>
      </c>
    </row>
    <row r="532" spans="2:14" x14ac:dyDescent="0.25">
      <c r="B532" s="22" t="s">
        <v>554</v>
      </c>
      <c r="C532" s="4" t="s">
        <v>12</v>
      </c>
      <c r="D532" s="4">
        <v>138</v>
      </c>
      <c r="E532" s="5" t="s">
        <v>9</v>
      </c>
      <c r="F532" s="9">
        <v>45082</v>
      </c>
      <c r="G532" s="4">
        <v>29</v>
      </c>
      <c r="H532" s="23">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Row],[Duration]]&lt;=30,"10 TO 30 MINS",
     CALLS[[#This Row],[Duration]]&lt;=120,"1 TO 2 HOURS",
     TRUE,"&gt; 2 HOURS")</f>
        <v>&gt; 2 HOURS</v>
      </c>
      <c r="L532">
        <f>ROUND(CALLS[[#This Row],[Satisfaction Rating]],0)</f>
        <v>4</v>
      </c>
      <c r="M532" cm="1">
        <f t="array" ref="M532">_xlfn.IFS(CALLS[[#This Row],[DURATION BACKET]]="UNDER 10 MINS",1,
     CALLS[[#This Row],[DURATION BACKET]]="10 TO 30 MINS",2,
     CALLS[[#This Row],[DURATION BACKET]]="1 TO 2 HOURS",3,
     CALLS[[#This Row],[DURATION BACKET]]="&gt; 2 HOURS",4)</f>
        <v>4</v>
      </c>
      <c r="N532">
        <f>(CALLS[[#This Row],[Purchase Amount]]/ 1)</f>
        <v>29</v>
      </c>
    </row>
    <row r="533" spans="2:14" x14ac:dyDescent="0.25">
      <c r="B533" s="22" t="s">
        <v>555</v>
      </c>
      <c r="C533" s="4" t="s">
        <v>7</v>
      </c>
      <c r="D533" s="4">
        <v>144</v>
      </c>
      <c r="E533" s="5" t="s">
        <v>9</v>
      </c>
      <c r="F533" s="9">
        <v>45083</v>
      </c>
      <c r="G533" s="4">
        <v>25</v>
      </c>
      <c r="H533" s="2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Row],[Duration]]&lt;=30,"10 TO 30 MINS",
     CALLS[[#This Row],[Duration]]&lt;=120,"1 TO 2 HOURS",
     TRUE,"&gt; 2 HOURS")</f>
        <v>&gt; 2 HOURS</v>
      </c>
      <c r="L533">
        <f>ROUND(CALLS[[#This Row],[Satisfaction Rating]],0)</f>
        <v>4</v>
      </c>
      <c r="M533" cm="1">
        <f t="array" ref="M533">_xlfn.IFS(CALLS[[#This Row],[DURATION BACKET]]="UNDER 10 MINS",1,
     CALLS[[#This Row],[DURATION BACKET]]="10 TO 30 MINS",2,
     CALLS[[#This Row],[DURATION BACKET]]="1 TO 2 HOURS",3,
     CALLS[[#This Row],[DURATION BACKET]]="&gt; 2 HOURS",4)</f>
        <v>4</v>
      </c>
      <c r="N533">
        <f>(CALLS[[#This Row],[Purchase Amount]]/ 1)</f>
        <v>25</v>
      </c>
    </row>
    <row r="534" spans="2:14" x14ac:dyDescent="0.25">
      <c r="B534" s="22" t="s">
        <v>556</v>
      </c>
      <c r="C534" s="4" t="s">
        <v>17</v>
      </c>
      <c r="D534" s="4">
        <v>119</v>
      </c>
      <c r="E534" s="5" t="s">
        <v>6</v>
      </c>
      <c r="F534" s="9">
        <v>45084</v>
      </c>
      <c r="G534" s="4">
        <v>116</v>
      </c>
      <c r="H534" s="23">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Row],[Duration]]&lt;=30,"10 TO 30 MINS",
     CALLS[[#This Row],[Duration]]&lt;=120,"1 TO 2 HOURS",
     TRUE,"&gt; 2 HOURS")</f>
        <v>1 TO 2 HOURS</v>
      </c>
      <c r="L534">
        <f>ROUND(CALLS[[#This Row],[Satisfaction Rating]],0)</f>
        <v>4</v>
      </c>
      <c r="M534" cm="1">
        <f t="array" ref="M534">_xlfn.IFS(CALLS[[#This Row],[DURATION BACKET]]="UNDER 10 MINS",1,
     CALLS[[#This Row],[DURATION BACKET]]="10 TO 30 MINS",2,
     CALLS[[#This Row],[DURATION BACKET]]="1 TO 2 HOURS",3,
     CALLS[[#This Row],[DURATION BACKET]]="&gt; 2 HOURS",4)</f>
        <v>3</v>
      </c>
      <c r="N534">
        <f>(CALLS[[#This Row],[Purchase Amount]]/ 1)</f>
        <v>116</v>
      </c>
    </row>
    <row r="535" spans="2:14" x14ac:dyDescent="0.25">
      <c r="B535" s="22" t="s">
        <v>557</v>
      </c>
      <c r="C535" s="4" t="s">
        <v>12</v>
      </c>
      <c r="D535" s="4">
        <v>101</v>
      </c>
      <c r="E535" s="5" t="s">
        <v>11</v>
      </c>
      <c r="F535" s="9">
        <v>45085</v>
      </c>
      <c r="G535" s="4">
        <v>132</v>
      </c>
      <c r="H535" s="23">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Row],[Duration]]&lt;=30,"10 TO 30 MINS",
     CALLS[[#This Row],[Duration]]&lt;=120,"1 TO 2 HOURS",
     TRUE,"&gt; 2 HOURS")</f>
        <v>1 TO 2 HOURS</v>
      </c>
      <c r="L535">
        <f>ROUND(CALLS[[#This Row],[Satisfaction Rating]],0)</f>
        <v>4</v>
      </c>
      <c r="M535" cm="1">
        <f t="array" ref="M535">_xlfn.IFS(CALLS[[#This Row],[DURATION BACKET]]="UNDER 10 MINS",1,
     CALLS[[#This Row],[DURATION BACKET]]="10 TO 30 MINS",2,
     CALLS[[#This Row],[DURATION BACKET]]="1 TO 2 HOURS",3,
     CALLS[[#This Row],[DURATION BACKET]]="&gt; 2 HOURS",4)</f>
        <v>3</v>
      </c>
      <c r="N535">
        <f>(CALLS[[#This Row],[Purchase Amount]]/ 1)</f>
        <v>132</v>
      </c>
    </row>
    <row r="536" spans="2:14" x14ac:dyDescent="0.25">
      <c r="B536" s="22" t="s">
        <v>558</v>
      </c>
      <c r="C536" s="4" t="s">
        <v>7</v>
      </c>
      <c r="D536" s="4">
        <v>59</v>
      </c>
      <c r="E536" s="5" t="s">
        <v>6</v>
      </c>
      <c r="F536" s="9">
        <v>45086</v>
      </c>
      <c r="G536" s="4">
        <v>90</v>
      </c>
      <c r="H536" s="23">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Row],[Duration]]&lt;=30,"10 TO 30 MINS",
     CALLS[[#This Row],[Duration]]&lt;=120,"1 TO 2 HOURS",
     TRUE,"&gt; 2 HOURS")</f>
        <v>1 TO 2 HOURS</v>
      </c>
      <c r="L536">
        <f>ROUND(CALLS[[#This Row],[Satisfaction Rating]],0)</f>
        <v>4</v>
      </c>
      <c r="M536" cm="1">
        <f t="array" ref="M536">_xlfn.IFS(CALLS[[#This Row],[DURATION BACKET]]="UNDER 10 MINS",1,
     CALLS[[#This Row],[DURATION BACKET]]="10 TO 30 MINS",2,
     CALLS[[#This Row],[DURATION BACKET]]="1 TO 2 HOURS",3,
     CALLS[[#This Row],[DURATION BACKET]]="&gt; 2 HOURS",4)</f>
        <v>3</v>
      </c>
      <c r="N536">
        <f>(CALLS[[#This Row],[Purchase Amount]]/ 1)</f>
        <v>90</v>
      </c>
    </row>
    <row r="537" spans="2:14" x14ac:dyDescent="0.25">
      <c r="B537" s="22" t="s">
        <v>559</v>
      </c>
      <c r="C537" s="4" t="s">
        <v>14</v>
      </c>
      <c r="D537" s="4">
        <v>125</v>
      </c>
      <c r="E537" s="5" t="s">
        <v>10</v>
      </c>
      <c r="F537" s="9">
        <v>45086</v>
      </c>
      <c r="G537" s="4">
        <v>87</v>
      </c>
      <c r="H537" s="23">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Row],[Duration]]&lt;=30,"10 TO 30 MINS",
     CALLS[[#This Row],[Duration]]&lt;=120,"1 TO 2 HOURS",
     TRUE,"&gt; 2 HOURS")</f>
        <v>&gt; 2 HOURS</v>
      </c>
      <c r="L537">
        <f>ROUND(CALLS[[#This Row],[Satisfaction Rating]],0)</f>
        <v>4</v>
      </c>
      <c r="M537" cm="1">
        <f t="array" ref="M537">_xlfn.IFS(CALLS[[#This Row],[DURATION BACKET]]="UNDER 10 MINS",1,
     CALLS[[#This Row],[DURATION BACKET]]="10 TO 30 MINS",2,
     CALLS[[#This Row],[DURATION BACKET]]="1 TO 2 HOURS",3,
     CALLS[[#This Row],[DURATION BACKET]]="&gt; 2 HOURS",4)</f>
        <v>4</v>
      </c>
      <c r="N537">
        <f>(CALLS[[#This Row],[Purchase Amount]]/ 1)</f>
        <v>87</v>
      </c>
    </row>
    <row r="538" spans="2:14" x14ac:dyDescent="0.25">
      <c r="B538" s="22" t="s">
        <v>560</v>
      </c>
      <c r="C538" s="4" t="s">
        <v>18</v>
      </c>
      <c r="D538" s="4">
        <v>147</v>
      </c>
      <c r="E538" s="5" t="s">
        <v>6</v>
      </c>
      <c r="F538" s="9">
        <v>45086</v>
      </c>
      <c r="G538" s="4">
        <v>140</v>
      </c>
      <c r="H538" s="23">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Row],[Duration]]&lt;=30,"10 TO 30 MINS",
     CALLS[[#This Row],[Duration]]&lt;=120,"1 TO 2 HOURS",
     TRUE,"&gt; 2 HOURS")</f>
        <v>&gt; 2 HOURS</v>
      </c>
      <c r="L538">
        <f>ROUND(CALLS[[#This Row],[Satisfaction Rating]],0)</f>
        <v>4</v>
      </c>
      <c r="M538" cm="1">
        <f t="array" ref="M538">_xlfn.IFS(CALLS[[#This Row],[DURATION BACKET]]="UNDER 10 MINS",1,
     CALLS[[#This Row],[DURATION BACKET]]="10 TO 30 MINS",2,
     CALLS[[#This Row],[DURATION BACKET]]="1 TO 2 HOURS",3,
     CALLS[[#This Row],[DURATION BACKET]]="&gt; 2 HOURS",4)</f>
        <v>4</v>
      </c>
      <c r="N538">
        <f>(CALLS[[#This Row],[Purchase Amount]]/ 1)</f>
        <v>140</v>
      </c>
    </row>
    <row r="539" spans="2:14" x14ac:dyDescent="0.25">
      <c r="B539" s="22" t="s">
        <v>561</v>
      </c>
      <c r="C539" s="4" t="s">
        <v>24</v>
      </c>
      <c r="D539" s="4">
        <v>76</v>
      </c>
      <c r="E539" s="5" t="s">
        <v>6</v>
      </c>
      <c r="F539" s="9">
        <v>45086</v>
      </c>
      <c r="G539" s="4">
        <v>164</v>
      </c>
      <c r="H539" s="23">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Row],[Duration]]&lt;=30,"10 TO 30 MINS",
     CALLS[[#This Row],[Duration]]&lt;=120,"1 TO 2 HOURS",
     TRUE,"&gt; 2 HOURS")</f>
        <v>1 TO 2 HOURS</v>
      </c>
      <c r="L539">
        <f>ROUND(CALLS[[#This Row],[Satisfaction Rating]],0)</f>
        <v>5</v>
      </c>
      <c r="M539" cm="1">
        <f t="array" ref="M539">_xlfn.IFS(CALLS[[#This Row],[DURATION BACKET]]="UNDER 10 MINS",1,
     CALLS[[#This Row],[DURATION BACKET]]="10 TO 30 MINS",2,
     CALLS[[#This Row],[DURATION BACKET]]="1 TO 2 HOURS",3,
     CALLS[[#This Row],[DURATION BACKET]]="&gt; 2 HOURS",4)</f>
        <v>3</v>
      </c>
      <c r="N539">
        <f>(CALLS[[#This Row],[Purchase Amount]]/ 1)</f>
        <v>164</v>
      </c>
    </row>
    <row r="540" spans="2:14" x14ac:dyDescent="0.25">
      <c r="B540" s="22" t="s">
        <v>562</v>
      </c>
      <c r="C540" s="4" t="s">
        <v>15</v>
      </c>
      <c r="D540" s="4">
        <v>99</v>
      </c>
      <c r="E540" s="5" t="s">
        <v>11</v>
      </c>
      <c r="F540" s="9">
        <v>45087</v>
      </c>
      <c r="G540" s="4">
        <v>180</v>
      </c>
      <c r="H540" s="23">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Row],[Duration]]&lt;=30,"10 TO 30 MINS",
     CALLS[[#This Row],[Duration]]&lt;=120,"1 TO 2 HOURS",
     TRUE,"&gt; 2 HOURS")</f>
        <v>1 TO 2 HOURS</v>
      </c>
      <c r="L540">
        <f>ROUND(CALLS[[#This Row],[Satisfaction Rating]],0)</f>
        <v>4</v>
      </c>
      <c r="M540" cm="1">
        <f t="array" ref="M540">_xlfn.IFS(CALLS[[#This Row],[DURATION BACKET]]="UNDER 10 MINS",1,
     CALLS[[#This Row],[DURATION BACKET]]="10 TO 30 MINS",2,
     CALLS[[#This Row],[DURATION BACKET]]="1 TO 2 HOURS",3,
     CALLS[[#This Row],[DURATION BACKET]]="&gt; 2 HOURS",4)</f>
        <v>3</v>
      </c>
      <c r="N540">
        <f>(CALLS[[#This Row],[Purchase Amount]]/ 1)</f>
        <v>180</v>
      </c>
    </row>
    <row r="541" spans="2:14" x14ac:dyDescent="0.25">
      <c r="B541" s="22" t="s">
        <v>563</v>
      </c>
      <c r="C541" s="4" t="s">
        <v>5</v>
      </c>
      <c r="D541" s="4">
        <v>111</v>
      </c>
      <c r="E541" s="5" t="s">
        <v>13</v>
      </c>
      <c r="F541" s="9">
        <v>45088</v>
      </c>
      <c r="G541" s="4">
        <v>22</v>
      </c>
      <c r="H541" s="23">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Row],[Duration]]&lt;=30,"10 TO 30 MINS",
     CALLS[[#This Row],[Duration]]&lt;=120,"1 TO 2 HOURS",
     TRUE,"&gt; 2 HOURS")</f>
        <v>1 TO 2 HOURS</v>
      </c>
      <c r="L541">
        <f>ROUND(CALLS[[#This Row],[Satisfaction Rating]],0)</f>
        <v>4</v>
      </c>
      <c r="M541" cm="1">
        <f t="array" ref="M541">_xlfn.IFS(CALLS[[#This Row],[DURATION BACKET]]="UNDER 10 MINS",1,
     CALLS[[#This Row],[DURATION BACKET]]="10 TO 30 MINS",2,
     CALLS[[#This Row],[DURATION BACKET]]="1 TO 2 HOURS",3,
     CALLS[[#This Row],[DURATION BACKET]]="&gt; 2 HOURS",4)</f>
        <v>3</v>
      </c>
      <c r="N541">
        <f>(CALLS[[#This Row],[Purchase Amount]]/ 1)</f>
        <v>22</v>
      </c>
    </row>
    <row r="542" spans="2:14" x14ac:dyDescent="0.25">
      <c r="B542" s="22" t="s">
        <v>564</v>
      </c>
      <c r="C542" s="4" t="s">
        <v>8</v>
      </c>
      <c r="D542" s="4">
        <v>147</v>
      </c>
      <c r="E542" s="5" t="s">
        <v>10</v>
      </c>
      <c r="F542" s="9">
        <v>45088</v>
      </c>
      <c r="G542" s="4">
        <v>82</v>
      </c>
      <c r="H542" s="23">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Row],[Duration]]&lt;=30,"10 TO 30 MINS",
     CALLS[[#This Row],[Duration]]&lt;=120,"1 TO 2 HOURS",
     TRUE,"&gt; 2 HOURS")</f>
        <v>&gt; 2 HOURS</v>
      </c>
      <c r="L542">
        <f>ROUND(CALLS[[#This Row],[Satisfaction Rating]],0)</f>
        <v>4</v>
      </c>
      <c r="M542" cm="1">
        <f t="array" ref="M542">_xlfn.IFS(CALLS[[#This Row],[DURATION BACKET]]="UNDER 10 MINS",1,
     CALLS[[#This Row],[DURATION BACKET]]="10 TO 30 MINS",2,
     CALLS[[#This Row],[DURATION BACKET]]="1 TO 2 HOURS",3,
     CALLS[[#This Row],[DURATION BACKET]]="&gt; 2 HOURS",4)</f>
        <v>4</v>
      </c>
      <c r="N542">
        <f>(CALLS[[#This Row],[Purchase Amount]]/ 1)</f>
        <v>82</v>
      </c>
    </row>
    <row r="543" spans="2:14" x14ac:dyDescent="0.25">
      <c r="B543" s="22" t="s">
        <v>565</v>
      </c>
      <c r="C543" s="4" t="s">
        <v>20</v>
      </c>
      <c r="D543" s="4">
        <v>141</v>
      </c>
      <c r="E543" s="5" t="s">
        <v>11</v>
      </c>
      <c r="F543" s="9">
        <v>45088</v>
      </c>
      <c r="G543" s="4">
        <v>100</v>
      </c>
      <c r="H543" s="2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Row],[Duration]]&lt;=30,"10 TO 30 MINS",
     CALLS[[#This Row],[Duration]]&lt;=120,"1 TO 2 HOURS",
     TRUE,"&gt; 2 HOURS")</f>
        <v>&gt; 2 HOURS</v>
      </c>
      <c r="L543">
        <f>ROUND(CALLS[[#This Row],[Satisfaction Rating]],0)</f>
        <v>5</v>
      </c>
      <c r="M543" cm="1">
        <f t="array" ref="M543">_xlfn.IFS(CALLS[[#This Row],[DURATION BACKET]]="UNDER 10 MINS",1,
     CALLS[[#This Row],[DURATION BACKET]]="10 TO 30 MINS",2,
     CALLS[[#This Row],[DURATION BACKET]]="1 TO 2 HOURS",3,
     CALLS[[#This Row],[DURATION BACKET]]="&gt; 2 HOURS",4)</f>
        <v>4</v>
      </c>
      <c r="N543">
        <f>(CALLS[[#This Row],[Purchase Amount]]/ 1)</f>
        <v>100</v>
      </c>
    </row>
    <row r="544" spans="2:14" x14ac:dyDescent="0.25">
      <c r="B544" s="22" t="s">
        <v>566</v>
      </c>
      <c r="C544" s="4" t="s">
        <v>24</v>
      </c>
      <c r="D544" s="4">
        <v>71</v>
      </c>
      <c r="E544" s="5" t="s">
        <v>6</v>
      </c>
      <c r="F544" s="9">
        <v>45089</v>
      </c>
      <c r="G544" s="4">
        <v>52</v>
      </c>
      <c r="H544" s="23">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Row],[Duration]]&lt;=30,"10 TO 30 MINS",
     CALLS[[#This Row],[Duration]]&lt;=120,"1 TO 2 HOURS",
     TRUE,"&gt; 2 HOURS")</f>
        <v>1 TO 2 HOURS</v>
      </c>
      <c r="L544">
        <f>ROUND(CALLS[[#This Row],[Satisfaction Rating]],0)</f>
        <v>3</v>
      </c>
      <c r="M544" cm="1">
        <f t="array" ref="M544">_xlfn.IFS(CALLS[[#This Row],[DURATION BACKET]]="UNDER 10 MINS",1,
     CALLS[[#This Row],[DURATION BACKET]]="10 TO 30 MINS",2,
     CALLS[[#This Row],[DURATION BACKET]]="1 TO 2 HOURS",3,
     CALLS[[#This Row],[DURATION BACKET]]="&gt; 2 HOURS",4)</f>
        <v>3</v>
      </c>
      <c r="N544">
        <f>(CALLS[[#This Row],[Purchase Amount]]/ 1)</f>
        <v>52</v>
      </c>
    </row>
    <row r="545" spans="2:14" x14ac:dyDescent="0.25">
      <c r="B545" s="22" t="s">
        <v>567</v>
      </c>
      <c r="C545" s="4" t="s">
        <v>24</v>
      </c>
      <c r="D545" s="4">
        <v>121</v>
      </c>
      <c r="E545" s="5" t="s">
        <v>10</v>
      </c>
      <c r="F545" s="9">
        <v>45090</v>
      </c>
      <c r="G545" s="4">
        <v>84</v>
      </c>
      <c r="H545" s="23">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Row],[Duration]]&lt;=30,"10 TO 30 MINS",
     CALLS[[#This Row],[Duration]]&lt;=120,"1 TO 2 HOURS",
     TRUE,"&gt; 2 HOURS")</f>
        <v>&gt; 2 HOURS</v>
      </c>
      <c r="L545">
        <f>ROUND(CALLS[[#This Row],[Satisfaction Rating]],0)</f>
        <v>5</v>
      </c>
      <c r="M545" cm="1">
        <f t="array" ref="M545">_xlfn.IFS(CALLS[[#This Row],[DURATION BACKET]]="UNDER 10 MINS",1,
     CALLS[[#This Row],[DURATION BACKET]]="10 TO 30 MINS",2,
     CALLS[[#This Row],[DURATION BACKET]]="1 TO 2 HOURS",3,
     CALLS[[#This Row],[DURATION BACKET]]="&gt; 2 HOURS",4)</f>
        <v>4</v>
      </c>
      <c r="N545">
        <f>(CALLS[[#This Row],[Purchase Amount]]/ 1)</f>
        <v>84</v>
      </c>
    </row>
    <row r="546" spans="2:14" x14ac:dyDescent="0.25">
      <c r="B546" s="22" t="s">
        <v>568</v>
      </c>
      <c r="C546" s="4" t="s">
        <v>24</v>
      </c>
      <c r="D546" s="4">
        <v>60</v>
      </c>
      <c r="E546" s="5" t="s">
        <v>10</v>
      </c>
      <c r="F546" s="9">
        <v>45090</v>
      </c>
      <c r="G546" s="4">
        <v>37</v>
      </c>
      <c r="H546" s="23">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Row],[Duration]]&lt;=30,"10 TO 30 MINS",
     CALLS[[#This Row],[Duration]]&lt;=120,"1 TO 2 HOURS",
     TRUE,"&gt; 2 HOURS")</f>
        <v>1 TO 2 HOURS</v>
      </c>
      <c r="L546">
        <f>ROUND(CALLS[[#This Row],[Satisfaction Rating]],0)</f>
        <v>4</v>
      </c>
      <c r="M546" cm="1">
        <f t="array" ref="M546">_xlfn.IFS(CALLS[[#This Row],[DURATION BACKET]]="UNDER 10 MINS",1,
     CALLS[[#This Row],[DURATION BACKET]]="10 TO 30 MINS",2,
     CALLS[[#This Row],[DURATION BACKET]]="1 TO 2 HOURS",3,
     CALLS[[#This Row],[DURATION BACKET]]="&gt; 2 HOURS",4)</f>
        <v>3</v>
      </c>
      <c r="N546">
        <f>(CALLS[[#This Row],[Purchase Amount]]/ 1)</f>
        <v>37</v>
      </c>
    </row>
    <row r="547" spans="2:14" x14ac:dyDescent="0.25">
      <c r="B547" s="22" t="s">
        <v>569</v>
      </c>
      <c r="C547" s="4" t="s">
        <v>19</v>
      </c>
      <c r="D547" s="4">
        <v>158</v>
      </c>
      <c r="E547" s="5" t="s">
        <v>11</v>
      </c>
      <c r="F547" s="9">
        <v>45091</v>
      </c>
      <c r="G547" s="4">
        <v>190</v>
      </c>
      <c r="H547" s="23">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Row],[Duration]]&lt;=30,"10 TO 30 MINS",
     CALLS[[#This Row],[Duration]]&lt;=120,"1 TO 2 HOURS",
     TRUE,"&gt; 2 HOURS")</f>
        <v>&gt; 2 HOURS</v>
      </c>
      <c r="L547">
        <f>ROUND(CALLS[[#This Row],[Satisfaction Rating]],0)</f>
        <v>4</v>
      </c>
      <c r="M547" cm="1">
        <f t="array" ref="M547">_xlfn.IFS(CALLS[[#This Row],[DURATION BACKET]]="UNDER 10 MINS",1,
     CALLS[[#This Row],[DURATION BACKET]]="10 TO 30 MINS",2,
     CALLS[[#This Row],[DURATION BACKET]]="1 TO 2 HOURS",3,
     CALLS[[#This Row],[DURATION BACKET]]="&gt; 2 HOURS",4)</f>
        <v>4</v>
      </c>
      <c r="N547">
        <f>(CALLS[[#This Row],[Purchase Amount]]/ 1)</f>
        <v>190</v>
      </c>
    </row>
    <row r="548" spans="2:14" x14ac:dyDescent="0.25">
      <c r="B548" s="22" t="s">
        <v>570</v>
      </c>
      <c r="C548" s="4" t="s">
        <v>18</v>
      </c>
      <c r="D548" s="4">
        <v>159</v>
      </c>
      <c r="E548" s="5" t="s">
        <v>9</v>
      </c>
      <c r="F548" s="9">
        <v>45091</v>
      </c>
      <c r="G548" s="4">
        <v>66</v>
      </c>
      <c r="H548" s="23">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Row],[Duration]]&lt;=30,"10 TO 30 MINS",
     CALLS[[#This Row],[Duration]]&lt;=120,"1 TO 2 HOURS",
     TRUE,"&gt; 2 HOURS")</f>
        <v>&gt; 2 HOURS</v>
      </c>
      <c r="L548">
        <f>ROUND(CALLS[[#This Row],[Satisfaction Rating]],0)</f>
        <v>3</v>
      </c>
      <c r="M548" cm="1">
        <f t="array" ref="M548">_xlfn.IFS(CALLS[[#This Row],[DURATION BACKET]]="UNDER 10 MINS",1,
     CALLS[[#This Row],[DURATION BACKET]]="10 TO 30 MINS",2,
     CALLS[[#This Row],[DURATION BACKET]]="1 TO 2 HOURS",3,
     CALLS[[#This Row],[DURATION BACKET]]="&gt; 2 HOURS",4)</f>
        <v>4</v>
      </c>
      <c r="N548">
        <f>(CALLS[[#This Row],[Purchase Amount]]/ 1)</f>
        <v>66</v>
      </c>
    </row>
    <row r="549" spans="2:14" x14ac:dyDescent="0.25">
      <c r="B549" s="22" t="s">
        <v>571</v>
      </c>
      <c r="C549" s="4" t="s">
        <v>12</v>
      </c>
      <c r="D549" s="4">
        <v>70</v>
      </c>
      <c r="E549" s="5" t="s">
        <v>6</v>
      </c>
      <c r="F549" s="9">
        <v>45092</v>
      </c>
      <c r="G549" s="4">
        <v>116</v>
      </c>
      <c r="H549" s="23">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Row],[Duration]]&lt;=30,"10 TO 30 MINS",
     CALLS[[#This Row],[Duration]]&lt;=120,"1 TO 2 HOURS",
     TRUE,"&gt; 2 HOURS")</f>
        <v>1 TO 2 HOURS</v>
      </c>
      <c r="L549">
        <f>ROUND(CALLS[[#This Row],[Satisfaction Rating]],0)</f>
        <v>3</v>
      </c>
      <c r="M549" cm="1">
        <f t="array" ref="M549">_xlfn.IFS(CALLS[[#This Row],[DURATION BACKET]]="UNDER 10 MINS",1,
     CALLS[[#This Row],[DURATION BACKET]]="10 TO 30 MINS",2,
     CALLS[[#This Row],[DURATION BACKET]]="1 TO 2 HOURS",3,
     CALLS[[#This Row],[DURATION BACKET]]="&gt; 2 HOURS",4)</f>
        <v>3</v>
      </c>
      <c r="N549">
        <f>(CALLS[[#This Row],[Purchase Amount]]/ 1)</f>
        <v>116</v>
      </c>
    </row>
    <row r="550" spans="2:14" x14ac:dyDescent="0.25">
      <c r="B550" s="22" t="s">
        <v>572</v>
      </c>
      <c r="C550" s="4" t="s">
        <v>16</v>
      </c>
      <c r="D550" s="4">
        <v>78</v>
      </c>
      <c r="E550" s="5" t="s">
        <v>13</v>
      </c>
      <c r="F550" s="9">
        <v>45092</v>
      </c>
      <c r="G550" s="4">
        <v>28</v>
      </c>
      <c r="H550" s="23">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Row],[Duration]]&lt;=30,"10 TO 30 MINS",
     CALLS[[#This Row],[Duration]]&lt;=120,"1 TO 2 HOURS",
     TRUE,"&gt; 2 HOURS")</f>
        <v>1 TO 2 HOURS</v>
      </c>
      <c r="L550">
        <f>ROUND(CALLS[[#This Row],[Satisfaction Rating]],0)</f>
        <v>4</v>
      </c>
      <c r="M550" cm="1">
        <f t="array" ref="M550">_xlfn.IFS(CALLS[[#This Row],[DURATION BACKET]]="UNDER 10 MINS",1,
     CALLS[[#This Row],[DURATION BACKET]]="10 TO 30 MINS",2,
     CALLS[[#This Row],[DURATION BACKET]]="1 TO 2 HOURS",3,
     CALLS[[#This Row],[DURATION BACKET]]="&gt; 2 HOURS",4)</f>
        <v>3</v>
      </c>
      <c r="N550">
        <f>(CALLS[[#This Row],[Purchase Amount]]/ 1)</f>
        <v>28</v>
      </c>
    </row>
    <row r="551" spans="2:14" x14ac:dyDescent="0.25">
      <c r="B551" s="22" t="s">
        <v>573</v>
      </c>
      <c r="C551" s="4" t="s">
        <v>8</v>
      </c>
      <c r="D551" s="4">
        <v>103</v>
      </c>
      <c r="E551" s="5" t="s">
        <v>6</v>
      </c>
      <c r="F551" s="9">
        <v>45092</v>
      </c>
      <c r="G551" s="4">
        <v>120</v>
      </c>
      <c r="H551" s="23">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Row],[Duration]]&lt;=30,"10 TO 30 MINS",
     CALLS[[#This Row],[Duration]]&lt;=120,"1 TO 2 HOURS",
     TRUE,"&gt; 2 HOURS")</f>
        <v>1 TO 2 HOURS</v>
      </c>
      <c r="L551">
        <f>ROUND(CALLS[[#This Row],[Satisfaction Rating]],0)</f>
        <v>5</v>
      </c>
      <c r="M551" cm="1">
        <f t="array" ref="M551">_xlfn.IFS(CALLS[[#This Row],[DURATION BACKET]]="UNDER 10 MINS",1,
     CALLS[[#This Row],[DURATION BACKET]]="10 TO 30 MINS",2,
     CALLS[[#This Row],[DURATION BACKET]]="1 TO 2 HOURS",3,
     CALLS[[#This Row],[DURATION BACKET]]="&gt; 2 HOURS",4)</f>
        <v>3</v>
      </c>
      <c r="N551">
        <f>(CALLS[[#This Row],[Purchase Amount]]/ 1)</f>
        <v>120</v>
      </c>
    </row>
    <row r="552" spans="2:14" x14ac:dyDescent="0.25">
      <c r="B552" s="22" t="s">
        <v>574</v>
      </c>
      <c r="C552" s="4" t="s">
        <v>23</v>
      </c>
      <c r="D552" s="4">
        <v>108</v>
      </c>
      <c r="E552" s="5" t="s">
        <v>11</v>
      </c>
      <c r="F552" s="9">
        <v>45092</v>
      </c>
      <c r="G552" s="4">
        <v>56</v>
      </c>
      <c r="H552" s="23">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Row],[Duration]]&lt;=30,"10 TO 30 MINS",
     CALLS[[#This Row],[Duration]]&lt;=120,"1 TO 2 HOURS",
     TRUE,"&gt; 2 HOURS")</f>
        <v>1 TO 2 HOURS</v>
      </c>
      <c r="L552">
        <f>ROUND(CALLS[[#This Row],[Satisfaction Rating]],0)</f>
        <v>4</v>
      </c>
      <c r="M552" cm="1">
        <f t="array" ref="M552">_xlfn.IFS(CALLS[[#This Row],[DURATION BACKET]]="UNDER 10 MINS",1,
     CALLS[[#This Row],[DURATION BACKET]]="10 TO 30 MINS",2,
     CALLS[[#This Row],[DURATION BACKET]]="1 TO 2 HOURS",3,
     CALLS[[#This Row],[DURATION BACKET]]="&gt; 2 HOURS",4)</f>
        <v>3</v>
      </c>
      <c r="N552">
        <f>(CALLS[[#This Row],[Purchase Amount]]/ 1)</f>
        <v>56</v>
      </c>
    </row>
    <row r="553" spans="2:14" x14ac:dyDescent="0.25">
      <c r="B553" s="22" t="s">
        <v>575</v>
      </c>
      <c r="C553" s="4" t="s">
        <v>23</v>
      </c>
      <c r="D553" s="4">
        <v>44</v>
      </c>
      <c r="E553" s="5" t="s">
        <v>10</v>
      </c>
      <c r="F553" s="9">
        <v>45092</v>
      </c>
      <c r="G553" s="4">
        <v>170</v>
      </c>
      <c r="H553" s="2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Row],[Duration]]&lt;=30,"10 TO 30 MINS",
     CALLS[[#This Row],[Duration]]&lt;=120,"1 TO 2 HOURS",
     TRUE,"&gt; 2 HOURS")</f>
        <v>1 TO 2 HOURS</v>
      </c>
      <c r="L553">
        <f>ROUND(CALLS[[#This Row],[Satisfaction Rating]],0)</f>
        <v>4</v>
      </c>
      <c r="M553" cm="1">
        <f t="array" ref="M553">_xlfn.IFS(CALLS[[#This Row],[DURATION BACKET]]="UNDER 10 MINS",1,
     CALLS[[#This Row],[DURATION BACKET]]="10 TO 30 MINS",2,
     CALLS[[#This Row],[DURATION BACKET]]="1 TO 2 HOURS",3,
     CALLS[[#This Row],[DURATION BACKET]]="&gt; 2 HOURS",4)</f>
        <v>3</v>
      </c>
      <c r="N553">
        <f>(CALLS[[#This Row],[Purchase Amount]]/ 1)</f>
        <v>170</v>
      </c>
    </row>
    <row r="554" spans="2:14" x14ac:dyDescent="0.25">
      <c r="B554" s="22" t="s">
        <v>576</v>
      </c>
      <c r="C554" s="4" t="s">
        <v>16</v>
      </c>
      <c r="D554" s="4">
        <v>127</v>
      </c>
      <c r="E554" s="5" t="s">
        <v>11</v>
      </c>
      <c r="F554" s="9">
        <v>45093</v>
      </c>
      <c r="G554" s="4">
        <v>200</v>
      </c>
      <c r="H554" s="23">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Row],[Duration]]&lt;=30,"10 TO 30 MINS",
     CALLS[[#This Row],[Duration]]&lt;=120,"1 TO 2 HOURS",
     TRUE,"&gt; 2 HOURS")</f>
        <v>&gt; 2 HOURS</v>
      </c>
      <c r="L554">
        <f>ROUND(CALLS[[#This Row],[Satisfaction Rating]],0)</f>
        <v>5</v>
      </c>
      <c r="M554" cm="1">
        <f t="array" ref="M554">_xlfn.IFS(CALLS[[#This Row],[DURATION BACKET]]="UNDER 10 MINS",1,
     CALLS[[#This Row],[DURATION BACKET]]="10 TO 30 MINS",2,
     CALLS[[#This Row],[DURATION BACKET]]="1 TO 2 HOURS",3,
     CALLS[[#This Row],[DURATION BACKET]]="&gt; 2 HOURS",4)</f>
        <v>4</v>
      </c>
      <c r="N554">
        <f>(CALLS[[#This Row],[Purchase Amount]]/ 1)</f>
        <v>200</v>
      </c>
    </row>
    <row r="555" spans="2:14" x14ac:dyDescent="0.25">
      <c r="B555" s="22" t="s">
        <v>577</v>
      </c>
      <c r="C555" s="4" t="s">
        <v>8</v>
      </c>
      <c r="D555" s="4">
        <v>132</v>
      </c>
      <c r="E555" s="5" t="s">
        <v>6</v>
      </c>
      <c r="F555" s="9">
        <v>45094</v>
      </c>
      <c r="G555" s="4">
        <v>50</v>
      </c>
      <c r="H555" s="23">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Row],[Duration]]&lt;=30,"10 TO 30 MINS",
     CALLS[[#This Row],[Duration]]&lt;=120,"1 TO 2 HOURS",
     TRUE,"&gt; 2 HOURS")</f>
        <v>&gt; 2 HOURS</v>
      </c>
      <c r="L555">
        <f>ROUND(CALLS[[#This Row],[Satisfaction Rating]],0)</f>
        <v>4</v>
      </c>
      <c r="M555" cm="1">
        <f t="array" ref="M555">_xlfn.IFS(CALLS[[#This Row],[DURATION BACKET]]="UNDER 10 MINS",1,
     CALLS[[#This Row],[DURATION BACKET]]="10 TO 30 MINS",2,
     CALLS[[#This Row],[DURATION BACKET]]="1 TO 2 HOURS",3,
     CALLS[[#This Row],[DURATION BACKET]]="&gt; 2 HOURS",4)</f>
        <v>4</v>
      </c>
      <c r="N555">
        <f>(CALLS[[#This Row],[Purchase Amount]]/ 1)</f>
        <v>50</v>
      </c>
    </row>
    <row r="556" spans="2:14" x14ac:dyDescent="0.25">
      <c r="B556" s="22" t="s">
        <v>578</v>
      </c>
      <c r="C556" s="4" t="s">
        <v>20</v>
      </c>
      <c r="D556" s="4">
        <v>106</v>
      </c>
      <c r="E556" s="5" t="s">
        <v>13</v>
      </c>
      <c r="F556" s="9">
        <v>45094</v>
      </c>
      <c r="G556" s="4">
        <v>112</v>
      </c>
      <c r="H556" s="23">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Row],[Duration]]&lt;=30,"10 TO 30 MINS",
     CALLS[[#This Row],[Duration]]&lt;=120,"1 TO 2 HOURS",
     TRUE,"&gt; 2 HOURS")</f>
        <v>1 TO 2 HOURS</v>
      </c>
      <c r="L556">
        <f>ROUND(CALLS[[#This Row],[Satisfaction Rating]],0)</f>
        <v>4</v>
      </c>
      <c r="M556" cm="1">
        <f t="array" ref="M556">_xlfn.IFS(CALLS[[#This Row],[DURATION BACKET]]="UNDER 10 MINS",1,
     CALLS[[#This Row],[DURATION BACKET]]="10 TO 30 MINS",2,
     CALLS[[#This Row],[DURATION BACKET]]="1 TO 2 HOURS",3,
     CALLS[[#This Row],[DURATION BACKET]]="&gt; 2 HOURS",4)</f>
        <v>3</v>
      </c>
      <c r="N556">
        <f>(CALLS[[#This Row],[Purchase Amount]]/ 1)</f>
        <v>112</v>
      </c>
    </row>
    <row r="557" spans="2:14" x14ac:dyDescent="0.25">
      <c r="B557" s="22" t="s">
        <v>579</v>
      </c>
      <c r="C557" s="4" t="s">
        <v>5</v>
      </c>
      <c r="D557" s="4">
        <v>107</v>
      </c>
      <c r="E557" s="5" t="s">
        <v>6</v>
      </c>
      <c r="F557" s="9">
        <v>45095</v>
      </c>
      <c r="G557" s="4">
        <v>39</v>
      </c>
      <c r="H557" s="23">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Row],[Duration]]&lt;=30,"10 TO 30 MINS",
     CALLS[[#This Row],[Duration]]&lt;=120,"1 TO 2 HOURS",
     TRUE,"&gt; 2 HOURS")</f>
        <v>1 TO 2 HOURS</v>
      </c>
      <c r="L557">
        <f>ROUND(CALLS[[#This Row],[Satisfaction Rating]],0)</f>
        <v>5</v>
      </c>
      <c r="M557" cm="1">
        <f t="array" ref="M557">_xlfn.IFS(CALLS[[#This Row],[DURATION BACKET]]="UNDER 10 MINS",1,
     CALLS[[#This Row],[DURATION BACKET]]="10 TO 30 MINS",2,
     CALLS[[#This Row],[DURATION BACKET]]="1 TO 2 HOURS",3,
     CALLS[[#This Row],[DURATION BACKET]]="&gt; 2 HOURS",4)</f>
        <v>3</v>
      </c>
      <c r="N557">
        <f>(CALLS[[#This Row],[Purchase Amount]]/ 1)</f>
        <v>39</v>
      </c>
    </row>
    <row r="558" spans="2:14" x14ac:dyDescent="0.25">
      <c r="B558" s="22" t="s">
        <v>580</v>
      </c>
      <c r="C558" s="4" t="s">
        <v>18</v>
      </c>
      <c r="D558" s="4">
        <v>85</v>
      </c>
      <c r="E558" s="5" t="s">
        <v>13</v>
      </c>
      <c r="F558" s="9">
        <v>45095</v>
      </c>
      <c r="G558" s="4">
        <v>38</v>
      </c>
      <c r="H558" s="23">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Row],[Duration]]&lt;=30,"10 TO 30 MINS",
     CALLS[[#This Row],[Duration]]&lt;=120,"1 TO 2 HOURS",
     TRUE,"&gt; 2 HOURS")</f>
        <v>1 TO 2 HOURS</v>
      </c>
      <c r="L558">
        <f>ROUND(CALLS[[#This Row],[Satisfaction Rating]],0)</f>
        <v>5</v>
      </c>
      <c r="M558" cm="1">
        <f t="array" ref="M558">_xlfn.IFS(CALLS[[#This Row],[DURATION BACKET]]="UNDER 10 MINS",1,
     CALLS[[#This Row],[DURATION BACKET]]="10 TO 30 MINS",2,
     CALLS[[#This Row],[DURATION BACKET]]="1 TO 2 HOURS",3,
     CALLS[[#This Row],[DURATION BACKET]]="&gt; 2 HOURS",4)</f>
        <v>3</v>
      </c>
      <c r="N558">
        <f>(CALLS[[#This Row],[Purchase Amount]]/ 1)</f>
        <v>38</v>
      </c>
    </row>
    <row r="559" spans="2:14" x14ac:dyDescent="0.25">
      <c r="B559" s="22" t="s">
        <v>581</v>
      </c>
      <c r="C559" s="4" t="s">
        <v>15</v>
      </c>
      <c r="D559" s="4">
        <v>49</v>
      </c>
      <c r="E559" s="5" t="s">
        <v>6</v>
      </c>
      <c r="F559" s="9">
        <v>45096</v>
      </c>
      <c r="G559" s="4">
        <v>84</v>
      </c>
      <c r="H559" s="23">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Row],[Duration]]&lt;=30,"10 TO 30 MINS",
     CALLS[[#This Row],[Duration]]&lt;=120,"1 TO 2 HOURS",
     TRUE,"&gt; 2 HOURS")</f>
        <v>1 TO 2 HOURS</v>
      </c>
      <c r="L559">
        <f>ROUND(CALLS[[#This Row],[Satisfaction Rating]],0)</f>
        <v>3</v>
      </c>
      <c r="M559" cm="1">
        <f t="array" ref="M559">_xlfn.IFS(CALLS[[#This Row],[DURATION BACKET]]="UNDER 10 MINS",1,
     CALLS[[#This Row],[DURATION BACKET]]="10 TO 30 MINS",2,
     CALLS[[#This Row],[DURATION BACKET]]="1 TO 2 HOURS",3,
     CALLS[[#This Row],[DURATION BACKET]]="&gt; 2 HOURS",4)</f>
        <v>3</v>
      </c>
      <c r="N559">
        <f>(CALLS[[#This Row],[Purchase Amount]]/ 1)</f>
        <v>84</v>
      </c>
    </row>
    <row r="560" spans="2:14" x14ac:dyDescent="0.25">
      <c r="B560" s="22" t="s">
        <v>582</v>
      </c>
      <c r="C560" s="4" t="s">
        <v>24</v>
      </c>
      <c r="D560" s="4">
        <v>117</v>
      </c>
      <c r="E560" s="5" t="s">
        <v>11</v>
      </c>
      <c r="F560" s="9">
        <v>45097</v>
      </c>
      <c r="G560" s="4">
        <v>82</v>
      </c>
      <c r="H560" s="23">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Row],[Duration]]&lt;=30,"10 TO 30 MINS",
     CALLS[[#This Row],[Duration]]&lt;=120,"1 TO 2 HOURS",
     TRUE,"&gt; 2 HOURS")</f>
        <v>1 TO 2 HOURS</v>
      </c>
      <c r="L560">
        <f>ROUND(CALLS[[#This Row],[Satisfaction Rating]],0)</f>
        <v>4</v>
      </c>
      <c r="M560" cm="1">
        <f t="array" ref="M560">_xlfn.IFS(CALLS[[#This Row],[DURATION BACKET]]="UNDER 10 MINS",1,
     CALLS[[#This Row],[DURATION BACKET]]="10 TO 30 MINS",2,
     CALLS[[#This Row],[DURATION BACKET]]="1 TO 2 HOURS",3,
     CALLS[[#This Row],[DURATION BACKET]]="&gt; 2 HOURS",4)</f>
        <v>3</v>
      </c>
      <c r="N560">
        <f>(CALLS[[#This Row],[Purchase Amount]]/ 1)</f>
        <v>82</v>
      </c>
    </row>
    <row r="561" spans="2:14" x14ac:dyDescent="0.25">
      <c r="B561" s="22" t="s">
        <v>583</v>
      </c>
      <c r="C561" s="4" t="s">
        <v>5</v>
      </c>
      <c r="D561" s="4">
        <v>136</v>
      </c>
      <c r="E561" s="5" t="s">
        <v>13</v>
      </c>
      <c r="F561" s="9">
        <v>45097</v>
      </c>
      <c r="G561" s="4">
        <v>37</v>
      </c>
      <c r="H561" s="23">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Row],[Duration]]&lt;=30,"10 TO 30 MINS",
     CALLS[[#This Row],[Duration]]&lt;=120,"1 TO 2 HOURS",
     TRUE,"&gt; 2 HOURS")</f>
        <v>&gt; 2 HOURS</v>
      </c>
      <c r="L561">
        <f>ROUND(CALLS[[#This Row],[Satisfaction Rating]],0)</f>
        <v>1</v>
      </c>
      <c r="M561" cm="1">
        <f t="array" ref="M561">_xlfn.IFS(CALLS[[#This Row],[DURATION BACKET]]="UNDER 10 MINS",1,
     CALLS[[#This Row],[DURATION BACKET]]="10 TO 30 MINS",2,
     CALLS[[#This Row],[DURATION BACKET]]="1 TO 2 HOURS",3,
     CALLS[[#This Row],[DURATION BACKET]]="&gt; 2 HOURS",4)</f>
        <v>4</v>
      </c>
      <c r="N561">
        <f>(CALLS[[#This Row],[Purchase Amount]]/ 1)</f>
        <v>37</v>
      </c>
    </row>
    <row r="562" spans="2:14" x14ac:dyDescent="0.25">
      <c r="B562" s="22" t="s">
        <v>584</v>
      </c>
      <c r="C562" s="4" t="s">
        <v>23</v>
      </c>
      <c r="D562" s="4">
        <v>130</v>
      </c>
      <c r="E562" s="5" t="s">
        <v>9</v>
      </c>
      <c r="F562" s="9">
        <v>45098</v>
      </c>
      <c r="G562" s="4">
        <v>87</v>
      </c>
      <c r="H562" s="23">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Row],[Duration]]&lt;=30,"10 TO 30 MINS",
     CALLS[[#This Row],[Duration]]&lt;=120,"1 TO 2 HOURS",
     TRUE,"&gt; 2 HOURS")</f>
        <v>&gt; 2 HOURS</v>
      </c>
      <c r="L562">
        <f>ROUND(CALLS[[#This Row],[Satisfaction Rating]],0)</f>
        <v>3</v>
      </c>
      <c r="M562" cm="1">
        <f t="array" ref="M562">_xlfn.IFS(CALLS[[#This Row],[DURATION BACKET]]="UNDER 10 MINS",1,
     CALLS[[#This Row],[DURATION BACKET]]="10 TO 30 MINS",2,
     CALLS[[#This Row],[DURATION BACKET]]="1 TO 2 HOURS",3,
     CALLS[[#This Row],[DURATION BACKET]]="&gt; 2 HOURS",4)</f>
        <v>4</v>
      </c>
      <c r="N562">
        <f>(CALLS[[#This Row],[Purchase Amount]]/ 1)</f>
        <v>87</v>
      </c>
    </row>
    <row r="563" spans="2:14" x14ac:dyDescent="0.25">
      <c r="B563" s="22" t="s">
        <v>585</v>
      </c>
      <c r="C563" s="4" t="s">
        <v>23</v>
      </c>
      <c r="D563" s="4">
        <v>73</v>
      </c>
      <c r="E563" s="5" t="s">
        <v>9</v>
      </c>
      <c r="F563" s="9">
        <v>45098</v>
      </c>
      <c r="G563" s="4">
        <v>75</v>
      </c>
      <c r="H563" s="2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Row],[Duration]]&lt;=30,"10 TO 30 MINS",
     CALLS[[#This Row],[Duration]]&lt;=120,"1 TO 2 HOURS",
     TRUE,"&gt; 2 HOURS")</f>
        <v>1 TO 2 HOURS</v>
      </c>
      <c r="L563">
        <f>ROUND(CALLS[[#This Row],[Satisfaction Rating]],0)</f>
        <v>3</v>
      </c>
      <c r="M563" cm="1">
        <f t="array" ref="M563">_xlfn.IFS(CALLS[[#This Row],[DURATION BACKET]]="UNDER 10 MINS",1,
     CALLS[[#This Row],[DURATION BACKET]]="10 TO 30 MINS",2,
     CALLS[[#This Row],[DURATION BACKET]]="1 TO 2 HOURS",3,
     CALLS[[#This Row],[DURATION BACKET]]="&gt; 2 HOURS",4)</f>
        <v>3</v>
      </c>
      <c r="N563">
        <f>(CALLS[[#This Row],[Purchase Amount]]/ 1)</f>
        <v>75</v>
      </c>
    </row>
    <row r="564" spans="2:14" x14ac:dyDescent="0.25">
      <c r="B564" s="22" t="s">
        <v>586</v>
      </c>
      <c r="C564" s="4" t="s">
        <v>15</v>
      </c>
      <c r="D564" s="4">
        <v>80</v>
      </c>
      <c r="E564" s="5" t="s">
        <v>6</v>
      </c>
      <c r="F564" s="9">
        <v>45098</v>
      </c>
      <c r="G564" s="4">
        <v>32</v>
      </c>
      <c r="H564" s="23">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Row],[Duration]]&lt;=30,"10 TO 30 MINS",
     CALLS[[#This Row],[Duration]]&lt;=120,"1 TO 2 HOURS",
     TRUE,"&gt; 2 HOURS")</f>
        <v>1 TO 2 HOURS</v>
      </c>
      <c r="L564">
        <f>ROUND(CALLS[[#This Row],[Satisfaction Rating]],0)</f>
        <v>5</v>
      </c>
      <c r="M564" cm="1">
        <f t="array" ref="M564">_xlfn.IFS(CALLS[[#This Row],[DURATION BACKET]]="UNDER 10 MINS",1,
     CALLS[[#This Row],[DURATION BACKET]]="10 TO 30 MINS",2,
     CALLS[[#This Row],[DURATION BACKET]]="1 TO 2 HOURS",3,
     CALLS[[#This Row],[DURATION BACKET]]="&gt; 2 HOURS",4)</f>
        <v>3</v>
      </c>
      <c r="N564">
        <f>(CALLS[[#This Row],[Purchase Amount]]/ 1)</f>
        <v>32</v>
      </c>
    </row>
    <row r="565" spans="2:14" x14ac:dyDescent="0.25">
      <c r="B565" s="22" t="s">
        <v>587</v>
      </c>
      <c r="C565" s="4" t="s">
        <v>17</v>
      </c>
      <c r="D565" s="4">
        <v>44</v>
      </c>
      <c r="E565" s="5" t="s">
        <v>11</v>
      </c>
      <c r="F565" s="9">
        <v>45098</v>
      </c>
      <c r="G565" s="4">
        <v>33</v>
      </c>
      <c r="H565" s="23">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Row],[Duration]]&lt;=30,"10 TO 30 MINS",
     CALLS[[#This Row],[Duration]]&lt;=120,"1 TO 2 HOURS",
     TRUE,"&gt; 2 HOURS")</f>
        <v>1 TO 2 HOURS</v>
      </c>
      <c r="L565">
        <f>ROUND(CALLS[[#This Row],[Satisfaction Rating]],0)</f>
        <v>3</v>
      </c>
      <c r="M565" cm="1">
        <f t="array" ref="M565">_xlfn.IFS(CALLS[[#This Row],[DURATION BACKET]]="UNDER 10 MINS",1,
     CALLS[[#This Row],[DURATION BACKET]]="10 TO 30 MINS",2,
     CALLS[[#This Row],[DURATION BACKET]]="1 TO 2 HOURS",3,
     CALLS[[#This Row],[DURATION BACKET]]="&gt; 2 HOURS",4)</f>
        <v>3</v>
      </c>
      <c r="N565">
        <f>(CALLS[[#This Row],[Purchase Amount]]/ 1)</f>
        <v>33</v>
      </c>
    </row>
    <row r="566" spans="2:14" x14ac:dyDescent="0.25">
      <c r="B566" s="22" t="s">
        <v>588</v>
      </c>
      <c r="C566" s="4" t="s">
        <v>17</v>
      </c>
      <c r="D566" s="4">
        <v>102</v>
      </c>
      <c r="E566" s="5" t="s">
        <v>10</v>
      </c>
      <c r="F566" s="9">
        <v>45098</v>
      </c>
      <c r="G566" s="4">
        <v>76</v>
      </c>
      <c r="H566" s="23">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Row],[Duration]]&lt;=30,"10 TO 30 MINS",
     CALLS[[#This Row],[Duration]]&lt;=120,"1 TO 2 HOURS",
     TRUE,"&gt; 2 HOURS")</f>
        <v>1 TO 2 HOURS</v>
      </c>
      <c r="L566">
        <f>ROUND(CALLS[[#This Row],[Satisfaction Rating]],0)</f>
        <v>4</v>
      </c>
      <c r="M566" cm="1">
        <f t="array" ref="M566">_xlfn.IFS(CALLS[[#This Row],[DURATION BACKET]]="UNDER 10 MINS",1,
     CALLS[[#This Row],[DURATION BACKET]]="10 TO 30 MINS",2,
     CALLS[[#This Row],[DURATION BACKET]]="1 TO 2 HOURS",3,
     CALLS[[#This Row],[DURATION BACKET]]="&gt; 2 HOURS",4)</f>
        <v>3</v>
      </c>
      <c r="N566">
        <f>(CALLS[[#This Row],[Purchase Amount]]/ 1)</f>
        <v>76</v>
      </c>
    </row>
    <row r="567" spans="2:14" x14ac:dyDescent="0.25">
      <c r="B567" s="22" t="s">
        <v>589</v>
      </c>
      <c r="C567" s="4" t="s">
        <v>19</v>
      </c>
      <c r="D567" s="4">
        <v>74</v>
      </c>
      <c r="E567" s="5" t="s">
        <v>10</v>
      </c>
      <c r="F567" s="9">
        <v>45098</v>
      </c>
      <c r="G567" s="4">
        <v>117</v>
      </c>
      <c r="H567" s="23">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Row],[Duration]]&lt;=30,"10 TO 30 MINS",
     CALLS[[#This Row],[Duration]]&lt;=120,"1 TO 2 HOURS",
     TRUE,"&gt; 2 HOURS")</f>
        <v>1 TO 2 HOURS</v>
      </c>
      <c r="L567">
        <f>ROUND(CALLS[[#This Row],[Satisfaction Rating]],0)</f>
        <v>5</v>
      </c>
      <c r="M567" cm="1">
        <f t="array" ref="M567">_xlfn.IFS(CALLS[[#This Row],[DURATION BACKET]]="UNDER 10 MINS",1,
     CALLS[[#This Row],[DURATION BACKET]]="10 TO 30 MINS",2,
     CALLS[[#This Row],[DURATION BACKET]]="1 TO 2 HOURS",3,
     CALLS[[#This Row],[DURATION BACKET]]="&gt; 2 HOURS",4)</f>
        <v>3</v>
      </c>
      <c r="N567">
        <f>(CALLS[[#This Row],[Purchase Amount]]/ 1)</f>
        <v>117</v>
      </c>
    </row>
    <row r="568" spans="2:14" x14ac:dyDescent="0.25">
      <c r="B568" s="22" t="s">
        <v>590</v>
      </c>
      <c r="C568" s="4" t="s">
        <v>15</v>
      </c>
      <c r="D568" s="4">
        <v>52</v>
      </c>
      <c r="E568" s="5" t="s">
        <v>11</v>
      </c>
      <c r="F568" s="9">
        <v>45100</v>
      </c>
      <c r="G568" s="4">
        <v>70</v>
      </c>
      <c r="H568" s="23">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Row],[Duration]]&lt;=30,"10 TO 30 MINS",
     CALLS[[#This Row],[Duration]]&lt;=120,"1 TO 2 HOURS",
     TRUE,"&gt; 2 HOURS")</f>
        <v>1 TO 2 HOURS</v>
      </c>
      <c r="L568">
        <f>ROUND(CALLS[[#This Row],[Satisfaction Rating]],0)</f>
        <v>4</v>
      </c>
      <c r="M568" cm="1">
        <f t="array" ref="M568">_xlfn.IFS(CALLS[[#This Row],[DURATION BACKET]]="UNDER 10 MINS",1,
     CALLS[[#This Row],[DURATION BACKET]]="10 TO 30 MINS",2,
     CALLS[[#This Row],[DURATION BACKET]]="1 TO 2 HOURS",3,
     CALLS[[#This Row],[DURATION BACKET]]="&gt; 2 HOURS",4)</f>
        <v>3</v>
      </c>
      <c r="N568">
        <f>(CALLS[[#This Row],[Purchase Amount]]/ 1)</f>
        <v>70</v>
      </c>
    </row>
    <row r="569" spans="2:14" x14ac:dyDescent="0.25">
      <c r="B569" s="22" t="s">
        <v>591</v>
      </c>
      <c r="C569" s="4" t="s">
        <v>15</v>
      </c>
      <c r="D569" s="4">
        <v>74</v>
      </c>
      <c r="E569" s="5" t="s">
        <v>9</v>
      </c>
      <c r="F569" s="9">
        <v>45100</v>
      </c>
      <c r="G569" s="4">
        <v>37</v>
      </c>
      <c r="H569" s="23">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Row],[Duration]]&lt;=30,"10 TO 30 MINS",
     CALLS[[#This Row],[Duration]]&lt;=120,"1 TO 2 HOURS",
     TRUE,"&gt; 2 HOURS")</f>
        <v>1 TO 2 HOURS</v>
      </c>
      <c r="L569">
        <f>ROUND(CALLS[[#This Row],[Satisfaction Rating]],0)</f>
        <v>3</v>
      </c>
      <c r="M569" cm="1">
        <f t="array" ref="M569">_xlfn.IFS(CALLS[[#This Row],[DURATION BACKET]]="UNDER 10 MINS",1,
     CALLS[[#This Row],[DURATION BACKET]]="10 TO 30 MINS",2,
     CALLS[[#This Row],[DURATION BACKET]]="1 TO 2 HOURS",3,
     CALLS[[#This Row],[DURATION BACKET]]="&gt; 2 HOURS",4)</f>
        <v>3</v>
      </c>
      <c r="N569">
        <f>(CALLS[[#This Row],[Purchase Amount]]/ 1)</f>
        <v>37</v>
      </c>
    </row>
    <row r="570" spans="2:14" x14ac:dyDescent="0.25">
      <c r="B570" s="22" t="s">
        <v>592</v>
      </c>
      <c r="C570" s="4" t="s">
        <v>23</v>
      </c>
      <c r="D570" s="4">
        <v>96</v>
      </c>
      <c r="E570" s="5" t="s">
        <v>10</v>
      </c>
      <c r="F570" s="9">
        <v>45100</v>
      </c>
      <c r="G570" s="4">
        <v>46</v>
      </c>
      <c r="H570" s="23">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Row],[Duration]]&lt;=30,"10 TO 30 MINS",
     CALLS[[#This Row],[Duration]]&lt;=120,"1 TO 2 HOURS",
     TRUE,"&gt; 2 HOURS")</f>
        <v>1 TO 2 HOURS</v>
      </c>
      <c r="L570">
        <f>ROUND(CALLS[[#This Row],[Satisfaction Rating]],0)</f>
        <v>3</v>
      </c>
      <c r="M570" cm="1">
        <f t="array" ref="M570">_xlfn.IFS(CALLS[[#This Row],[DURATION BACKET]]="UNDER 10 MINS",1,
     CALLS[[#This Row],[DURATION BACKET]]="10 TO 30 MINS",2,
     CALLS[[#This Row],[DURATION BACKET]]="1 TO 2 HOURS",3,
     CALLS[[#This Row],[DURATION BACKET]]="&gt; 2 HOURS",4)</f>
        <v>3</v>
      </c>
      <c r="N570">
        <f>(CALLS[[#This Row],[Purchase Amount]]/ 1)</f>
        <v>46</v>
      </c>
    </row>
    <row r="571" spans="2:14" x14ac:dyDescent="0.25">
      <c r="B571" s="22" t="s">
        <v>593</v>
      </c>
      <c r="C571" s="4" t="s">
        <v>14</v>
      </c>
      <c r="D571" s="4">
        <v>104</v>
      </c>
      <c r="E571" s="5" t="s">
        <v>6</v>
      </c>
      <c r="F571" s="9">
        <v>45100</v>
      </c>
      <c r="G571" s="4">
        <v>136</v>
      </c>
      <c r="H571" s="23">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Row],[Duration]]&lt;=30,"10 TO 30 MINS",
     CALLS[[#This Row],[Duration]]&lt;=120,"1 TO 2 HOURS",
     TRUE,"&gt; 2 HOURS")</f>
        <v>1 TO 2 HOURS</v>
      </c>
      <c r="L571">
        <f>ROUND(CALLS[[#This Row],[Satisfaction Rating]],0)</f>
        <v>5</v>
      </c>
      <c r="M571" cm="1">
        <f t="array" ref="M571">_xlfn.IFS(CALLS[[#This Row],[DURATION BACKET]]="UNDER 10 MINS",1,
     CALLS[[#This Row],[DURATION BACKET]]="10 TO 30 MINS",2,
     CALLS[[#This Row],[DURATION BACKET]]="1 TO 2 HOURS",3,
     CALLS[[#This Row],[DURATION BACKET]]="&gt; 2 HOURS",4)</f>
        <v>3</v>
      </c>
      <c r="N571">
        <f>(CALLS[[#This Row],[Purchase Amount]]/ 1)</f>
        <v>136</v>
      </c>
    </row>
    <row r="572" spans="2:14" x14ac:dyDescent="0.25">
      <c r="B572" s="22" t="s">
        <v>594</v>
      </c>
      <c r="C572" s="4" t="s">
        <v>23</v>
      </c>
      <c r="D572" s="4">
        <v>123</v>
      </c>
      <c r="E572" s="5" t="s">
        <v>10</v>
      </c>
      <c r="F572" s="9">
        <v>45101</v>
      </c>
      <c r="G572" s="4">
        <v>44</v>
      </c>
      <c r="H572" s="23">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Row],[Duration]]&lt;=30,"10 TO 30 MINS",
     CALLS[[#This Row],[Duration]]&lt;=120,"1 TO 2 HOURS",
     TRUE,"&gt; 2 HOURS")</f>
        <v>&gt; 2 HOURS</v>
      </c>
      <c r="L572">
        <f>ROUND(CALLS[[#This Row],[Satisfaction Rating]],0)</f>
        <v>5</v>
      </c>
      <c r="M572" cm="1">
        <f t="array" ref="M572">_xlfn.IFS(CALLS[[#This Row],[DURATION BACKET]]="UNDER 10 MINS",1,
     CALLS[[#This Row],[DURATION BACKET]]="10 TO 30 MINS",2,
     CALLS[[#This Row],[DURATION BACKET]]="1 TO 2 HOURS",3,
     CALLS[[#This Row],[DURATION BACKET]]="&gt; 2 HOURS",4)</f>
        <v>4</v>
      </c>
      <c r="N572">
        <f>(CALLS[[#This Row],[Purchase Amount]]/ 1)</f>
        <v>44</v>
      </c>
    </row>
    <row r="573" spans="2:14" x14ac:dyDescent="0.25">
      <c r="B573" s="22" t="s">
        <v>595</v>
      </c>
      <c r="C573" s="4" t="s">
        <v>22</v>
      </c>
      <c r="D573" s="4">
        <v>100</v>
      </c>
      <c r="E573" s="5" t="s">
        <v>13</v>
      </c>
      <c r="F573" s="9">
        <v>45101</v>
      </c>
      <c r="G573" s="4">
        <v>69</v>
      </c>
      <c r="H573" s="2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Row],[Duration]]&lt;=30,"10 TO 30 MINS",
     CALLS[[#This Row],[Duration]]&lt;=120,"1 TO 2 HOURS",
     TRUE,"&gt; 2 HOURS")</f>
        <v>1 TO 2 HOURS</v>
      </c>
      <c r="L573">
        <f>ROUND(CALLS[[#This Row],[Satisfaction Rating]],0)</f>
        <v>3</v>
      </c>
      <c r="M573" cm="1">
        <f t="array" ref="M573">_xlfn.IFS(CALLS[[#This Row],[DURATION BACKET]]="UNDER 10 MINS",1,
     CALLS[[#This Row],[DURATION BACKET]]="10 TO 30 MINS",2,
     CALLS[[#This Row],[DURATION BACKET]]="1 TO 2 HOURS",3,
     CALLS[[#This Row],[DURATION BACKET]]="&gt; 2 HOURS",4)</f>
        <v>3</v>
      </c>
      <c r="N573">
        <f>(CALLS[[#This Row],[Purchase Amount]]/ 1)</f>
        <v>69</v>
      </c>
    </row>
    <row r="574" spans="2:14" x14ac:dyDescent="0.25">
      <c r="B574" s="22" t="s">
        <v>596</v>
      </c>
      <c r="C574" s="4" t="s">
        <v>14</v>
      </c>
      <c r="D574" s="4">
        <v>35</v>
      </c>
      <c r="E574" s="5" t="s">
        <v>11</v>
      </c>
      <c r="F574" s="9">
        <v>45102</v>
      </c>
      <c r="G574" s="4">
        <v>86</v>
      </c>
      <c r="H574" s="23">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Row],[Duration]]&lt;=30,"10 TO 30 MINS",
     CALLS[[#This Row],[Duration]]&lt;=120,"1 TO 2 HOURS",
     TRUE,"&gt; 2 HOURS")</f>
        <v>1 TO 2 HOURS</v>
      </c>
      <c r="L574">
        <f>ROUND(CALLS[[#This Row],[Satisfaction Rating]],0)</f>
        <v>5</v>
      </c>
      <c r="M574" cm="1">
        <f t="array" ref="M574">_xlfn.IFS(CALLS[[#This Row],[DURATION BACKET]]="UNDER 10 MINS",1,
     CALLS[[#This Row],[DURATION BACKET]]="10 TO 30 MINS",2,
     CALLS[[#This Row],[DURATION BACKET]]="1 TO 2 HOURS",3,
     CALLS[[#This Row],[DURATION BACKET]]="&gt; 2 HOURS",4)</f>
        <v>3</v>
      </c>
      <c r="N574">
        <f>(CALLS[[#This Row],[Purchase Amount]]/ 1)</f>
        <v>86</v>
      </c>
    </row>
    <row r="575" spans="2:14" x14ac:dyDescent="0.25">
      <c r="B575" s="22" t="s">
        <v>597</v>
      </c>
      <c r="C575" s="4" t="s">
        <v>15</v>
      </c>
      <c r="D575" s="4">
        <v>123</v>
      </c>
      <c r="E575" s="5" t="s">
        <v>6</v>
      </c>
      <c r="F575" s="9">
        <v>45102</v>
      </c>
      <c r="G575" s="4">
        <v>68</v>
      </c>
      <c r="H575" s="23">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Row],[Duration]]&lt;=30,"10 TO 30 MINS",
     CALLS[[#This Row],[Duration]]&lt;=120,"1 TO 2 HOURS",
     TRUE,"&gt; 2 HOURS")</f>
        <v>&gt; 2 HOURS</v>
      </c>
      <c r="L575">
        <f>ROUND(CALLS[[#This Row],[Satisfaction Rating]],0)</f>
        <v>5</v>
      </c>
      <c r="M575" cm="1">
        <f t="array" ref="M575">_xlfn.IFS(CALLS[[#This Row],[DURATION BACKET]]="UNDER 10 MINS",1,
     CALLS[[#This Row],[DURATION BACKET]]="10 TO 30 MINS",2,
     CALLS[[#This Row],[DURATION BACKET]]="1 TO 2 HOURS",3,
     CALLS[[#This Row],[DURATION BACKET]]="&gt; 2 HOURS",4)</f>
        <v>4</v>
      </c>
      <c r="N575">
        <f>(CALLS[[#This Row],[Purchase Amount]]/ 1)</f>
        <v>68</v>
      </c>
    </row>
    <row r="576" spans="2:14" x14ac:dyDescent="0.25">
      <c r="B576" s="22" t="s">
        <v>598</v>
      </c>
      <c r="C576" s="4" t="s">
        <v>24</v>
      </c>
      <c r="D576" s="4">
        <v>133</v>
      </c>
      <c r="E576" s="5" t="s">
        <v>11</v>
      </c>
      <c r="F576" s="9">
        <v>45103</v>
      </c>
      <c r="G576" s="4">
        <v>21</v>
      </c>
      <c r="H576" s="23">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Row],[Duration]]&lt;=30,"10 TO 30 MINS",
     CALLS[[#This Row],[Duration]]&lt;=120,"1 TO 2 HOURS",
     TRUE,"&gt; 2 HOURS")</f>
        <v>&gt; 2 HOURS</v>
      </c>
      <c r="L576">
        <f>ROUND(CALLS[[#This Row],[Satisfaction Rating]],0)</f>
        <v>4</v>
      </c>
      <c r="M576" cm="1">
        <f t="array" ref="M576">_xlfn.IFS(CALLS[[#This Row],[DURATION BACKET]]="UNDER 10 MINS",1,
     CALLS[[#This Row],[DURATION BACKET]]="10 TO 30 MINS",2,
     CALLS[[#This Row],[DURATION BACKET]]="1 TO 2 HOURS",3,
     CALLS[[#This Row],[DURATION BACKET]]="&gt; 2 HOURS",4)</f>
        <v>4</v>
      </c>
      <c r="N576">
        <f>(CALLS[[#This Row],[Purchase Amount]]/ 1)</f>
        <v>21</v>
      </c>
    </row>
    <row r="577" spans="2:14" x14ac:dyDescent="0.25">
      <c r="B577" s="22" t="s">
        <v>599</v>
      </c>
      <c r="C577" s="4" t="s">
        <v>23</v>
      </c>
      <c r="D577" s="4">
        <v>126</v>
      </c>
      <c r="E577" s="5" t="s">
        <v>9</v>
      </c>
      <c r="F577" s="9">
        <v>45103</v>
      </c>
      <c r="G577" s="4">
        <v>190</v>
      </c>
      <c r="H577" s="23">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Row],[Duration]]&lt;=30,"10 TO 30 MINS",
     CALLS[[#This Row],[Duration]]&lt;=120,"1 TO 2 HOURS",
     TRUE,"&gt; 2 HOURS")</f>
        <v>&gt; 2 HOURS</v>
      </c>
      <c r="L577">
        <f>ROUND(CALLS[[#This Row],[Satisfaction Rating]],0)</f>
        <v>2</v>
      </c>
      <c r="M577" cm="1">
        <f t="array" ref="M577">_xlfn.IFS(CALLS[[#This Row],[DURATION BACKET]]="UNDER 10 MINS",1,
     CALLS[[#This Row],[DURATION BACKET]]="10 TO 30 MINS",2,
     CALLS[[#This Row],[DURATION BACKET]]="1 TO 2 HOURS",3,
     CALLS[[#This Row],[DURATION BACKET]]="&gt; 2 HOURS",4)</f>
        <v>4</v>
      </c>
      <c r="N577">
        <f>(CALLS[[#This Row],[Purchase Amount]]/ 1)</f>
        <v>190</v>
      </c>
    </row>
    <row r="578" spans="2:14" x14ac:dyDescent="0.25">
      <c r="B578" s="22" t="s">
        <v>600</v>
      </c>
      <c r="C578" s="4" t="s">
        <v>15</v>
      </c>
      <c r="D578" s="4">
        <v>39</v>
      </c>
      <c r="E578" s="5" t="s">
        <v>10</v>
      </c>
      <c r="F578" s="9">
        <v>45103</v>
      </c>
      <c r="G578" s="4">
        <v>176</v>
      </c>
      <c r="H578" s="23">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Row],[Duration]]&lt;=30,"10 TO 30 MINS",
     CALLS[[#This Row],[Duration]]&lt;=120,"1 TO 2 HOURS",
     TRUE,"&gt; 2 HOURS")</f>
        <v>1 TO 2 HOURS</v>
      </c>
      <c r="L578">
        <f>ROUND(CALLS[[#This Row],[Satisfaction Rating]],0)</f>
        <v>4</v>
      </c>
      <c r="M578" cm="1">
        <f t="array" ref="M578">_xlfn.IFS(CALLS[[#This Row],[DURATION BACKET]]="UNDER 10 MINS",1,
     CALLS[[#This Row],[DURATION BACKET]]="10 TO 30 MINS",2,
     CALLS[[#This Row],[DURATION BACKET]]="1 TO 2 HOURS",3,
     CALLS[[#This Row],[DURATION BACKET]]="&gt; 2 HOURS",4)</f>
        <v>3</v>
      </c>
      <c r="N578">
        <f>(CALLS[[#This Row],[Purchase Amount]]/ 1)</f>
        <v>176</v>
      </c>
    </row>
    <row r="579" spans="2:14" x14ac:dyDescent="0.25">
      <c r="B579" s="22" t="s">
        <v>601</v>
      </c>
      <c r="C579" s="4" t="s">
        <v>19</v>
      </c>
      <c r="D579" s="4">
        <v>31</v>
      </c>
      <c r="E579" s="5" t="s">
        <v>6</v>
      </c>
      <c r="F579" s="9">
        <v>45103</v>
      </c>
      <c r="G579" s="4">
        <v>172</v>
      </c>
      <c r="H579" s="23">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Row],[Duration]]&lt;=30,"10 TO 30 MINS",
     CALLS[[#This Row],[Duration]]&lt;=120,"1 TO 2 HOURS",
     TRUE,"&gt; 2 HOURS")</f>
        <v>1 TO 2 HOURS</v>
      </c>
      <c r="L579">
        <f>ROUND(CALLS[[#This Row],[Satisfaction Rating]],0)</f>
        <v>4</v>
      </c>
      <c r="M579" cm="1">
        <f t="array" ref="M579">_xlfn.IFS(CALLS[[#This Row],[DURATION BACKET]]="UNDER 10 MINS",1,
     CALLS[[#This Row],[DURATION BACKET]]="10 TO 30 MINS",2,
     CALLS[[#This Row],[DURATION BACKET]]="1 TO 2 HOURS",3,
     CALLS[[#This Row],[DURATION BACKET]]="&gt; 2 HOURS",4)</f>
        <v>3</v>
      </c>
      <c r="N579">
        <f>(CALLS[[#This Row],[Purchase Amount]]/ 1)</f>
        <v>172</v>
      </c>
    </row>
    <row r="580" spans="2:14" x14ac:dyDescent="0.25">
      <c r="B580" s="22" t="s">
        <v>602</v>
      </c>
      <c r="C580" s="4" t="s">
        <v>8</v>
      </c>
      <c r="D580" s="4">
        <v>25</v>
      </c>
      <c r="E580" s="5" t="s">
        <v>11</v>
      </c>
      <c r="F580" s="9">
        <v>45103</v>
      </c>
      <c r="G580" s="4">
        <v>84</v>
      </c>
      <c r="H580" s="23">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Row],[Duration]]&lt;=30,"10 TO 30 MINS",
     CALLS[[#This Row],[Duration]]&lt;=120,"1 TO 2 HOURS",
     TRUE,"&gt; 2 HOURS")</f>
        <v>10 TO 30 MINS</v>
      </c>
      <c r="L580">
        <f>ROUND(CALLS[[#This Row],[Satisfaction Rating]],0)</f>
        <v>5</v>
      </c>
      <c r="M580" cm="1">
        <f t="array" ref="M580">_xlfn.IFS(CALLS[[#This Row],[DURATION BACKET]]="UNDER 10 MINS",1,
     CALLS[[#This Row],[DURATION BACKET]]="10 TO 30 MINS",2,
     CALLS[[#This Row],[DURATION BACKET]]="1 TO 2 HOURS",3,
     CALLS[[#This Row],[DURATION BACKET]]="&gt; 2 HOURS",4)</f>
        <v>2</v>
      </c>
      <c r="N580">
        <f>(CALLS[[#This Row],[Purchase Amount]]/ 1)</f>
        <v>84</v>
      </c>
    </row>
    <row r="581" spans="2:14" x14ac:dyDescent="0.25">
      <c r="B581" s="22" t="s">
        <v>603</v>
      </c>
      <c r="C581" s="4" t="s">
        <v>12</v>
      </c>
      <c r="D581" s="4">
        <v>132</v>
      </c>
      <c r="E581" s="5" t="s">
        <v>13</v>
      </c>
      <c r="F581" s="9">
        <v>45104</v>
      </c>
      <c r="G581" s="4">
        <v>42</v>
      </c>
      <c r="H581" s="23">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Row],[Duration]]&lt;=30,"10 TO 30 MINS",
     CALLS[[#This Row],[Duration]]&lt;=120,"1 TO 2 HOURS",
     TRUE,"&gt; 2 HOURS")</f>
        <v>&gt; 2 HOURS</v>
      </c>
      <c r="L581">
        <f>ROUND(CALLS[[#This Row],[Satisfaction Rating]],0)</f>
        <v>5</v>
      </c>
      <c r="M581" cm="1">
        <f t="array" ref="M581">_xlfn.IFS(CALLS[[#This Row],[DURATION BACKET]]="UNDER 10 MINS",1,
     CALLS[[#This Row],[DURATION BACKET]]="10 TO 30 MINS",2,
     CALLS[[#This Row],[DURATION BACKET]]="1 TO 2 HOURS",3,
     CALLS[[#This Row],[DURATION BACKET]]="&gt; 2 HOURS",4)</f>
        <v>4</v>
      </c>
      <c r="N581">
        <f>(CALLS[[#This Row],[Purchase Amount]]/ 1)</f>
        <v>42</v>
      </c>
    </row>
    <row r="582" spans="2:14" x14ac:dyDescent="0.25">
      <c r="B582" s="22" t="s">
        <v>604</v>
      </c>
      <c r="C582" s="4" t="s">
        <v>14</v>
      </c>
      <c r="D582" s="4">
        <v>63</v>
      </c>
      <c r="E582" s="5" t="s">
        <v>9</v>
      </c>
      <c r="F582" s="9">
        <v>45104</v>
      </c>
      <c r="G582" s="4">
        <v>70</v>
      </c>
      <c r="H582" s="23">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Row],[Duration]]&lt;=30,"10 TO 30 MINS",
     CALLS[[#This Row],[Duration]]&lt;=120,"1 TO 2 HOURS",
     TRUE,"&gt; 2 HOURS")</f>
        <v>1 TO 2 HOURS</v>
      </c>
      <c r="L582">
        <f>ROUND(CALLS[[#This Row],[Satisfaction Rating]],0)</f>
        <v>2</v>
      </c>
      <c r="M582" cm="1">
        <f t="array" ref="M582">_xlfn.IFS(CALLS[[#This Row],[DURATION BACKET]]="UNDER 10 MINS",1,
     CALLS[[#This Row],[DURATION BACKET]]="10 TO 30 MINS",2,
     CALLS[[#This Row],[DURATION BACKET]]="1 TO 2 HOURS",3,
     CALLS[[#This Row],[DURATION BACKET]]="&gt; 2 HOURS",4)</f>
        <v>3</v>
      </c>
      <c r="N582">
        <f>(CALLS[[#This Row],[Purchase Amount]]/ 1)</f>
        <v>70</v>
      </c>
    </row>
    <row r="583" spans="2:14" x14ac:dyDescent="0.25">
      <c r="B583" s="22" t="s">
        <v>605</v>
      </c>
      <c r="C583" s="4" t="s">
        <v>22</v>
      </c>
      <c r="D583" s="4">
        <v>135</v>
      </c>
      <c r="E583" s="5" t="s">
        <v>13</v>
      </c>
      <c r="F583" s="9">
        <v>45104</v>
      </c>
      <c r="G583" s="4">
        <v>60</v>
      </c>
      <c r="H583" s="2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Row],[Duration]]&lt;=30,"10 TO 30 MINS",
     CALLS[[#This Row],[Duration]]&lt;=120,"1 TO 2 HOURS",
     TRUE,"&gt; 2 HOURS")</f>
        <v>&gt; 2 HOURS</v>
      </c>
      <c r="L583">
        <f>ROUND(CALLS[[#This Row],[Satisfaction Rating]],0)</f>
        <v>4</v>
      </c>
      <c r="M583" cm="1">
        <f t="array" ref="M583">_xlfn.IFS(CALLS[[#This Row],[DURATION BACKET]]="UNDER 10 MINS",1,
     CALLS[[#This Row],[DURATION BACKET]]="10 TO 30 MINS",2,
     CALLS[[#This Row],[DURATION BACKET]]="1 TO 2 HOURS",3,
     CALLS[[#This Row],[DURATION BACKET]]="&gt; 2 HOURS",4)</f>
        <v>4</v>
      </c>
      <c r="N583">
        <f>(CALLS[[#This Row],[Purchase Amount]]/ 1)</f>
        <v>60</v>
      </c>
    </row>
    <row r="584" spans="2:14" x14ac:dyDescent="0.25">
      <c r="B584" s="22" t="s">
        <v>606</v>
      </c>
      <c r="C584" s="4" t="s">
        <v>18</v>
      </c>
      <c r="D584" s="4">
        <v>101</v>
      </c>
      <c r="E584" s="5" t="s">
        <v>9</v>
      </c>
      <c r="F584" s="9">
        <v>45104</v>
      </c>
      <c r="G584" s="4">
        <v>84</v>
      </c>
      <c r="H584" s="23">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Row],[Duration]]&lt;=30,"10 TO 30 MINS",
     CALLS[[#This Row],[Duration]]&lt;=120,"1 TO 2 HOURS",
     TRUE,"&gt; 2 HOURS")</f>
        <v>1 TO 2 HOURS</v>
      </c>
      <c r="L584">
        <f>ROUND(CALLS[[#This Row],[Satisfaction Rating]],0)</f>
        <v>4</v>
      </c>
      <c r="M584" cm="1">
        <f t="array" ref="M584">_xlfn.IFS(CALLS[[#This Row],[DURATION BACKET]]="UNDER 10 MINS",1,
     CALLS[[#This Row],[DURATION BACKET]]="10 TO 30 MINS",2,
     CALLS[[#This Row],[DURATION BACKET]]="1 TO 2 HOURS",3,
     CALLS[[#This Row],[DURATION BACKET]]="&gt; 2 HOURS",4)</f>
        <v>3</v>
      </c>
      <c r="N584">
        <f>(CALLS[[#This Row],[Purchase Amount]]/ 1)</f>
        <v>84</v>
      </c>
    </row>
    <row r="585" spans="2:14" x14ac:dyDescent="0.25">
      <c r="B585" s="22" t="s">
        <v>607</v>
      </c>
      <c r="C585" s="4" t="s">
        <v>24</v>
      </c>
      <c r="D585" s="4">
        <v>80</v>
      </c>
      <c r="E585" s="5" t="s">
        <v>10</v>
      </c>
      <c r="F585" s="9">
        <v>45105</v>
      </c>
      <c r="G585" s="4">
        <v>68</v>
      </c>
      <c r="H585" s="23">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Row],[Duration]]&lt;=30,"10 TO 30 MINS",
     CALLS[[#This Row],[Duration]]&lt;=120,"1 TO 2 HOURS",
     TRUE,"&gt; 2 HOURS")</f>
        <v>1 TO 2 HOURS</v>
      </c>
      <c r="L585">
        <f>ROUND(CALLS[[#This Row],[Satisfaction Rating]],0)</f>
        <v>3</v>
      </c>
      <c r="M585" cm="1">
        <f t="array" ref="M585">_xlfn.IFS(CALLS[[#This Row],[DURATION BACKET]]="UNDER 10 MINS",1,
     CALLS[[#This Row],[DURATION BACKET]]="10 TO 30 MINS",2,
     CALLS[[#This Row],[DURATION BACKET]]="1 TO 2 HOURS",3,
     CALLS[[#This Row],[DURATION BACKET]]="&gt; 2 HOURS",4)</f>
        <v>3</v>
      </c>
      <c r="N585">
        <f>(CALLS[[#This Row],[Purchase Amount]]/ 1)</f>
        <v>68</v>
      </c>
    </row>
    <row r="586" spans="2:14" x14ac:dyDescent="0.25">
      <c r="B586" s="22" t="s">
        <v>608</v>
      </c>
      <c r="C586" s="4" t="s">
        <v>17</v>
      </c>
      <c r="D586" s="4">
        <v>28</v>
      </c>
      <c r="E586" s="5" t="s">
        <v>10</v>
      </c>
      <c r="F586" s="9">
        <v>45105</v>
      </c>
      <c r="G586" s="4">
        <v>44</v>
      </c>
      <c r="H586" s="23">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Row],[Duration]]&lt;=30,"10 TO 30 MINS",
     CALLS[[#This Row],[Duration]]&lt;=120,"1 TO 2 HOURS",
     TRUE,"&gt; 2 HOURS")</f>
        <v>10 TO 30 MINS</v>
      </c>
      <c r="L586">
        <f>ROUND(CALLS[[#This Row],[Satisfaction Rating]],0)</f>
        <v>3</v>
      </c>
      <c r="M586" cm="1">
        <f t="array" ref="M586">_xlfn.IFS(CALLS[[#This Row],[DURATION BACKET]]="UNDER 10 MINS",1,
     CALLS[[#This Row],[DURATION BACKET]]="10 TO 30 MINS",2,
     CALLS[[#This Row],[DURATION BACKET]]="1 TO 2 HOURS",3,
     CALLS[[#This Row],[DURATION BACKET]]="&gt; 2 HOURS",4)</f>
        <v>2</v>
      </c>
      <c r="N586">
        <f>(CALLS[[#This Row],[Purchase Amount]]/ 1)</f>
        <v>44</v>
      </c>
    </row>
    <row r="587" spans="2:14" x14ac:dyDescent="0.25">
      <c r="B587" s="22" t="s">
        <v>609</v>
      </c>
      <c r="C587" s="4" t="s">
        <v>18</v>
      </c>
      <c r="D587" s="4">
        <v>102</v>
      </c>
      <c r="E587" s="5" t="s">
        <v>13</v>
      </c>
      <c r="F587" s="9">
        <v>45106</v>
      </c>
      <c r="G587" s="4">
        <v>99</v>
      </c>
      <c r="H587" s="23">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Row],[Duration]]&lt;=30,"10 TO 30 MINS",
     CALLS[[#This Row],[Duration]]&lt;=120,"1 TO 2 HOURS",
     TRUE,"&gt; 2 HOURS")</f>
        <v>1 TO 2 HOURS</v>
      </c>
      <c r="L587">
        <f>ROUND(CALLS[[#This Row],[Satisfaction Rating]],0)</f>
        <v>3</v>
      </c>
      <c r="M587" cm="1">
        <f t="array" ref="M587">_xlfn.IFS(CALLS[[#This Row],[DURATION BACKET]]="UNDER 10 MINS",1,
     CALLS[[#This Row],[DURATION BACKET]]="10 TO 30 MINS",2,
     CALLS[[#This Row],[DURATION BACKET]]="1 TO 2 HOURS",3,
     CALLS[[#This Row],[DURATION BACKET]]="&gt; 2 HOURS",4)</f>
        <v>3</v>
      </c>
      <c r="N587">
        <f>(CALLS[[#This Row],[Purchase Amount]]/ 1)</f>
        <v>99</v>
      </c>
    </row>
    <row r="588" spans="2:14" x14ac:dyDescent="0.25">
      <c r="B588" s="22" t="s">
        <v>610</v>
      </c>
      <c r="C588" s="4" t="s">
        <v>14</v>
      </c>
      <c r="D588" s="4">
        <v>60</v>
      </c>
      <c r="E588" s="5" t="s">
        <v>13</v>
      </c>
      <c r="F588" s="9">
        <v>45107</v>
      </c>
      <c r="G588" s="4">
        <v>66</v>
      </c>
      <c r="H588" s="23">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Row],[Duration]]&lt;=30,"10 TO 30 MINS",
     CALLS[[#This Row],[Duration]]&lt;=120,"1 TO 2 HOURS",
     TRUE,"&gt; 2 HOURS")</f>
        <v>1 TO 2 HOURS</v>
      </c>
      <c r="L588">
        <f>ROUND(CALLS[[#This Row],[Satisfaction Rating]],0)</f>
        <v>3</v>
      </c>
      <c r="M588" cm="1">
        <f t="array" ref="M588">_xlfn.IFS(CALLS[[#This Row],[DURATION BACKET]]="UNDER 10 MINS",1,
     CALLS[[#This Row],[DURATION BACKET]]="10 TO 30 MINS",2,
     CALLS[[#This Row],[DURATION BACKET]]="1 TO 2 HOURS",3,
     CALLS[[#This Row],[DURATION BACKET]]="&gt; 2 HOURS",4)</f>
        <v>3</v>
      </c>
      <c r="N588">
        <f>(CALLS[[#This Row],[Purchase Amount]]/ 1)</f>
        <v>66</v>
      </c>
    </row>
    <row r="589" spans="2:14" x14ac:dyDescent="0.25">
      <c r="B589" s="22" t="s">
        <v>611</v>
      </c>
      <c r="C589" s="4" t="s">
        <v>21</v>
      </c>
      <c r="D589" s="4">
        <v>103</v>
      </c>
      <c r="E589" s="5" t="s">
        <v>13</v>
      </c>
      <c r="F589" s="9">
        <v>45107</v>
      </c>
      <c r="G589" s="4">
        <v>102</v>
      </c>
      <c r="H589" s="23">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Row],[Duration]]&lt;=30,"10 TO 30 MINS",
     CALLS[[#This Row],[Duration]]&lt;=120,"1 TO 2 HOURS",
     TRUE,"&gt; 2 HOURS")</f>
        <v>1 TO 2 HOURS</v>
      </c>
      <c r="L589">
        <f>ROUND(CALLS[[#This Row],[Satisfaction Rating]],0)</f>
        <v>5</v>
      </c>
      <c r="M589" cm="1">
        <f t="array" ref="M589">_xlfn.IFS(CALLS[[#This Row],[DURATION BACKET]]="UNDER 10 MINS",1,
     CALLS[[#This Row],[DURATION BACKET]]="10 TO 30 MINS",2,
     CALLS[[#This Row],[DURATION BACKET]]="1 TO 2 HOURS",3,
     CALLS[[#This Row],[DURATION BACKET]]="&gt; 2 HOURS",4)</f>
        <v>3</v>
      </c>
      <c r="N589">
        <f>(CALLS[[#This Row],[Purchase Amount]]/ 1)</f>
        <v>102</v>
      </c>
    </row>
    <row r="590" spans="2:14" x14ac:dyDescent="0.25">
      <c r="B590" s="22" t="s">
        <v>612</v>
      </c>
      <c r="C590" s="4" t="s">
        <v>24</v>
      </c>
      <c r="D590" s="4">
        <v>90</v>
      </c>
      <c r="E590" s="5" t="s">
        <v>10</v>
      </c>
      <c r="F590" s="9">
        <v>45108</v>
      </c>
      <c r="G590" s="4">
        <v>129</v>
      </c>
      <c r="H590" s="23">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Row],[Duration]]&lt;=30,"10 TO 30 MINS",
     CALLS[[#This Row],[Duration]]&lt;=120,"1 TO 2 HOURS",
     TRUE,"&gt; 2 HOURS")</f>
        <v>1 TO 2 HOURS</v>
      </c>
      <c r="L590">
        <f>ROUND(CALLS[[#This Row],[Satisfaction Rating]],0)</f>
        <v>4</v>
      </c>
      <c r="M590" cm="1">
        <f t="array" ref="M590">_xlfn.IFS(CALLS[[#This Row],[DURATION BACKET]]="UNDER 10 MINS",1,
     CALLS[[#This Row],[DURATION BACKET]]="10 TO 30 MINS",2,
     CALLS[[#This Row],[DURATION BACKET]]="1 TO 2 HOURS",3,
     CALLS[[#This Row],[DURATION BACKET]]="&gt; 2 HOURS",4)</f>
        <v>3</v>
      </c>
      <c r="N590">
        <f>(CALLS[[#This Row],[Purchase Amount]]/ 1)</f>
        <v>129</v>
      </c>
    </row>
    <row r="591" spans="2:14" x14ac:dyDescent="0.25">
      <c r="B591" s="22" t="s">
        <v>613</v>
      </c>
      <c r="C591" s="4" t="s">
        <v>16</v>
      </c>
      <c r="D591" s="4">
        <v>88</v>
      </c>
      <c r="E591" s="5" t="s">
        <v>13</v>
      </c>
      <c r="F591" s="9">
        <v>45108</v>
      </c>
      <c r="G591" s="4">
        <v>80</v>
      </c>
      <c r="H591" s="23">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Row],[Duration]]&lt;=30,"10 TO 30 MINS",
     CALLS[[#This Row],[Duration]]&lt;=120,"1 TO 2 HOURS",
     TRUE,"&gt; 2 HOURS")</f>
        <v>1 TO 2 HOURS</v>
      </c>
      <c r="L591">
        <f>ROUND(CALLS[[#This Row],[Satisfaction Rating]],0)</f>
        <v>4</v>
      </c>
      <c r="M591" cm="1">
        <f t="array" ref="M591">_xlfn.IFS(CALLS[[#This Row],[DURATION BACKET]]="UNDER 10 MINS",1,
     CALLS[[#This Row],[DURATION BACKET]]="10 TO 30 MINS",2,
     CALLS[[#This Row],[DURATION BACKET]]="1 TO 2 HOURS",3,
     CALLS[[#This Row],[DURATION BACKET]]="&gt; 2 HOURS",4)</f>
        <v>3</v>
      </c>
      <c r="N591">
        <f>(CALLS[[#This Row],[Purchase Amount]]/ 1)</f>
        <v>80</v>
      </c>
    </row>
    <row r="592" spans="2:14" x14ac:dyDescent="0.25">
      <c r="B592" s="22" t="s">
        <v>614</v>
      </c>
      <c r="C592" s="4" t="s">
        <v>21</v>
      </c>
      <c r="D592" s="4">
        <v>37</v>
      </c>
      <c r="E592" s="5" t="s">
        <v>13</v>
      </c>
      <c r="F592" s="9">
        <v>45108</v>
      </c>
      <c r="G592" s="4">
        <v>54</v>
      </c>
      <c r="H592" s="23">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Row],[Duration]]&lt;=30,"10 TO 30 MINS",
     CALLS[[#This Row],[Duration]]&lt;=120,"1 TO 2 HOURS",
     TRUE,"&gt; 2 HOURS")</f>
        <v>1 TO 2 HOURS</v>
      </c>
      <c r="L592">
        <f>ROUND(CALLS[[#This Row],[Satisfaction Rating]],0)</f>
        <v>2</v>
      </c>
      <c r="M592" cm="1">
        <f t="array" ref="M592">_xlfn.IFS(CALLS[[#This Row],[DURATION BACKET]]="UNDER 10 MINS",1,
     CALLS[[#This Row],[DURATION BACKET]]="10 TO 30 MINS",2,
     CALLS[[#This Row],[DURATION BACKET]]="1 TO 2 HOURS",3,
     CALLS[[#This Row],[DURATION BACKET]]="&gt; 2 HOURS",4)</f>
        <v>3</v>
      </c>
      <c r="N592">
        <f>(CALLS[[#This Row],[Purchase Amount]]/ 1)</f>
        <v>54</v>
      </c>
    </row>
    <row r="593" spans="2:14" x14ac:dyDescent="0.25">
      <c r="B593" s="22" t="s">
        <v>615</v>
      </c>
      <c r="C593" s="4" t="s">
        <v>17</v>
      </c>
      <c r="D593" s="4">
        <v>142</v>
      </c>
      <c r="E593" s="5" t="s">
        <v>10</v>
      </c>
      <c r="F593" s="9">
        <v>45108</v>
      </c>
      <c r="G593" s="4">
        <v>116</v>
      </c>
      <c r="H593" s="2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Row],[Duration]]&lt;=30,"10 TO 30 MINS",
     CALLS[[#This Row],[Duration]]&lt;=120,"1 TO 2 HOURS",
     TRUE,"&gt; 2 HOURS")</f>
        <v>&gt; 2 HOURS</v>
      </c>
      <c r="L593">
        <f>ROUND(CALLS[[#This Row],[Satisfaction Rating]],0)</f>
        <v>4</v>
      </c>
      <c r="M593" cm="1">
        <f t="array" ref="M593">_xlfn.IFS(CALLS[[#This Row],[DURATION BACKET]]="UNDER 10 MINS",1,
     CALLS[[#This Row],[DURATION BACKET]]="10 TO 30 MINS",2,
     CALLS[[#This Row],[DURATION BACKET]]="1 TO 2 HOURS",3,
     CALLS[[#This Row],[DURATION BACKET]]="&gt; 2 HOURS",4)</f>
        <v>4</v>
      </c>
      <c r="N593">
        <f>(CALLS[[#This Row],[Purchase Amount]]/ 1)</f>
        <v>116</v>
      </c>
    </row>
    <row r="594" spans="2:14" x14ac:dyDescent="0.25">
      <c r="B594" s="22" t="s">
        <v>616</v>
      </c>
      <c r="C594" s="4" t="s">
        <v>17</v>
      </c>
      <c r="D594" s="4">
        <v>153</v>
      </c>
      <c r="E594" s="5" t="s">
        <v>11</v>
      </c>
      <c r="F594" s="9">
        <v>45108</v>
      </c>
      <c r="G594" s="4">
        <v>102</v>
      </c>
      <c r="H594" s="23">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Row],[Duration]]&lt;=30,"10 TO 30 MINS",
     CALLS[[#This Row],[Duration]]&lt;=120,"1 TO 2 HOURS",
     TRUE,"&gt; 2 HOURS")</f>
        <v>&gt; 2 HOURS</v>
      </c>
      <c r="L594">
        <f>ROUND(CALLS[[#This Row],[Satisfaction Rating]],0)</f>
        <v>3</v>
      </c>
      <c r="M594" cm="1">
        <f t="array" ref="M594">_xlfn.IFS(CALLS[[#This Row],[DURATION BACKET]]="UNDER 10 MINS",1,
     CALLS[[#This Row],[DURATION BACKET]]="10 TO 30 MINS",2,
     CALLS[[#This Row],[DURATION BACKET]]="1 TO 2 HOURS",3,
     CALLS[[#This Row],[DURATION BACKET]]="&gt; 2 HOURS",4)</f>
        <v>4</v>
      </c>
      <c r="N594">
        <f>(CALLS[[#This Row],[Purchase Amount]]/ 1)</f>
        <v>102</v>
      </c>
    </row>
    <row r="595" spans="2:14" x14ac:dyDescent="0.25">
      <c r="B595" s="22" t="s">
        <v>617</v>
      </c>
      <c r="C595" s="4" t="s">
        <v>7</v>
      </c>
      <c r="D595" s="4">
        <v>128</v>
      </c>
      <c r="E595" s="5" t="s">
        <v>9</v>
      </c>
      <c r="F595" s="9">
        <v>45108</v>
      </c>
      <c r="G595" s="4">
        <v>140</v>
      </c>
      <c r="H595" s="23">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Row],[Duration]]&lt;=30,"10 TO 30 MINS",
     CALLS[[#This Row],[Duration]]&lt;=120,"1 TO 2 HOURS",
     TRUE,"&gt; 2 HOURS")</f>
        <v>&gt; 2 HOURS</v>
      </c>
      <c r="L595">
        <f>ROUND(CALLS[[#This Row],[Satisfaction Rating]],0)</f>
        <v>4</v>
      </c>
      <c r="M595" cm="1">
        <f t="array" ref="M595">_xlfn.IFS(CALLS[[#This Row],[DURATION BACKET]]="UNDER 10 MINS",1,
     CALLS[[#This Row],[DURATION BACKET]]="10 TO 30 MINS",2,
     CALLS[[#This Row],[DURATION BACKET]]="1 TO 2 HOURS",3,
     CALLS[[#This Row],[DURATION BACKET]]="&gt; 2 HOURS",4)</f>
        <v>4</v>
      </c>
      <c r="N595">
        <f>(CALLS[[#This Row],[Purchase Amount]]/ 1)</f>
        <v>140</v>
      </c>
    </row>
    <row r="596" spans="2:14" x14ac:dyDescent="0.25">
      <c r="B596" s="22" t="s">
        <v>618</v>
      </c>
      <c r="C596" s="4" t="s">
        <v>14</v>
      </c>
      <c r="D596" s="4">
        <v>110</v>
      </c>
      <c r="E596" s="5" t="s">
        <v>9</v>
      </c>
      <c r="F596" s="9">
        <v>45109</v>
      </c>
      <c r="G596" s="4">
        <v>104</v>
      </c>
      <c r="H596" s="23">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Row],[Duration]]&lt;=30,"10 TO 30 MINS",
     CALLS[[#This Row],[Duration]]&lt;=120,"1 TO 2 HOURS",
     TRUE,"&gt; 2 HOURS")</f>
        <v>1 TO 2 HOURS</v>
      </c>
      <c r="L596">
        <f>ROUND(CALLS[[#This Row],[Satisfaction Rating]],0)</f>
        <v>4</v>
      </c>
      <c r="M596" cm="1">
        <f t="array" ref="M596">_xlfn.IFS(CALLS[[#This Row],[DURATION BACKET]]="UNDER 10 MINS",1,
     CALLS[[#This Row],[DURATION BACKET]]="10 TO 30 MINS",2,
     CALLS[[#This Row],[DURATION BACKET]]="1 TO 2 HOURS",3,
     CALLS[[#This Row],[DURATION BACKET]]="&gt; 2 HOURS",4)</f>
        <v>3</v>
      </c>
      <c r="N596">
        <f>(CALLS[[#This Row],[Purchase Amount]]/ 1)</f>
        <v>104</v>
      </c>
    </row>
    <row r="597" spans="2:14" x14ac:dyDescent="0.25">
      <c r="B597" s="22" t="s">
        <v>619</v>
      </c>
      <c r="C597" s="4" t="s">
        <v>7</v>
      </c>
      <c r="D597" s="4">
        <v>139</v>
      </c>
      <c r="E597" s="5" t="s">
        <v>13</v>
      </c>
      <c r="F597" s="9">
        <v>45109</v>
      </c>
      <c r="G597" s="4">
        <v>81</v>
      </c>
      <c r="H597" s="23">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Row],[Duration]]&lt;=30,"10 TO 30 MINS",
     CALLS[[#This Row],[Duration]]&lt;=120,"1 TO 2 HOURS",
     TRUE,"&gt; 2 HOURS")</f>
        <v>&gt; 2 HOURS</v>
      </c>
      <c r="L597">
        <f>ROUND(CALLS[[#This Row],[Satisfaction Rating]],0)</f>
        <v>4</v>
      </c>
      <c r="M597" cm="1">
        <f t="array" ref="M597">_xlfn.IFS(CALLS[[#This Row],[DURATION BACKET]]="UNDER 10 MINS",1,
     CALLS[[#This Row],[DURATION BACKET]]="10 TO 30 MINS",2,
     CALLS[[#This Row],[DURATION BACKET]]="1 TO 2 HOURS",3,
     CALLS[[#This Row],[DURATION BACKET]]="&gt; 2 HOURS",4)</f>
        <v>4</v>
      </c>
      <c r="N597">
        <f>(CALLS[[#This Row],[Purchase Amount]]/ 1)</f>
        <v>81</v>
      </c>
    </row>
    <row r="598" spans="2:14" x14ac:dyDescent="0.25">
      <c r="B598" s="22" t="s">
        <v>620</v>
      </c>
      <c r="C598" s="4" t="s">
        <v>18</v>
      </c>
      <c r="D598" s="4">
        <v>109</v>
      </c>
      <c r="E598" s="5" t="s">
        <v>6</v>
      </c>
      <c r="F598" s="9">
        <v>45111</v>
      </c>
      <c r="G598" s="4">
        <v>140</v>
      </c>
      <c r="H598" s="23">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Row],[Duration]]&lt;=30,"10 TO 30 MINS",
     CALLS[[#This Row],[Duration]]&lt;=120,"1 TO 2 HOURS",
     TRUE,"&gt; 2 HOURS")</f>
        <v>1 TO 2 HOURS</v>
      </c>
      <c r="L598">
        <f>ROUND(CALLS[[#This Row],[Satisfaction Rating]],0)</f>
        <v>2</v>
      </c>
      <c r="M598" cm="1">
        <f t="array" ref="M598">_xlfn.IFS(CALLS[[#This Row],[DURATION BACKET]]="UNDER 10 MINS",1,
     CALLS[[#This Row],[DURATION BACKET]]="10 TO 30 MINS",2,
     CALLS[[#This Row],[DURATION BACKET]]="1 TO 2 HOURS",3,
     CALLS[[#This Row],[DURATION BACKET]]="&gt; 2 HOURS",4)</f>
        <v>3</v>
      </c>
      <c r="N598">
        <f>(CALLS[[#This Row],[Purchase Amount]]/ 1)</f>
        <v>140</v>
      </c>
    </row>
    <row r="599" spans="2:14" x14ac:dyDescent="0.25">
      <c r="B599" s="22" t="s">
        <v>621</v>
      </c>
      <c r="C599" s="4" t="s">
        <v>12</v>
      </c>
      <c r="D599" s="4">
        <v>57</v>
      </c>
      <c r="E599" s="5" t="s">
        <v>10</v>
      </c>
      <c r="F599" s="9">
        <v>45112</v>
      </c>
      <c r="G599" s="4">
        <v>120</v>
      </c>
      <c r="H599" s="23">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Row],[Duration]]&lt;=30,"10 TO 30 MINS",
     CALLS[[#This Row],[Duration]]&lt;=120,"1 TO 2 HOURS",
     TRUE,"&gt; 2 HOURS")</f>
        <v>1 TO 2 HOURS</v>
      </c>
      <c r="L599">
        <f>ROUND(CALLS[[#This Row],[Satisfaction Rating]],0)</f>
        <v>4</v>
      </c>
      <c r="M599" cm="1">
        <f t="array" ref="M599">_xlfn.IFS(CALLS[[#This Row],[DURATION BACKET]]="UNDER 10 MINS",1,
     CALLS[[#This Row],[DURATION BACKET]]="10 TO 30 MINS",2,
     CALLS[[#This Row],[DURATION BACKET]]="1 TO 2 HOURS",3,
     CALLS[[#This Row],[DURATION BACKET]]="&gt; 2 HOURS",4)</f>
        <v>3</v>
      </c>
      <c r="N599">
        <f>(CALLS[[#This Row],[Purchase Amount]]/ 1)</f>
        <v>120</v>
      </c>
    </row>
    <row r="600" spans="2:14" x14ac:dyDescent="0.25">
      <c r="B600" s="22" t="s">
        <v>622</v>
      </c>
      <c r="C600" s="4" t="s">
        <v>18</v>
      </c>
      <c r="D600" s="4">
        <v>68</v>
      </c>
      <c r="E600" s="5" t="s">
        <v>13</v>
      </c>
      <c r="F600" s="9">
        <v>45112</v>
      </c>
      <c r="G600" s="4">
        <v>41</v>
      </c>
      <c r="H600" s="23">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Row],[Duration]]&lt;=30,"10 TO 30 MINS",
     CALLS[[#This Row],[Duration]]&lt;=120,"1 TO 2 HOURS",
     TRUE,"&gt; 2 HOURS")</f>
        <v>1 TO 2 HOURS</v>
      </c>
      <c r="L600">
        <f>ROUND(CALLS[[#This Row],[Satisfaction Rating]],0)</f>
        <v>3</v>
      </c>
      <c r="M600" cm="1">
        <f t="array" ref="M600">_xlfn.IFS(CALLS[[#This Row],[DURATION BACKET]]="UNDER 10 MINS",1,
     CALLS[[#This Row],[DURATION BACKET]]="10 TO 30 MINS",2,
     CALLS[[#This Row],[DURATION BACKET]]="1 TO 2 HOURS",3,
     CALLS[[#This Row],[DURATION BACKET]]="&gt; 2 HOURS",4)</f>
        <v>3</v>
      </c>
      <c r="N600">
        <f>(CALLS[[#This Row],[Purchase Amount]]/ 1)</f>
        <v>41</v>
      </c>
    </row>
    <row r="601" spans="2:14" x14ac:dyDescent="0.25">
      <c r="B601" s="22" t="s">
        <v>623</v>
      </c>
      <c r="C601" s="4" t="s">
        <v>8</v>
      </c>
      <c r="D601" s="4">
        <v>128</v>
      </c>
      <c r="E601" s="5" t="s">
        <v>13</v>
      </c>
      <c r="F601" s="9">
        <v>45112</v>
      </c>
      <c r="G601" s="4">
        <v>116</v>
      </c>
      <c r="H601" s="23">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Row],[Duration]]&lt;=30,"10 TO 30 MINS",
     CALLS[[#This Row],[Duration]]&lt;=120,"1 TO 2 HOURS",
     TRUE,"&gt; 2 HOURS")</f>
        <v>&gt; 2 HOURS</v>
      </c>
      <c r="L601">
        <f>ROUND(CALLS[[#This Row],[Satisfaction Rating]],0)</f>
        <v>2</v>
      </c>
      <c r="M601" cm="1">
        <f t="array" ref="M601">_xlfn.IFS(CALLS[[#This Row],[DURATION BACKET]]="UNDER 10 MINS",1,
     CALLS[[#This Row],[DURATION BACKET]]="10 TO 30 MINS",2,
     CALLS[[#This Row],[DURATION BACKET]]="1 TO 2 HOURS",3,
     CALLS[[#This Row],[DURATION BACKET]]="&gt; 2 HOURS",4)</f>
        <v>4</v>
      </c>
      <c r="N601">
        <f>(CALLS[[#This Row],[Purchase Amount]]/ 1)</f>
        <v>116</v>
      </c>
    </row>
    <row r="602" spans="2:14" x14ac:dyDescent="0.25">
      <c r="B602" s="22" t="s">
        <v>624</v>
      </c>
      <c r="C602" s="4" t="s">
        <v>20</v>
      </c>
      <c r="D602" s="4">
        <v>102</v>
      </c>
      <c r="E602" s="5" t="s">
        <v>10</v>
      </c>
      <c r="F602" s="9">
        <v>45113</v>
      </c>
      <c r="G602" s="4">
        <v>70</v>
      </c>
      <c r="H602" s="23">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Row],[Duration]]&lt;=30,"10 TO 30 MINS",
     CALLS[[#This Row],[Duration]]&lt;=120,"1 TO 2 HOURS",
     TRUE,"&gt; 2 HOURS")</f>
        <v>1 TO 2 HOURS</v>
      </c>
      <c r="L602">
        <f>ROUND(CALLS[[#This Row],[Satisfaction Rating]],0)</f>
        <v>3</v>
      </c>
      <c r="M602" cm="1">
        <f t="array" ref="M602">_xlfn.IFS(CALLS[[#This Row],[DURATION BACKET]]="UNDER 10 MINS",1,
     CALLS[[#This Row],[DURATION BACKET]]="10 TO 30 MINS",2,
     CALLS[[#This Row],[DURATION BACKET]]="1 TO 2 HOURS",3,
     CALLS[[#This Row],[DURATION BACKET]]="&gt; 2 HOURS",4)</f>
        <v>3</v>
      </c>
      <c r="N602">
        <f>(CALLS[[#This Row],[Purchase Amount]]/ 1)</f>
        <v>70</v>
      </c>
    </row>
    <row r="603" spans="2:14" x14ac:dyDescent="0.25">
      <c r="B603" s="22" t="s">
        <v>625</v>
      </c>
      <c r="C603" s="4" t="s">
        <v>7</v>
      </c>
      <c r="D603" s="4">
        <v>52</v>
      </c>
      <c r="E603" s="5" t="s">
        <v>11</v>
      </c>
      <c r="F603" s="9">
        <v>45113</v>
      </c>
      <c r="G603" s="4">
        <v>42</v>
      </c>
      <c r="H603" s="2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Row],[Duration]]&lt;=30,"10 TO 30 MINS",
     CALLS[[#This Row],[Duration]]&lt;=120,"1 TO 2 HOURS",
     TRUE,"&gt; 2 HOURS")</f>
        <v>1 TO 2 HOURS</v>
      </c>
      <c r="L603">
        <f>ROUND(CALLS[[#This Row],[Satisfaction Rating]],0)</f>
        <v>5</v>
      </c>
      <c r="M603" cm="1">
        <f t="array" ref="M603">_xlfn.IFS(CALLS[[#This Row],[DURATION BACKET]]="UNDER 10 MINS",1,
     CALLS[[#This Row],[DURATION BACKET]]="10 TO 30 MINS",2,
     CALLS[[#This Row],[DURATION BACKET]]="1 TO 2 HOURS",3,
     CALLS[[#This Row],[DURATION BACKET]]="&gt; 2 HOURS",4)</f>
        <v>3</v>
      </c>
      <c r="N603">
        <f>(CALLS[[#This Row],[Purchase Amount]]/ 1)</f>
        <v>42</v>
      </c>
    </row>
    <row r="604" spans="2:14" x14ac:dyDescent="0.25">
      <c r="B604" s="22" t="s">
        <v>626</v>
      </c>
      <c r="C604" s="4" t="s">
        <v>8</v>
      </c>
      <c r="D604" s="4">
        <v>55</v>
      </c>
      <c r="E604" s="5" t="s">
        <v>9</v>
      </c>
      <c r="F604" s="9">
        <v>45114</v>
      </c>
      <c r="G604" s="4">
        <v>112</v>
      </c>
      <c r="H604" s="23">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Row],[Duration]]&lt;=30,"10 TO 30 MINS",
     CALLS[[#This Row],[Duration]]&lt;=120,"1 TO 2 HOURS",
     TRUE,"&gt; 2 HOURS")</f>
        <v>1 TO 2 HOURS</v>
      </c>
      <c r="L604">
        <f>ROUND(CALLS[[#This Row],[Satisfaction Rating]],0)</f>
        <v>5</v>
      </c>
      <c r="M604" cm="1">
        <f t="array" ref="M604">_xlfn.IFS(CALLS[[#This Row],[DURATION BACKET]]="UNDER 10 MINS",1,
     CALLS[[#This Row],[DURATION BACKET]]="10 TO 30 MINS",2,
     CALLS[[#This Row],[DURATION BACKET]]="1 TO 2 HOURS",3,
     CALLS[[#This Row],[DURATION BACKET]]="&gt; 2 HOURS",4)</f>
        <v>3</v>
      </c>
      <c r="N604">
        <f>(CALLS[[#This Row],[Purchase Amount]]/ 1)</f>
        <v>112</v>
      </c>
    </row>
    <row r="605" spans="2:14" x14ac:dyDescent="0.25">
      <c r="B605" s="22" t="s">
        <v>627</v>
      </c>
      <c r="C605" s="4" t="s">
        <v>21</v>
      </c>
      <c r="D605" s="4">
        <v>107</v>
      </c>
      <c r="E605" s="5" t="s">
        <v>13</v>
      </c>
      <c r="F605" s="9">
        <v>45114</v>
      </c>
      <c r="G605" s="4">
        <v>20</v>
      </c>
      <c r="H605" s="23">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Row],[Duration]]&lt;=30,"10 TO 30 MINS",
     CALLS[[#This Row],[Duration]]&lt;=120,"1 TO 2 HOURS",
     TRUE,"&gt; 2 HOURS")</f>
        <v>1 TO 2 HOURS</v>
      </c>
      <c r="L605">
        <f>ROUND(CALLS[[#This Row],[Satisfaction Rating]],0)</f>
        <v>5</v>
      </c>
      <c r="M605" cm="1">
        <f t="array" ref="M605">_xlfn.IFS(CALLS[[#This Row],[DURATION BACKET]]="UNDER 10 MINS",1,
     CALLS[[#This Row],[DURATION BACKET]]="10 TO 30 MINS",2,
     CALLS[[#This Row],[DURATION BACKET]]="1 TO 2 HOURS",3,
     CALLS[[#This Row],[DURATION BACKET]]="&gt; 2 HOURS",4)</f>
        <v>3</v>
      </c>
      <c r="N605">
        <f>(CALLS[[#This Row],[Purchase Amount]]/ 1)</f>
        <v>20</v>
      </c>
    </row>
    <row r="606" spans="2:14" x14ac:dyDescent="0.25">
      <c r="B606" s="22" t="s">
        <v>628</v>
      </c>
      <c r="C606" s="4" t="s">
        <v>24</v>
      </c>
      <c r="D606" s="4">
        <v>88</v>
      </c>
      <c r="E606" s="5" t="s">
        <v>11</v>
      </c>
      <c r="F606" s="9">
        <v>45115</v>
      </c>
      <c r="G606" s="4">
        <v>110</v>
      </c>
      <c r="H606" s="23">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Row],[Duration]]&lt;=30,"10 TO 30 MINS",
     CALLS[[#This Row],[Duration]]&lt;=120,"1 TO 2 HOURS",
     TRUE,"&gt; 2 HOURS")</f>
        <v>1 TO 2 HOURS</v>
      </c>
      <c r="L606">
        <f>ROUND(CALLS[[#This Row],[Satisfaction Rating]],0)</f>
        <v>5</v>
      </c>
      <c r="M606" cm="1">
        <f t="array" ref="M606">_xlfn.IFS(CALLS[[#This Row],[DURATION BACKET]]="UNDER 10 MINS",1,
     CALLS[[#This Row],[DURATION BACKET]]="10 TO 30 MINS",2,
     CALLS[[#This Row],[DURATION BACKET]]="1 TO 2 HOURS",3,
     CALLS[[#This Row],[DURATION BACKET]]="&gt; 2 HOURS",4)</f>
        <v>3</v>
      </c>
      <c r="N606">
        <f>(CALLS[[#This Row],[Purchase Amount]]/ 1)</f>
        <v>110</v>
      </c>
    </row>
    <row r="607" spans="2:14" x14ac:dyDescent="0.25">
      <c r="B607" s="22" t="s">
        <v>629</v>
      </c>
      <c r="C607" s="4" t="s">
        <v>15</v>
      </c>
      <c r="D607" s="4">
        <v>49</v>
      </c>
      <c r="E607" s="5" t="s">
        <v>11</v>
      </c>
      <c r="F607" s="9">
        <v>45115</v>
      </c>
      <c r="G607" s="4">
        <v>39</v>
      </c>
      <c r="H607" s="23">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Row],[Duration]]&lt;=30,"10 TO 30 MINS",
     CALLS[[#This Row],[Duration]]&lt;=120,"1 TO 2 HOURS",
     TRUE,"&gt; 2 HOURS")</f>
        <v>1 TO 2 HOURS</v>
      </c>
      <c r="L607">
        <f>ROUND(CALLS[[#This Row],[Satisfaction Rating]],0)</f>
        <v>5</v>
      </c>
      <c r="M607" cm="1">
        <f t="array" ref="M607">_xlfn.IFS(CALLS[[#This Row],[DURATION BACKET]]="UNDER 10 MINS",1,
     CALLS[[#This Row],[DURATION BACKET]]="10 TO 30 MINS",2,
     CALLS[[#This Row],[DURATION BACKET]]="1 TO 2 HOURS",3,
     CALLS[[#This Row],[DURATION BACKET]]="&gt; 2 HOURS",4)</f>
        <v>3</v>
      </c>
      <c r="N607">
        <f>(CALLS[[#This Row],[Purchase Amount]]/ 1)</f>
        <v>39</v>
      </c>
    </row>
    <row r="608" spans="2:14" x14ac:dyDescent="0.25">
      <c r="B608" s="22" t="s">
        <v>630</v>
      </c>
      <c r="C608" s="4" t="s">
        <v>24</v>
      </c>
      <c r="D608" s="4">
        <v>72</v>
      </c>
      <c r="E608" s="5" t="s">
        <v>10</v>
      </c>
      <c r="F608" s="9">
        <v>45115</v>
      </c>
      <c r="G608" s="4">
        <v>76</v>
      </c>
      <c r="H608" s="23">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Row],[Duration]]&lt;=30,"10 TO 30 MINS",
     CALLS[[#This Row],[Duration]]&lt;=120,"1 TO 2 HOURS",
     TRUE,"&gt; 2 HOURS")</f>
        <v>1 TO 2 HOURS</v>
      </c>
      <c r="L608">
        <f>ROUND(CALLS[[#This Row],[Satisfaction Rating]],0)</f>
        <v>5</v>
      </c>
      <c r="M608" cm="1">
        <f t="array" ref="M608">_xlfn.IFS(CALLS[[#This Row],[DURATION BACKET]]="UNDER 10 MINS",1,
     CALLS[[#This Row],[DURATION BACKET]]="10 TO 30 MINS",2,
     CALLS[[#This Row],[DURATION BACKET]]="1 TO 2 HOURS",3,
     CALLS[[#This Row],[DURATION BACKET]]="&gt; 2 HOURS",4)</f>
        <v>3</v>
      </c>
      <c r="N608">
        <f>(CALLS[[#This Row],[Purchase Amount]]/ 1)</f>
        <v>76</v>
      </c>
    </row>
    <row r="609" spans="2:14" x14ac:dyDescent="0.25">
      <c r="B609" s="22" t="s">
        <v>631</v>
      </c>
      <c r="C609" s="4" t="s">
        <v>12</v>
      </c>
      <c r="D609" s="4">
        <v>50</v>
      </c>
      <c r="E609" s="5" t="s">
        <v>10</v>
      </c>
      <c r="F609" s="9">
        <v>45115</v>
      </c>
      <c r="G609" s="4">
        <v>40</v>
      </c>
      <c r="H609" s="23">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Row],[Duration]]&lt;=30,"10 TO 30 MINS",
     CALLS[[#This Row],[Duration]]&lt;=120,"1 TO 2 HOURS",
     TRUE,"&gt; 2 HOURS")</f>
        <v>1 TO 2 HOURS</v>
      </c>
      <c r="L609">
        <f>ROUND(CALLS[[#This Row],[Satisfaction Rating]],0)</f>
        <v>5</v>
      </c>
      <c r="M609" cm="1">
        <f t="array" ref="M609">_xlfn.IFS(CALLS[[#This Row],[DURATION BACKET]]="UNDER 10 MINS",1,
     CALLS[[#This Row],[DURATION BACKET]]="10 TO 30 MINS",2,
     CALLS[[#This Row],[DURATION BACKET]]="1 TO 2 HOURS",3,
     CALLS[[#This Row],[DURATION BACKET]]="&gt; 2 HOURS",4)</f>
        <v>3</v>
      </c>
      <c r="N609">
        <f>(CALLS[[#This Row],[Purchase Amount]]/ 1)</f>
        <v>40</v>
      </c>
    </row>
    <row r="610" spans="2:14" x14ac:dyDescent="0.25">
      <c r="B610" s="22" t="s">
        <v>632</v>
      </c>
      <c r="C610" s="4" t="s">
        <v>24</v>
      </c>
      <c r="D610" s="4">
        <v>52</v>
      </c>
      <c r="E610" s="5" t="s">
        <v>13</v>
      </c>
      <c r="F610" s="9">
        <v>45115</v>
      </c>
      <c r="G610" s="4">
        <v>42</v>
      </c>
      <c r="H610" s="23">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Row],[Duration]]&lt;=30,"10 TO 30 MINS",
     CALLS[[#This Row],[Duration]]&lt;=120,"1 TO 2 HOURS",
     TRUE,"&gt; 2 HOURS")</f>
        <v>1 TO 2 HOURS</v>
      </c>
      <c r="L610">
        <f>ROUND(CALLS[[#This Row],[Satisfaction Rating]],0)</f>
        <v>5</v>
      </c>
      <c r="M610" cm="1">
        <f t="array" ref="M610">_xlfn.IFS(CALLS[[#This Row],[DURATION BACKET]]="UNDER 10 MINS",1,
     CALLS[[#This Row],[DURATION BACKET]]="10 TO 30 MINS",2,
     CALLS[[#This Row],[DURATION BACKET]]="1 TO 2 HOURS",3,
     CALLS[[#This Row],[DURATION BACKET]]="&gt; 2 HOURS",4)</f>
        <v>3</v>
      </c>
      <c r="N610">
        <f>(CALLS[[#This Row],[Purchase Amount]]/ 1)</f>
        <v>42</v>
      </c>
    </row>
    <row r="611" spans="2:14" x14ac:dyDescent="0.25">
      <c r="B611" s="22" t="s">
        <v>633</v>
      </c>
      <c r="C611" s="4" t="s">
        <v>23</v>
      </c>
      <c r="D611" s="4">
        <v>85</v>
      </c>
      <c r="E611" s="5" t="s">
        <v>6</v>
      </c>
      <c r="F611" s="9">
        <v>45116</v>
      </c>
      <c r="G611" s="4">
        <v>215</v>
      </c>
      <c r="H611" s="23">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Row],[Duration]]&lt;=30,"10 TO 30 MINS",
     CALLS[[#This Row],[Duration]]&lt;=120,"1 TO 2 HOURS",
     TRUE,"&gt; 2 HOURS")</f>
        <v>1 TO 2 HOURS</v>
      </c>
      <c r="L611">
        <f>ROUND(CALLS[[#This Row],[Satisfaction Rating]],0)</f>
        <v>4</v>
      </c>
      <c r="M611" cm="1">
        <f t="array" ref="M611">_xlfn.IFS(CALLS[[#This Row],[DURATION BACKET]]="UNDER 10 MINS",1,
     CALLS[[#This Row],[DURATION BACKET]]="10 TO 30 MINS",2,
     CALLS[[#This Row],[DURATION BACKET]]="1 TO 2 HOURS",3,
     CALLS[[#This Row],[DURATION BACKET]]="&gt; 2 HOURS",4)</f>
        <v>3</v>
      </c>
      <c r="N611">
        <f>(CALLS[[#This Row],[Purchase Amount]]/ 1)</f>
        <v>215</v>
      </c>
    </row>
    <row r="612" spans="2:14" x14ac:dyDescent="0.25">
      <c r="B612" s="22" t="s">
        <v>634</v>
      </c>
      <c r="C612" s="4" t="s">
        <v>22</v>
      </c>
      <c r="D612" s="4">
        <v>98</v>
      </c>
      <c r="E612" s="5" t="s">
        <v>6</v>
      </c>
      <c r="F612" s="9">
        <v>45117</v>
      </c>
      <c r="G612" s="4">
        <v>130</v>
      </c>
      <c r="H612" s="23">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Row],[Duration]]&lt;=30,"10 TO 30 MINS",
     CALLS[[#This Row],[Duration]]&lt;=120,"1 TO 2 HOURS",
     TRUE,"&gt; 2 HOURS")</f>
        <v>1 TO 2 HOURS</v>
      </c>
      <c r="L612">
        <f>ROUND(CALLS[[#This Row],[Satisfaction Rating]],0)</f>
        <v>3</v>
      </c>
      <c r="M612" cm="1">
        <f t="array" ref="M612">_xlfn.IFS(CALLS[[#This Row],[DURATION BACKET]]="UNDER 10 MINS",1,
     CALLS[[#This Row],[DURATION BACKET]]="10 TO 30 MINS",2,
     CALLS[[#This Row],[DURATION BACKET]]="1 TO 2 HOURS",3,
     CALLS[[#This Row],[DURATION BACKET]]="&gt; 2 HOURS",4)</f>
        <v>3</v>
      </c>
      <c r="N612">
        <f>(CALLS[[#This Row],[Purchase Amount]]/ 1)</f>
        <v>130</v>
      </c>
    </row>
    <row r="613" spans="2:14" x14ac:dyDescent="0.25">
      <c r="B613" s="22" t="s">
        <v>635</v>
      </c>
      <c r="C613" s="4" t="s">
        <v>19</v>
      </c>
      <c r="D613" s="4">
        <v>52</v>
      </c>
      <c r="E613" s="5" t="s">
        <v>6</v>
      </c>
      <c r="F613" s="9">
        <v>45117</v>
      </c>
      <c r="G613" s="4">
        <v>190</v>
      </c>
      <c r="H613" s="2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Row],[Duration]]&lt;=30,"10 TO 30 MINS",
     CALLS[[#This Row],[Duration]]&lt;=120,"1 TO 2 HOURS",
     TRUE,"&gt; 2 HOURS")</f>
        <v>1 TO 2 HOURS</v>
      </c>
      <c r="L613">
        <f>ROUND(CALLS[[#This Row],[Satisfaction Rating]],0)</f>
        <v>3</v>
      </c>
      <c r="M613" cm="1">
        <f t="array" ref="M613">_xlfn.IFS(CALLS[[#This Row],[DURATION BACKET]]="UNDER 10 MINS",1,
     CALLS[[#This Row],[DURATION BACKET]]="10 TO 30 MINS",2,
     CALLS[[#This Row],[DURATION BACKET]]="1 TO 2 HOURS",3,
     CALLS[[#This Row],[DURATION BACKET]]="&gt; 2 HOURS",4)</f>
        <v>3</v>
      </c>
      <c r="N613">
        <f>(CALLS[[#This Row],[Purchase Amount]]/ 1)</f>
        <v>190</v>
      </c>
    </row>
    <row r="614" spans="2:14" x14ac:dyDescent="0.25">
      <c r="B614" s="22" t="s">
        <v>636</v>
      </c>
      <c r="C614" s="4" t="s">
        <v>8</v>
      </c>
      <c r="D614" s="4">
        <v>154</v>
      </c>
      <c r="E614" s="5" t="s">
        <v>11</v>
      </c>
      <c r="F614" s="9">
        <v>45117</v>
      </c>
      <c r="G614" s="4">
        <v>164</v>
      </c>
      <c r="H614" s="23">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Row],[Duration]]&lt;=30,"10 TO 30 MINS",
     CALLS[[#This Row],[Duration]]&lt;=120,"1 TO 2 HOURS",
     TRUE,"&gt; 2 HOURS")</f>
        <v>&gt; 2 HOURS</v>
      </c>
      <c r="L614">
        <f>ROUND(CALLS[[#This Row],[Satisfaction Rating]],0)</f>
        <v>5</v>
      </c>
      <c r="M614" cm="1">
        <f t="array" ref="M614">_xlfn.IFS(CALLS[[#This Row],[DURATION BACKET]]="UNDER 10 MINS",1,
     CALLS[[#This Row],[DURATION BACKET]]="10 TO 30 MINS",2,
     CALLS[[#This Row],[DURATION BACKET]]="1 TO 2 HOURS",3,
     CALLS[[#This Row],[DURATION BACKET]]="&gt; 2 HOURS",4)</f>
        <v>4</v>
      </c>
      <c r="N614">
        <f>(CALLS[[#This Row],[Purchase Amount]]/ 1)</f>
        <v>164</v>
      </c>
    </row>
    <row r="615" spans="2:14" x14ac:dyDescent="0.25">
      <c r="B615" s="22" t="s">
        <v>637</v>
      </c>
      <c r="C615" s="4" t="s">
        <v>5</v>
      </c>
      <c r="D615" s="4">
        <v>131</v>
      </c>
      <c r="E615" s="5" t="s">
        <v>9</v>
      </c>
      <c r="F615" s="9">
        <v>45118</v>
      </c>
      <c r="G615" s="4">
        <v>76</v>
      </c>
      <c r="H615" s="23">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Row],[Duration]]&lt;=30,"10 TO 30 MINS",
     CALLS[[#This Row],[Duration]]&lt;=120,"1 TO 2 HOURS",
     TRUE,"&gt; 2 HOURS")</f>
        <v>&gt; 2 HOURS</v>
      </c>
      <c r="L615">
        <f>ROUND(CALLS[[#This Row],[Satisfaction Rating]],0)</f>
        <v>5</v>
      </c>
      <c r="M615" cm="1">
        <f t="array" ref="M615">_xlfn.IFS(CALLS[[#This Row],[DURATION BACKET]]="UNDER 10 MINS",1,
     CALLS[[#This Row],[DURATION BACKET]]="10 TO 30 MINS",2,
     CALLS[[#This Row],[DURATION BACKET]]="1 TO 2 HOURS",3,
     CALLS[[#This Row],[DURATION BACKET]]="&gt; 2 HOURS",4)</f>
        <v>4</v>
      </c>
      <c r="N615">
        <f>(CALLS[[#This Row],[Purchase Amount]]/ 1)</f>
        <v>76</v>
      </c>
    </row>
    <row r="616" spans="2:14" x14ac:dyDescent="0.25">
      <c r="B616" s="22" t="s">
        <v>638</v>
      </c>
      <c r="C616" s="4" t="s">
        <v>23</v>
      </c>
      <c r="D616" s="4">
        <v>73</v>
      </c>
      <c r="E616" s="5" t="s">
        <v>9</v>
      </c>
      <c r="F616" s="9">
        <v>45119</v>
      </c>
      <c r="G616" s="4">
        <v>87</v>
      </c>
      <c r="H616" s="23">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Row],[Duration]]&lt;=30,"10 TO 30 MINS",
     CALLS[[#This Row],[Duration]]&lt;=120,"1 TO 2 HOURS",
     TRUE,"&gt; 2 HOURS")</f>
        <v>1 TO 2 HOURS</v>
      </c>
      <c r="L616">
        <f>ROUND(CALLS[[#This Row],[Satisfaction Rating]],0)</f>
        <v>5</v>
      </c>
      <c r="M616" cm="1">
        <f t="array" ref="M616">_xlfn.IFS(CALLS[[#This Row],[DURATION BACKET]]="UNDER 10 MINS",1,
     CALLS[[#This Row],[DURATION BACKET]]="10 TO 30 MINS",2,
     CALLS[[#This Row],[DURATION BACKET]]="1 TO 2 HOURS",3,
     CALLS[[#This Row],[DURATION BACKET]]="&gt; 2 HOURS",4)</f>
        <v>3</v>
      </c>
      <c r="N616">
        <f>(CALLS[[#This Row],[Purchase Amount]]/ 1)</f>
        <v>87</v>
      </c>
    </row>
    <row r="617" spans="2:14" x14ac:dyDescent="0.25">
      <c r="B617" s="22" t="s">
        <v>639</v>
      </c>
      <c r="C617" s="4" t="s">
        <v>14</v>
      </c>
      <c r="D617" s="4">
        <v>45</v>
      </c>
      <c r="E617" s="5" t="s">
        <v>6</v>
      </c>
      <c r="F617" s="9">
        <v>45119</v>
      </c>
      <c r="G617" s="4">
        <v>84</v>
      </c>
      <c r="H617" s="23">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Row],[Duration]]&lt;=30,"10 TO 30 MINS",
     CALLS[[#This Row],[Duration]]&lt;=120,"1 TO 2 HOURS",
     TRUE,"&gt; 2 HOURS")</f>
        <v>1 TO 2 HOURS</v>
      </c>
      <c r="L617">
        <f>ROUND(CALLS[[#This Row],[Satisfaction Rating]],0)</f>
        <v>5</v>
      </c>
      <c r="M617" cm="1">
        <f t="array" ref="M617">_xlfn.IFS(CALLS[[#This Row],[DURATION BACKET]]="UNDER 10 MINS",1,
     CALLS[[#This Row],[DURATION BACKET]]="10 TO 30 MINS",2,
     CALLS[[#This Row],[DURATION BACKET]]="1 TO 2 HOURS",3,
     CALLS[[#This Row],[DURATION BACKET]]="&gt; 2 HOURS",4)</f>
        <v>3</v>
      </c>
      <c r="N617">
        <f>(CALLS[[#This Row],[Purchase Amount]]/ 1)</f>
        <v>84</v>
      </c>
    </row>
    <row r="618" spans="2:14" x14ac:dyDescent="0.25">
      <c r="B618" s="22" t="s">
        <v>640</v>
      </c>
      <c r="C618" s="4" t="s">
        <v>7</v>
      </c>
      <c r="D618" s="4">
        <v>114</v>
      </c>
      <c r="E618" s="5" t="s">
        <v>13</v>
      </c>
      <c r="F618" s="9">
        <v>45119</v>
      </c>
      <c r="G618" s="4">
        <v>114</v>
      </c>
      <c r="H618" s="23">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Row],[Duration]]&lt;=30,"10 TO 30 MINS",
     CALLS[[#This Row],[Duration]]&lt;=120,"1 TO 2 HOURS",
     TRUE,"&gt; 2 HOURS")</f>
        <v>1 TO 2 HOURS</v>
      </c>
      <c r="L618">
        <f>ROUND(CALLS[[#This Row],[Satisfaction Rating]],0)</f>
        <v>4</v>
      </c>
      <c r="M618" cm="1">
        <f t="array" ref="M618">_xlfn.IFS(CALLS[[#This Row],[DURATION BACKET]]="UNDER 10 MINS",1,
     CALLS[[#This Row],[DURATION BACKET]]="10 TO 30 MINS",2,
     CALLS[[#This Row],[DURATION BACKET]]="1 TO 2 HOURS",3,
     CALLS[[#This Row],[DURATION BACKET]]="&gt; 2 HOURS",4)</f>
        <v>3</v>
      </c>
      <c r="N618">
        <f>(CALLS[[#This Row],[Purchase Amount]]/ 1)</f>
        <v>114</v>
      </c>
    </row>
    <row r="619" spans="2:14" x14ac:dyDescent="0.25">
      <c r="B619" s="22" t="s">
        <v>641</v>
      </c>
      <c r="C619" s="4" t="s">
        <v>22</v>
      </c>
      <c r="D619" s="4">
        <v>69</v>
      </c>
      <c r="E619" s="5" t="s">
        <v>9</v>
      </c>
      <c r="F619" s="9">
        <v>45120</v>
      </c>
      <c r="G619" s="4">
        <v>56</v>
      </c>
      <c r="H619" s="23">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Row],[Duration]]&lt;=30,"10 TO 30 MINS",
     CALLS[[#This Row],[Duration]]&lt;=120,"1 TO 2 HOURS",
     TRUE,"&gt; 2 HOURS")</f>
        <v>1 TO 2 HOURS</v>
      </c>
      <c r="L619">
        <f>ROUND(CALLS[[#This Row],[Satisfaction Rating]],0)</f>
        <v>4</v>
      </c>
      <c r="M619" cm="1">
        <f t="array" ref="M619">_xlfn.IFS(CALLS[[#This Row],[DURATION BACKET]]="UNDER 10 MINS",1,
     CALLS[[#This Row],[DURATION BACKET]]="10 TO 30 MINS",2,
     CALLS[[#This Row],[DURATION BACKET]]="1 TO 2 HOURS",3,
     CALLS[[#This Row],[DURATION BACKET]]="&gt; 2 HOURS",4)</f>
        <v>3</v>
      </c>
      <c r="N619">
        <f>(CALLS[[#This Row],[Purchase Amount]]/ 1)</f>
        <v>56</v>
      </c>
    </row>
    <row r="620" spans="2:14" x14ac:dyDescent="0.25">
      <c r="B620" s="22" t="s">
        <v>642</v>
      </c>
      <c r="C620" s="4" t="s">
        <v>5</v>
      </c>
      <c r="D620" s="4">
        <v>33</v>
      </c>
      <c r="E620" s="5" t="s">
        <v>11</v>
      </c>
      <c r="F620" s="9">
        <v>45120</v>
      </c>
      <c r="G620" s="4">
        <v>27</v>
      </c>
      <c r="H620" s="23">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Row],[Duration]]&lt;=30,"10 TO 30 MINS",
     CALLS[[#This Row],[Duration]]&lt;=120,"1 TO 2 HOURS",
     TRUE,"&gt; 2 HOURS")</f>
        <v>1 TO 2 HOURS</v>
      </c>
      <c r="L620">
        <f>ROUND(CALLS[[#This Row],[Satisfaction Rating]],0)</f>
        <v>4</v>
      </c>
      <c r="M620" cm="1">
        <f t="array" ref="M620">_xlfn.IFS(CALLS[[#This Row],[DURATION BACKET]]="UNDER 10 MINS",1,
     CALLS[[#This Row],[DURATION BACKET]]="10 TO 30 MINS",2,
     CALLS[[#This Row],[DURATION BACKET]]="1 TO 2 HOURS",3,
     CALLS[[#This Row],[DURATION BACKET]]="&gt; 2 HOURS",4)</f>
        <v>3</v>
      </c>
      <c r="N620">
        <f>(CALLS[[#This Row],[Purchase Amount]]/ 1)</f>
        <v>27</v>
      </c>
    </row>
    <row r="621" spans="2:14" x14ac:dyDescent="0.25">
      <c r="B621" s="22" t="s">
        <v>643</v>
      </c>
      <c r="C621" s="4" t="s">
        <v>12</v>
      </c>
      <c r="D621" s="4">
        <v>31</v>
      </c>
      <c r="E621" s="5" t="s">
        <v>10</v>
      </c>
      <c r="F621" s="9">
        <v>45121</v>
      </c>
      <c r="G621" s="4">
        <v>84</v>
      </c>
      <c r="H621" s="23">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Row],[Duration]]&lt;=30,"10 TO 30 MINS",
     CALLS[[#This Row],[Duration]]&lt;=120,"1 TO 2 HOURS",
     TRUE,"&gt; 2 HOURS")</f>
        <v>1 TO 2 HOURS</v>
      </c>
      <c r="L621">
        <f>ROUND(CALLS[[#This Row],[Satisfaction Rating]],0)</f>
        <v>5</v>
      </c>
      <c r="M621" cm="1">
        <f t="array" ref="M621">_xlfn.IFS(CALLS[[#This Row],[DURATION BACKET]]="UNDER 10 MINS",1,
     CALLS[[#This Row],[DURATION BACKET]]="10 TO 30 MINS",2,
     CALLS[[#This Row],[DURATION BACKET]]="1 TO 2 HOURS",3,
     CALLS[[#This Row],[DURATION BACKET]]="&gt; 2 HOURS",4)</f>
        <v>3</v>
      </c>
      <c r="N621">
        <f>(CALLS[[#This Row],[Purchase Amount]]/ 1)</f>
        <v>84</v>
      </c>
    </row>
    <row r="622" spans="2:14" x14ac:dyDescent="0.25">
      <c r="B622" s="22" t="s">
        <v>644</v>
      </c>
      <c r="C622" s="4" t="s">
        <v>14</v>
      </c>
      <c r="D622" s="4">
        <v>168</v>
      </c>
      <c r="E622" s="5" t="s">
        <v>11</v>
      </c>
      <c r="F622" s="9">
        <v>45121</v>
      </c>
      <c r="G622" s="4">
        <v>72</v>
      </c>
      <c r="H622" s="23">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Row],[Duration]]&lt;=30,"10 TO 30 MINS",
     CALLS[[#This Row],[Duration]]&lt;=120,"1 TO 2 HOURS",
     TRUE,"&gt; 2 HOURS")</f>
        <v>&gt; 2 HOURS</v>
      </c>
      <c r="L622">
        <f>ROUND(CALLS[[#This Row],[Satisfaction Rating]],0)</f>
        <v>4</v>
      </c>
      <c r="M622" cm="1">
        <f t="array" ref="M622">_xlfn.IFS(CALLS[[#This Row],[DURATION BACKET]]="UNDER 10 MINS",1,
     CALLS[[#This Row],[DURATION BACKET]]="10 TO 30 MINS",2,
     CALLS[[#This Row],[DURATION BACKET]]="1 TO 2 HOURS",3,
     CALLS[[#This Row],[DURATION BACKET]]="&gt; 2 HOURS",4)</f>
        <v>4</v>
      </c>
      <c r="N622">
        <f>(CALLS[[#This Row],[Purchase Amount]]/ 1)</f>
        <v>72</v>
      </c>
    </row>
    <row r="623" spans="2:14" x14ac:dyDescent="0.25">
      <c r="B623" s="22" t="s">
        <v>645</v>
      </c>
      <c r="C623" s="4" t="s">
        <v>23</v>
      </c>
      <c r="D623" s="4">
        <v>111</v>
      </c>
      <c r="E623" s="5" t="s">
        <v>13</v>
      </c>
      <c r="F623" s="9">
        <v>45122</v>
      </c>
      <c r="G623" s="4">
        <v>126</v>
      </c>
      <c r="H623" s="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Row],[Duration]]&lt;=30,"10 TO 30 MINS",
     CALLS[[#This Row],[Duration]]&lt;=120,"1 TO 2 HOURS",
     TRUE,"&gt; 2 HOURS")</f>
        <v>1 TO 2 HOURS</v>
      </c>
      <c r="L623">
        <f>ROUND(CALLS[[#This Row],[Satisfaction Rating]],0)</f>
        <v>4</v>
      </c>
      <c r="M623" cm="1">
        <f t="array" ref="M623">_xlfn.IFS(CALLS[[#This Row],[DURATION BACKET]]="UNDER 10 MINS",1,
     CALLS[[#This Row],[DURATION BACKET]]="10 TO 30 MINS",2,
     CALLS[[#This Row],[DURATION BACKET]]="1 TO 2 HOURS",3,
     CALLS[[#This Row],[DURATION BACKET]]="&gt; 2 HOURS",4)</f>
        <v>3</v>
      </c>
      <c r="N623">
        <f>(CALLS[[#This Row],[Purchase Amount]]/ 1)</f>
        <v>126</v>
      </c>
    </row>
    <row r="624" spans="2:14" x14ac:dyDescent="0.25">
      <c r="B624" s="22" t="s">
        <v>646</v>
      </c>
      <c r="C624" s="4" t="s">
        <v>12</v>
      </c>
      <c r="D624" s="4">
        <v>80</v>
      </c>
      <c r="E624" s="5" t="s">
        <v>11</v>
      </c>
      <c r="F624" s="9">
        <v>45123</v>
      </c>
      <c r="G624" s="4">
        <v>88</v>
      </c>
      <c r="H624" s="23">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Row],[Duration]]&lt;=30,"10 TO 30 MINS",
     CALLS[[#This Row],[Duration]]&lt;=120,"1 TO 2 HOURS",
     TRUE,"&gt; 2 HOURS")</f>
        <v>1 TO 2 HOURS</v>
      </c>
      <c r="L624">
        <f>ROUND(CALLS[[#This Row],[Satisfaction Rating]],0)</f>
        <v>5</v>
      </c>
      <c r="M624" cm="1">
        <f t="array" ref="M624">_xlfn.IFS(CALLS[[#This Row],[DURATION BACKET]]="UNDER 10 MINS",1,
     CALLS[[#This Row],[DURATION BACKET]]="10 TO 30 MINS",2,
     CALLS[[#This Row],[DURATION BACKET]]="1 TO 2 HOURS",3,
     CALLS[[#This Row],[DURATION BACKET]]="&gt; 2 HOURS",4)</f>
        <v>3</v>
      </c>
      <c r="N624">
        <f>(CALLS[[#This Row],[Purchase Amount]]/ 1)</f>
        <v>88</v>
      </c>
    </row>
    <row r="625" spans="2:14" x14ac:dyDescent="0.25">
      <c r="B625" s="22" t="s">
        <v>647</v>
      </c>
      <c r="C625" s="4" t="s">
        <v>20</v>
      </c>
      <c r="D625" s="4">
        <v>37</v>
      </c>
      <c r="E625" s="5" t="s">
        <v>11</v>
      </c>
      <c r="F625" s="9">
        <v>45123</v>
      </c>
      <c r="G625" s="4">
        <v>124</v>
      </c>
      <c r="H625" s="23">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Row],[Duration]]&lt;=30,"10 TO 30 MINS",
     CALLS[[#This Row],[Duration]]&lt;=120,"1 TO 2 HOURS",
     TRUE,"&gt; 2 HOURS")</f>
        <v>1 TO 2 HOURS</v>
      </c>
      <c r="L625">
        <f>ROUND(CALLS[[#This Row],[Satisfaction Rating]],0)</f>
        <v>5</v>
      </c>
      <c r="M625" cm="1">
        <f t="array" ref="M625">_xlfn.IFS(CALLS[[#This Row],[DURATION BACKET]]="UNDER 10 MINS",1,
     CALLS[[#This Row],[DURATION BACKET]]="10 TO 30 MINS",2,
     CALLS[[#This Row],[DURATION BACKET]]="1 TO 2 HOURS",3,
     CALLS[[#This Row],[DURATION BACKET]]="&gt; 2 HOURS",4)</f>
        <v>3</v>
      </c>
      <c r="N625">
        <f>(CALLS[[#This Row],[Purchase Amount]]/ 1)</f>
        <v>124</v>
      </c>
    </row>
    <row r="626" spans="2:14" x14ac:dyDescent="0.25">
      <c r="B626" s="22" t="s">
        <v>648</v>
      </c>
      <c r="C626" s="4" t="s">
        <v>17</v>
      </c>
      <c r="D626" s="4">
        <v>137</v>
      </c>
      <c r="E626" s="5" t="s">
        <v>11</v>
      </c>
      <c r="F626" s="9">
        <v>45124</v>
      </c>
      <c r="G626" s="4">
        <v>84</v>
      </c>
      <c r="H626" s="23">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Row],[Duration]]&lt;=30,"10 TO 30 MINS",
     CALLS[[#This Row],[Duration]]&lt;=120,"1 TO 2 HOURS",
     TRUE,"&gt; 2 HOURS")</f>
        <v>&gt; 2 HOURS</v>
      </c>
      <c r="L626">
        <f>ROUND(CALLS[[#This Row],[Satisfaction Rating]],0)</f>
        <v>3</v>
      </c>
      <c r="M626" cm="1">
        <f t="array" ref="M626">_xlfn.IFS(CALLS[[#This Row],[DURATION BACKET]]="UNDER 10 MINS",1,
     CALLS[[#This Row],[DURATION BACKET]]="10 TO 30 MINS",2,
     CALLS[[#This Row],[DURATION BACKET]]="1 TO 2 HOURS",3,
     CALLS[[#This Row],[DURATION BACKET]]="&gt; 2 HOURS",4)</f>
        <v>4</v>
      </c>
      <c r="N626">
        <f>(CALLS[[#This Row],[Purchase Amount]]/ 1)</f>
        <v>84</v>
      </c>
    </row>
    <row r="627" spans="2:14" x14ac:dyDescent="0.25">
      <c r="B627" s="22" t="s">
        <v>649</v>
      </c>
      <c r="C627" s="4" t="s">
        <v>22</v>
      </c>
      <c r="D627" s="4">
        <v>123</v>
      </c>
      <c r="E627" s="5" t="s">
        <v>13</v>
      </c>
      <c r="F627" s="9">
        <v>45124</v>
      </c>
      <c r="G627" s="4">
        <v>80</v>
      </c>
      <c r="H627" s="23">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Row],[Duration]]&lt;=30,"10 TO 30 MINS",
     CALLS[[#This Row],[Duration]]&lt;=120,"1 TO 2 HOURS",
     TRUE,"&gt; 2 HOURS")</f>
        <v>&gt; 2 HOURS</v>
      </c>
      <c r="L627">
        <f>ROUND(CALLS[[#This Row],[Satisfaction Rating]],0)</f>
        <v>3</v>
      </c>
      <c r="M627" cm="1">
        <f t="array" ref="M627">_xlfn.IFS(CALLS[[#This Row],[DURATION BACKET]]="UNDER 10 MINS",1,
     CALLS[[#This Row],[DURATION BACKET]]="10 TO 30 MINS",2,
     CALLS[[#This Row],[DURATION BACKET]]="1 TO 2 HOURS",3,
     CALLS[[#This Row],[DURATION BACKET]]="&gt; 2 HOURS",4)</f>
        <v>4</v>
      </c>
      <c r="N627">
        <f>(CALLS[[#This Row],[Purchase Amount]]/ 1)</f>
        <v>80</v>
      </c>
    </row>
    <row r="628" spans="2:14" x14ac:dyDescent="0.25">
      <c r="B628" s="22" t="s">
        <v>650</v>
      </c>
      <c r="C628" s="4" t="s">
        <v>16</v>
      </c>
      <c r="D628" s="4">
        <v>105</v>
      </c>
      <c r="E628" s="5" t="s">
        <v>13</v>
      </c>
      <c r="F628" s="9">
        <v>45125</v>
      </c>
      <c r="G628" s="4">
        <v>176</v>
      </c>
      <c r="H628" s="23">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Row],[Duration]]&lt;=30,"10 TO 30 MINS",
     CALLS[[#This Row],[Duration]]&lt;=120,"1 TO 2 HOURS",
     TRUE,"&gt; 2 HOURS")</f>
        <v>1 TO 2 HOURS</v>
      </c>
      <c r="L628">
        <f>ROUND(CALLS[[#This Row],[Satisfaction Rating]],0)</f>
        <v>5</v>
      </c>
      <c r="M628" cm="1">
        <f t="array" ref="M628">_xlfn.IFS(CALLS[[#This Row],[DURATION BACKET]]="UNDER 10 MINS",1,
     CALLS[[#This Row],[DURATION BACKET]]="10 TO 30 MINS",2,
     CALLS[[#This Row],[DURATION BACKET]]="1 TO 2 HOURS",3,
     CALLS[[#This Row],[DURATION BACKET]]="&gt; 2 HOURS",4)</f>
        <v>3</v>
      </c>
      <c r="N628">
        <f>(CALLS[[#This Row],[Purchase Amount]]/ 1)</f>
        <v>176</v>
      </c>
    </row>
    <row r="629" spans="2:14" x14ac:dyDescent="0.25">
      <c r="B629" s="22" t="s">
        <v>651</v>
      </c>
      <c r="C629" s="4" t="s">
        <v>20</v>
      </c>
      <c r="D629" s="4">
        <v>76</v>
      </c>
      <c r="E629" s="5" t="s">
        <v>6</v>
      </c>
      <c r="F629" s="9">
        <v>45126</v>
      </c>
      <c r="G629" s="4">
        <v>84</v>
      </c>
      <c r="H629" s="23">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Row],[Duration]]&lt;=30,"10 TO 30 MINS",
     CALLS[[#This Row],[Duration]]&lt;=120,"1 TO 2 HOURS",
     TRUE,"&gt; 2 HOURS")</f>
        <v>1 TO 2 HOURS</v>
      </c>
      <c r="L629">
        <f>ROUND(CALLS[[#This Row],[Satisfaction Rating]],0)</f>
        <v>4</v>
      </c>
      <c r="M629" cm="1">
        <f t="array" ref="M629">_xlfn.IFS(CALLS[[#This Row],[DURATION BACKET]]="UNDER 10 MINS",1,
     CALLS[[#This Row],[DURATION BACKET]]="10 TO 30 MINS",2,
     CALLS[[#This Row],[DURATION BACKET]]="1 TO 2 HOURS",3,
     CALLS[[#This Row],[DURATION BACKET]]="&gt; 2 HOURS",4)</f>
        <v>3</v>
      </c>
      <c r="N629">
        <f>(CALLS[[#This Row],[Purchase Amount]]/ 1)</f>
        <v>84</v>
      </c>
    </row>
    <row r="630" spans="2:14" x14ac:dyDescent="0.25">
      <c r="B630" s="22" t="s">
        <v>652</v>
      </c>
      <c r="C630" s="4" t="s">
        <v>12</v>
      </c>
      <c r="D630" s="4">
        <v>144</v>
      </c>
      <c r="E630" s="5" t="s">
        <v>6</v>
      </c>
      <c r="F630" s="9">
        <v>45126</v>
      </c>
      <c r="G630" s="4">
        <v>164</v>
      </c>
      <c r="H630" s="23">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Row],[Duration]]&lt;=30,"10 TO 30 MINS",
     CALLS[[#This Row],[Duration]]&lt;=120,"1 TO 2 HOURS",
     TRUE,"&gt; 2 HOURS")</f>
        <v>&gt; 2 HOURS</v>
      </c>
      <c r="L630">
        <f>ROUND(CALLS[[#This Row],[Satisfaction Rating]],0)</f>
        <v>3</v>
      </c>
      <c r="M630" cm="1">
        <f t="array" ref="M630">_xlfn.IFS(CALLS[[#This Row],[DURATION BACKET]]="UNDER 10 MINS",1,
     CALLS[[#This Row],[DURATION BACKET]]="10 TO 30 MINS",2,
     CALLS[[#This Row],[DURATION BACKET]]="1 TO 2 HOURS",3,
     CALLS[[#This Row],[DURATION BACKET]]="&gt; 2 HOURS",4)</f>
        <v>4</v>
      </c>
      <c r="N630">
        <f>(CALLS[[#This Row],[Purchase Amount]]/ 1)</f>
        <v>164</v>
      </c>
    </row>
    <row r="631" spans="2:14" x14ac:dyDescent="0.25">
      <c r="B631" s="22" t="s">
        <v>653</v>
      </c>
      <c r="C631" s="4" t="s">
        <v>5</v>
      </c>
      <c r="D631" s="4">
        <v>109</v>
      </c>
      <c r="E631" s="5" t="s">
        <v>10</v>
      </c>
      <c r="F631" s="9">
        <v>45126</v>
      </c>
      <c r="G631" s="4">
        <v>132</v>
      </c>
      <c r="H631" s="23">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Row],[Duration]]&lt;=30,"10 TO 30 MINS",
     CALLS[[#This Row],[Duration]]&lt;=120,"1 TO 2 HOURS",
     TRUE,"&gt; 2 HOURS")</f>
        <v>1 TO 2 HOURS</v>
      </c>
      <c r="L631">
        <f>ROUND(CALLS[[#This Row],[Satisfaction Rating]],0)</f>
        <v>3</v>
      </c>
      <c r="M631" cm="1">
        <f t="array" ref="M631">_xlfn.IFS(CALLS[[#This Row],[DURATION BACKET]]="UNDER 10 MINS",1,
     CALLS[[#This Row],[DURATION BACKET]]="10 TO 30 MINS",2,
     CALLS[[#This Row],[DURATION BACKET]]="1 TO 2 HOURS",3,
     CALLS[[#This Row],[DURATION BACKET]]="&gt; 2 HOURS",4)</f>
        <v>3</v>
      </c>
      <c r="N631">
        <f>(CALLS[[#This Row],[Purchase Amount]]/ 1)</f>
        <v>132</v>
      </c>
    </row>
    <row r="632" spans="2:14" x14ac:dyDescent="0.25">
      <c r="B632" s="22" t="s">
        <v>654</v>
      </c>
      <c r="C632" s="4" t="s">
        <v>22</v>
      </c>
      <c r="D632" s="4">
        <v>172</v>
      </c>
      <c r="E632" s="5" t="s">
        <v>11</v>
      </c>
      <c r="F632" s="9">
        <v>45127</v>
      </c>
      <c r="G632" s="4">
        <v>27</v>
      </c>
      <c r="H632" s="23">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Row],[Duration]]&lt;=30,"10 TO 30 MINS",
     CALLS[[#This Row],[Duration]]&lt;=120,"1 TO 2 HOURS",
     TRUE,"&gt; 2 HOURS")</f>
        <v>&gt; 2 HOURS</v>
      </c>
      <c r="L632">
        <f>ROUND(CALLS[[#This Row],[Satisfaction Rating]],0)</f>
        <v>4</v>
      </c>
      <c r="M632" cm="1">
        <f t="array" ref="M632">_xlfn.IFS(CALLS[[#This Row],[DURATION BACKET]]="UNDER 10 MINS",1,
     CALLS[[#This Row],[DURATION BACKET]]="10 TO 30 MINS",2,
     CALLS[[#This Row],[DURATION BACKET]]="1 TO 2 HOURS",3,
     CALLS[[#This Row],[DURATION BACKET]]="&gt; 2 HOURS",4)</f>
        <v>4</v>
      </c>
      <c r="N632">
        <f>(CALLS[[#This Row],[Purchase Amount]]/ 1)</f>
        <v>27</v>
      </c>
    </row>
    <row r="633" spans="2:14" x14ac:dyDescent="0.25">
      <c r="B633" s="22" t="s">
        <v>655</v>
      </c>
      <c r="C633" s="4" t="s">
        <v>12</v>
      </c>
      <c r="D633" s="4">
        <v>56</v>
      </c>
      <c r="E633" s="5" t="s">
        <v>13</v>
      </c>
      <c r="F633" s="9">
        <v>45127</v>
      </c>
      <c r="G633" s="4">
        <v>27</v>
      </c>
      <c r="H633" s="2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Row],[Duration]]&lt;=30,"10 TO 30 MINS",
     CALLS[[#This Row],[Duration]]&lt;=120,"1 TO 2 HOURS",
     TRUE,"&gt; 2 HOURS")</f>
        <v>1 TO 2 HOURS</v>
      </c>
      <c r="L633">
        <f>ROUND(CALLS[[#This Row],[Satisfaction Rating]],0)</f>
        <v>4</v>
      </c>
      <c r="M633" cm="1">
        <f t="array" ref="M633">_xlfn.IFS(CALLS[[#This Row],[DURATION BACKET]]="UNDER 10 MINS",1,
     CALLS[[#This Row],[DURATION BACKET]]="10 TO 30 MINS",2,
     CALLS[[#This Row],[DURATION BACKET]]="1 TO 2 HOURS",3,
     CALLS[[#This Row],[DURATION BACKET]]="&gt; 2 HOURS",4)</f>
        <v>3</v>
      </c>
      <c r="N633">
        <f>(CALLS[[#This Row],[Purchase Amount]]/ 1)</f>
        <v>27</v>
      </c>
    </row>
    <row r="634" spans="2:14" x14ac:dyDescent="0.25">
      <c r="B634" s="22" t="s">
        <v>656</v>
      </c>
      <c r="C634" s="4" t="s">
        <v>12</v>
      </c>
      <c r="D634" s="4">
        <v>121</v>
      </c>
      <c r="E634" s="5" t="s">
        <v>9</v>
      </c>
      <c r="F634" s="9">
        <v>45127</v>
      </c>
      <c r="G634" s="4">
        <v>20</v>
      </c>
      <c r="H634" s="23">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Row],[Duration]]&lt;=30,"10 TO 30 MINS",
     CALLS[[#This Row],[Duration]]&lt;=120,"1 TO 2 HOURS",
     TRUE,"&gt; 2 HOURS")</f>
        <v>&gt; 2 HOURS</v>
      </c>
      <c r="L634">
        <f>ROUND(CALLS[[#This Row],[Satisfaction Rating]],0)</f>
        <v>3</v>
      </c>
      <c r="M634" cm="1">
        <f t="array" ref="M634">_xlfn.IFS(CALLS[[#This Row],[DURATION BACKET]]="UNDER 10 MINS",1,
     CALLS[[#This Row],[DURATION BACKET]]="10 TO 30 MINS",2,
     CALLS[[#This Row],[DURATION BACKET]]="1 TO 2 HOURS",3,
     CALLS[[#This Row],[DURATION BACKET]]="&gt; 2 HOURS",4)</f>
        <v>4</v>
      </c>
      <c r="N634">
        <f>(CALLS[[#This Row],[Purchase Amount]]/ 1)</f>
        <v>20</v>
      </c>
    </row>
    <row r="635" spans="2:14" x14ac:dyDescent="0.25">
      <c r="B635" s="22" t="s">
        <v>657</v>
      </c>
      <c r="C635" s="4" t="s">
        <v>22</v>
      </c>
      <c r="D635" s="4">
        <v>41</v>
      </c>
      <c r="E635" s="5" t="s">
        <v>13</v>
      </c>
      <c r="F635" s="9">
        <v>45128</v>
      </c>
      <c r="G635" s="4">
        <v>112</v>
      </c>
      <c r="H635" s="23">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Row],[Duration]]&lt;=30,"10 TO 30 MINS",
     CALLS[[#This Row],[Duration]]&lt;=120,"1 TO 2 HOURS",
     TRUE,"&gt; 2 HOURS")</f>
        <v>1 TO 2 HOURS</v>
      </c>
      <c r="L635">
        <f>ROUND(CALLS[[#This Row],[Satisfaction Rating]],0)</f>
        <v>2</v>
      </c>
      <c r="M635" cm="1">
        <f t="array" ref="M635">_xlfn.IFS(CALLS[[#This Row],[DURATION BACKET]]="UNDER 10 MINS",1,
     CALLS[[#This Row],[DURATION BACKET]]="10 TO 30 MINS",2,
     CALLS[[#This Row],[DURATION BACKET]]="1 TO 2 HOURS",3,
     CALLS[[#This Row],[DURATION BACKET]]="&gt; 2 HOURS",4)</f>
        <v>3</v>
      </c>
      <c r="N635">
        <f>(CALLS[[#This Row],[Purchase Amount]]/ 1)</f>
        <v>112</v>
      </c>
    </row>
    <row r="636" spans="2:14" x14ac:dyDescent="0.25">
      <c r="B636" s="22" t="s">
        <v>658</v>
      </c>
      <c r="C636" s="4" t="s">
        <v>21</v>
      </c>
      <c r="D636" s="4">
        <v>60</v>
      </c>
      <c r="E636" s="5" t="s">
        <v>11</v>
      </c>
      <c r="F636" s="9">
        <v>45128</v>
      </c>
      <c r="G636" s="4">
        <v>60</v>
      </c>
      <c r="H636" s="23">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Row],[Duration]]&lt;=30,"10 TO 30 MINS",
     CALLS[[#This Row],[Duration]]&lt;=120,"1 TO 2 HOURS",
     TRUE,"&gt; 2 HOURS")</f>
        <v>1 TO 2 HOURS</v>
      </c>
      <c r="L636">
        <f>ROUND(CALLS[[#This Row],[Satisfaction Rating]],0)</f>
        <v>2</v>
      </c>
      <c r="M636" cm="1">
        <f t="array" ref="M636">_xlfn.IFS(CALLS[[#This Row],[DURATION BACKET]]="UNDER 10 MINS",1,
     CALLS[[#This Row],[DURATION BACKET]]="10 TO 30 MINS",2,
     CALLS[[#This Row],[DURATION BACKET]]="1 TO 2 HOURS",3,
     CALLS[[#This Row],[DURATION BACKET]]="&gt; 2 HOURS",4)</f>
        <v>3</v>
      </c>
      <c r="N636">
        <f>(CALLS[[#This Row],[Purchase Amount]]/ 1)</f>
        <v>60</v>
      </c>
    </row>
    <row r="637" spans="2:14" x14ac:dyDescent="0.25">
      <c r="B637" s="22" t="s">
        <v>659</v>
      </c>
      <c r="C637" s="4" t="s">
        <v>21</v>
      </c>
      <c r="D637" s="4">
        <v>144</v>
      </c>
      <c r="E637" s="5" t="s">
        <v>11</v>
      </c>
      <c r="F637" s="9">
        <v>45129</v>
      </c>
      <c r="G637" s="4">
        <v>102</v>
      </c>
      <c r="H637" s="23">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Row],[Duration]]&lt;=30,"10 TO 30 MINS",
     CALLS[[#This Row],[Duration]]&lt;=120,"1 TO 2 HOURS",
     TRUE,"&gt; 2 HOURS")</f>
        <v>&gt; 2 HOURS</v>
      </c>
      <c r="L637">
        <f>ROUND(CALLS[[#This Row],[Satisfaction Rating]],0)</f>
        <v>3</v>
      </c>
      <c r="M637" cm="1">
        <f t="array" ref="M637">_xlfn.IFS(CALLS[[#This Row],[DURATION BACKET]]="UNDER 10 MINS",1,
     CALLS[[#This Row],[DURATION BACKET]]="10 TO 30 MINS",2,
     CALLS[[#This Row],[DURATION BACKET]]="1 TO 2 HOURS",3,
     CALLS[[#This Row],[DURATION BACKET]]="&gt; 2 HOURS",4)</f>
        <v>4</v>
      </c>
      <c r="N637">
        <f>(CALLS[[#This Row],[Purchase Amount]]/ 1)</f>
        <v>102</v>
      </c>
    </row>
    <row r="638" spans="2:14" x14ac:dyDescent="0.25">
      <c r="B638" s="22" t="s">
        <v>660</v>
      </c>
      <c r="C638" s="4" t="s">
        <v>8</v>
      </c>
      <c r="D638" s="4">
        <v>67</v>
      </c>
      <c r="E638" s="5" t="s">
        <v>11</v>
      </c>
      <c r="F638" s="9">
        <v>45129</v>
      </c>
      <c r="G638" s="4">
        <v>38</v>
      </c>
      <c r="H638" s="23">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Row],[Duration]]&lt;=30,"10 TO 30 MINS",
     CALLS[[#This Row],[Duration]]&lt;=120,"1 TO 2 HOURS",
     TRUE,"&gt; 2 HOURS")</f>
        <v>1 TO 2 HOURS</v>
      </c>
      <c r="L638">
        <f>ROUND(CALLS[[#This Row],[Satisfaction Rating]],0)</f>
        <v>4</v>
      </c>
      <c r="M638" cm="1">
        <f t="array" ref="M638">_xlfn.IFS(CALLS[[#This Row],[DURATION BACKET]]="UNDER 10 MINS",1,
     CALLS[[#This Row],[DURATION BACKET]]="10 TO 30 MINS",2,
     CALLS[[#This Row],[DURATION BACKET]]="1 TO 2 HOURS",3,
     CALLS[[#This Row],[DURATION BACKET]]="&gt; 2 HOURS",4)</f>
        <v>3</v>
      </c>
      <c r="N638">
        <f>(CALLS[[#This Row],[Purchase Amount]]/ 1)</f>
        <v>38</v>
      </c>
    </row>
    <row r="639" spans="2:14" x14ac:dyDescent="0.25">
      <c r="B639" s="22" t="s">
        <v>661</v>
      </c>
      <c r="C639" s="4" t="s">
        <v>22</v>
      </c>
      <c r="D639" s="4">
        <v>162</v>
      </c>
      <c r="E639" s="5" t="s">
        <v>10</v>
      </c>
      <c r="F639" s="9">
        <v>45129</v>
      </c>
      <c r="G639" s="4">
        <v>82</v>
      </c>
      <c r="H639" s="23">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Row],[Duration]]&lt;=30,"10 TO 30 MINS",
     CALLS[[#This Row],[Duration]]&lt;=120,"1 TO 2 HOURS",
     TRUE,"&gt; 2 HOURS")</f>
        <v>&gt; 2 HOURS</v>
      </c>
      <c r="L639">
        <f>ROUND(CALLS[[#This Row],[Satisfaction Rating]],0)</f>
        <v>5</v>
      </c>
      <c r="M639" cm="1">
        <f t="array" ref="M639">_xlfn.IFS(CALLS[[#This Row],[DURATION BACKET]]="UNDER 10 MINS",1,
     CALLS[[#This Row],[DURATION BACKET]]="10 TO 30 MINS",2,
     CALLS[[#This Row],[DURATION BACKET]]="1 TO 2 HOURS",3,
     CALLS[[#This Row],[DURATION BACKET]]="&gt; 2 HOURS",4)</f>
        <v>4</v>
      </c>
      <c r="N639">
        <f>(CALLS[[#This Row],[Purchase Amount]]/ 1)</f>
        <v>82</v>
      </c>
    </row>
    <row r="640" spans="2:14" x14ac:dyDescent="0.25">
      <c r="B640" s="22" t="s">
        <v>662</v>
      </c>
      <c r="C640" s="4" t="s">
        <v>21</v>
      </c>
      <c r="D640" s="4">
        <v>87</v>
      </c>
      <c r="E640" s="5" t="s">
        <v>9</v>
      </c>
      <c r="F640" s="9">
        <v>45132</v>
      </c>
      <c r="G640" s="4">
        <v>125</v>
      </c>
      <c r="H640" s="23">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Row],[Duration]]&lt;=30,"10 TO 30 MINS",
     CALLS[[#This Row],[Duration]]&lt;=120,"1 TO 2 HOURS",
     TRUE,"&gt; 2 HOURS")</f>
        <v>1 TO 2 HOURS</v>
      </c>
      <c r="L640">
        <f>ROUND(CALLS[[#This Row],[Satisfaction Rating]],0)</f>
        <v>5</v>
      </c>
      <c r="M640" cm="1">
        <f t="array" ref="M640">_xlfn.IFS(CALLS[[#This Row],[DURATION BACKET]]="UNDER 10 MINS",1,
     CALLS[[#This Row],[DURATION BACKET]]="10 TO 30 MINS",2,
     CALLS[[#This Row],[DURATION BACKET]]="1 TO 2 HOURS",3,
     CALLS[[#This Row],[DURATION BACKET]]="&gt; 2 HOURS",4)</f>
        <v>3</v>
      </c>
      <c r="N640">
        <f>(CALLS[[#This Row],[Purchase Amount]]/ 1)</f>
        <v>125</v>
      </c>
    </row>
    <row r="641" spans="2:14" x14ac:dyDescent="0.25">
      <c r="B641" s="22" t="s">
        <v>663</v>
      </c>
      <c r="C641" s="4" t="s">
        <v>19</v>
      </c>
      <c r="D641" s="4">
        <v>10</v>
      </c>
      <c r="E641" s="5" t="s">
        <v>6</v>
      </c>
      <c r="F641" s="9">
        <v>45133</v>
      </c>
      <c r="G641" s="4">
        <v>72</v>
      </c>
      <c r="H641" s="23">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Row],[Duration]]&lt;=30,"10 TO 30 MINS",
     CALLS[[#This Row],[Duration]]&lt;=120,"1 TO 2 HOURS",
     TRUE,"&gt; 2 HOURS")</f>
        <v>UNDER 10 MINS</v>
      </c>
      <c r="L641">
        <f>ROUND(CALLS[[#This Row],[Satisfaction Rating]],0)</f>
        <v>4</v>
      </c>
      <c r="M641" cm="1">
        <f t="array" ref="M641">_xlfn.IFS(CALLS[[#This Row],[DURATION BACKET]]="UNDER 10 MINS",1,
     CALLS[[#This Row],[DURATION BACKET]]="10 TO 30 MINS",2,
     CALLS[[#This Row],[DURATION BACKET]]="1 TO 2 HOURS",3,
     CALLS[[#This Row],[DURATION BACKET]]="&gt; 2 HOURS",4)</f>
        <v>1</v>
      </c>
      <c r="N641">
        <f>(CALLS[[#This Row],[Purchase Amount]]/ 1)</f>
        <v>72</v>
      </c>
    </row>
    <row r="642" spans="2:14" x14ac:dyDescent="0.25">
      <c r="B642" s="22" t="s">
        <v>664</v>
      </c>
      <c r="C642" s="4" t="s">
        <v>12</v>
      </c>
      <c r="D642" s="4">
        <v>138</v>
      </c>
      <c r="E642" s="5" t="s">
        <v>6</v>
      </c>
      <c r="F642" s="9">
        <v>45133</v>
      </c>
      <c r="G642" s="4">
        <v>195</v>
      </c>
      <c r="H642" s="23">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Row],[Duration]]&lt;=30,"10 TO 30 MINS",
     CALLS[[#This Row],[Duration]]&lt;=120,"1 TO 2 HOURS",
     TRUE,"&gt; 2 HOURS")</f>
        <v>&gt; 2 HOURS</v>
      </c>
      <c r="L642">
        <f>ROUND(CALLS[[#This Row],[Satisfaction Rating]],0)</f>
        <v>4</v>
      </c>
      <c r="M642" cm="1">
        <f t="array" ref="M642">_xlfn.IFS(CALLS[[#This Row],[DURATION BACKET]]="UNDER 10 MINS",1,
     CALLS[[#This Row],[DURATION BACKET]]="10 TO 30 MINS",2,
     CALLS[[#This Row],[DURATION BACKET]]="1 TO 2 HOURS",3,
     CALLS[[#This Row],[DURATION BACKET]]="&gt; 2 HOURS",4)</f>
        <v>4</v>
      </c>
      <c r="N642">
        <f>(CALLS[[#This Row],[Purchase Amount]]/ 1)</f>
        <v>195</v>
      </c>
    </row>
    <row r="643" spans="2:14" x14ac:dyDescent="0.25">
      <c r="B643" s="22" t="s">
        <v>665</v>
      </c>
      <c r="C643" s="4" t="s">
        <v>22</v>
      </c>
      <c r="D643" s="4">
        <v>31</v>
      </c>
      <c r="E643" s="5" t="s">
        <v>6</v>
      </c>
      <c r="F643" s="9">
        <v>45134</v>
      </c>
      <c r="G643" s="4">
        <v>160</v>
      </c>
      <c r="H643" s="2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Row],[Duration]]&lt;=30,"10 TO 30 MINS",
     CALLS[[#This Row],[Duration]]&lt;=120,"1 TO 2 HOURS",
     TRUE,"&gt; 2 HOURS")</f>
        <v>1 TO 2 HOURS</v>
      </c>
      <c r="L643">
        <f>ROUND(CALLS[[#This Row],[Satisfaction Rating]],0)</f>
        <v>3</v>
      </c>
      <c r="M643" cm="1">
        <f t="array" ref="M643">_xlfn.IFS(CALLS[[#This Row],[DURATION BACKET]]="UNDER 10 MINS",1,
     CALLS[[#This Row],[DURATION BACKET]]="10 TO 30 MINS",2,
     CALLS[[#This Row],[DURATION BACKET]]="1 TO 2 HOURS",3,
     CALLS[[#This Row],[DURATION BACKET]]="&gt; 2 HOURS",4)</f>
        <v>3</v>
      </c>
      <c r="N643">
        <f>(CALLS[[#This Row],[Purchase Amount]]/ 1)</f>
        <v>160</v>
      </c>
    </row>
    <row r="644" spans="2:14" x14ac:dyDescent="0.25">
      <c r="B644" s="22" t="s">
        <v>666</v>
      </c>
      <c r="C644" s="4" t="s">
        <v>16</v>
      </c>
      <c r="D644" s="4">
        <v>75</v>
      </c>
      <c r="E644" s="5" t="s">
        <v>10</v>
      </c>
      <c r="F644" s="9">
        <v>45134</v>
      </c>
      <c r="G644" s="4">
        <v>78</v>
      </c>
      <c r="H644" s="23">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Row],[Duration]]&lt;=30,"10 TO 30 MINS",
     CALLS[[#This Row],[Duration]]&lt;=120,"1 TO 2 HOURS",
     TRUE,"&gt; 2 HOURS")</f>
        <v>1 TO 2 HOURS</v>
      </c>
      <c r="L644">
        <f>ROUND(CALLS[[#This Row],[Satisfaction Rating]],0)</f>
        <v>3</v>
      </c>
      <c r="M644" cm="1">
        <f t="array" ref="M644">_xlfn.IFS(CALLS[[#This Row],[DURATION BACKET]]="UNDER 10 MINS",1,
     CALLS[[#This Row],[DURATION BACKET]]="10 TO 30 MINS",2,
     CALLS[[#This Row],[DURATION BACKET]]="1 TO 2 HOURS",3,
     CALLS[[#This Row],[DURATION BACKET]]="&gt; 2 HOURS",4)</f>
        <v>3</v>
      </c>
      <c r="N644">
        <f>(CALLS[[#This Row],[Purchase Amount]]/ 1)</f>
        <v>78</v>
      </c>
    </row>
    <row r="645" spans="2:14" x14ac:dyDescent="0.25">
      <c r="B645" s="22" t="s">
        <v>667</v>
      </c>
      <c r="C645" s="4" t="s">
        <v>20</v>
      </c>
      <c r="D645" s="4">
        <v>65</v>
      </c>
      <c r="E645" s="5" t="s">
        <v>10</v>
      </c>
      <c r="F645" s="9">
        <v>45135</v>
      </c>
      <c r="G645" s="4">
        <v>70</v>
      </c>
      <c r="H645" s="23">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Row],[Duration]]&lt;=30,"10 TO 30 MINS",
     CALLS[[#This Row],[Duration]]&lt;=120,"1 TO 2 HOURS",
     TRUE,"&gt; 2 HOURS")</f>
        <v>1 TO 2 HOURS</v>
      </c>
      <c r="L645">
        <f>ROUND(CALLS[[#This Row],[Satisfaction Rating]],0)</f>
        <v>4</v>
      </c>
      <c r="M645" cm="1">
        <f t="array" ref="M645">_xlfn.IFS(CALLS[[#This Row],[DURATION BACKET]]="UNDER 10 MINS",1,
     CALLS[[#This Row],[DURATION BACKET]]="10 TO 30 MINS",2,
     CALLS[[#This Row],[DURATION BACKET]]="1 TO 2 HOURS",3,
     CALLS[[#This Row],[DURATION BACKET]]="&gt; 2 HOURS",4)</f>
        <v>3</v>
      </c>
      <c r="N645">
        <f>(CALLS[[#This Row],[Purchase Amount]]/ 1)</f>
        <v>70</v>
      </c>
    </row>
    <row r="646" spans="2:14" x14ac:dyDescent="0.25">
      <c r="B646" s="22" t="s">
        <v>668</v>
      </c>
      <c r="C646" s="4" t="s">
        <v>23</v>
      </c>
      <c r="D646" s="4">
        <v>106</v>
      </c>
      <c r="E646" s="5" t="s">
        <v>13</v>
      </c>
      <c r="F646" s="9">
        <v>45135</v>
      </c>
      <c r="G646" s="4">
        <v>105</v>
      </c>
      <c r="H646" s="23">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Row],[Duration]]&lt;=30,"10 TO 30 MINS",
     CALLS[[#This Row],[Duration]]&lt;=120,"1 TO 2 HOURS",
     TRUE,"&gt; 2 HOURS")</f>
        <v>1 TO 2 HOURS</v>
      </c>
      <c r="L646">
        <f>ROUND(CALLS[[#This Row],[Satisfaction Rating]],0)</f>
        <v>4</v>
      </c>
      <c r="M646" cm="1">
        <f t="array" ref="M646">_xlfn.IFS(CALLS[[#This Row],[DURATION BACKET]]="UNDER 10 MINS",1,
     CALLS[[#This Row],[DURATION BACKET]]="10 TO 30 MINS",2,
     CALLS[[#This Row],[DURATION BACKET]]="1 TO 2 HOURS",3,
     CALLS[[#This Row],[DURATION BACKET]]="&gt; 2 HOURS",4)</f>
        <v>3</v>
      </c>
      <c r="N646">
        <f>(CALLS[[#This Row],[Purchase Amount]]/ 1)</f>
        <v>105</v>
      </c>
    </row>
    <row r="647" spans="2:14" x14ac:dyDescent="0.25">
      <c r="B647" s="22" t="s">
        <v>669</v>
      </c>
      <c r="C647" s="4" t="s">
        <v>20</v>
      </c>
      <c r="D647" s="4">
        <v>107</v>
      </c>
      <c r="E647" s="5" t="s">
        <v>13</v>
      </c>
      <c r="F647" s="9">
        <v>45136</v>
      </c>
      <c r="G647" s="4">
        <v>78</v>
      </c>
      <c r="H647" s="23">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Row],[Duration]]&lt;=30,"10 TO 30 MINS",
     CALLS[[#This Row],[Duration]]&lt;=120,"1 TO 2 HOURS",
     TRUE,"&gt; 2 HOURS")</f>
        <v>1 TO 2 HOURS</v>
      </c>
      <c r="L647">
        <f>ROUND(CALLS[[#This Row],[Satisfaction Rating]],0)</f>
        <v>3</v>
      </c>
      <c r="M647" cm="1">
        <f t="array" ref="M647">_xlfn.IFS(CALLS[[#This Row],[DURATION BACKET]]="UNDER 10 MINS",1,
     CALLS[[#This Row],[DURATION BACKET]]="10 TO 30 MINS",2,
     CALLS[[#This Row],[DURATION BACKET]]="1 TO 2 HOURS",3,
     CALLS[[#This Row],[DURATION BACKET]]="&gt; 2 HOURS",4)</f>
        <v>3</v>
      </c>
      <c r="N647">
        <f>(CALLS[[#This Row],[Purchase Amount]]/ 1)</f>
        <v>78</v>
      </c>
    </row>
    <row r="648" spans="2:14" x14ac:dyDescent="0.25">
      <c r="B648" s="22" t="s">
        <v>670</v>
      </c>
      <c r="C648" s="4" t="s">
        <v>17</v>
      </c>
      <c r="D648" s="4">
        <v>78</v>
      </c>
      <c r="E648" s="5" t="s">
        <v>13</v>
      </c>
      <c r="F648" s="9">
        <v>45138</v>
      </c>
      <c r="G648" s="4">
        <v>205</v>
      </c>
      <c r="H648" s="23">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Row],[Duration]]&lt;=30,"10 TO 30 MINS",
     CALLS[[#This Row],[Duration]]&lt;=120,"1 TO 2 HOURS",
     TRUE,"&gt; 2 HOURS")</f>
        <v>1 TO 2 HOURS</v>
      </c>
      <c r="L648">
        <f>ROUND(CALLS[[#This Row],[Satisfaction Rating]],0)</f>
        <v>4</v>
      </c>
      <c r="M648" cm="1">
        <f t="array" ref="M648">_xlfn.IFS(CALLS[[#This Row],[DURATION BACKET]]="UNDER 10 MINS",1,
     CALLS[[#This Row],[DURATION BACKET]]="10 TO 30 MINS",2,
     CALLS[[#This Row],[DURATION BACKET]]="1 TO 2 HOURS",3,
     CALLS[[#This Row],[DURATION BACKET]]="&gt; 2 HOURS",4)</f>
        <v>3</v>
      </c>
      <c r="N648">
        <f>(CALLS[[#This Row],[Purchase Amount]]/ 1)</f>
        <v>205</v>
      </c>
    </row>
    <row r="649" spans="2:14" x14ac:dyDescent="0.25">
      <c r="B649" s="22" t="s">
        <v>671</v>
      </c>
      <c r="C649" s="4" t="s">
        <v>24</v>
      </c>
      <c r="D649" s="4">
        <v>122</v>
      </c>
      <c r="E649" s="5" t="s">
        <v>13</v>
      </c>
      <c r="F649" s="9">
        <v>45138</v>
      </c>
      <c r="G649" s="4">
        <v>78</v>
      </c>
      <c r="H649" s="23">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Row],[Duration]]&lt;=30,"10 TO 30 MINS",
     CALLS[[#This Row],[Duration]]&lt;=120,"1 TO 2 HOURS",
     TRUE,"&gt; 2 HOURS")</f>
        <v>&gt; 2 HOURS</v>
      </c>
      <c r="L649">
        <f>ROUND(CALLS[[#This Row],[Satisfaction Rating]],0)</f>
        <v>3</v>
      </c>
      <c r="M649" cm="1">
        <f t="array" ref="M649">_xlfn.IFS(CALLS[[#This Row],[DURATION BACKET]]="UNDER 10 MINS",1,
     CALLS[[#This Row],[DURATION BACKET]]="10 TO 30 MINS",2,
     CALLS[[#This Row],[DURATION BACKET]]="1 TO 2 HOURS",3,
     CALLS[[#This Row],[DURATION BACKET]]="&gt; 2 HOURS",4)</f>
        <v>4</v>
      </c>
      <c r="N649">
        <f>(CALLS[[#This Row],[Purchase Amount]]/ 1)</f>
        <v>78</v>
      </c>
    </row>
    <row r="650" spans="2:14" x14ac:dyDescent="0.25">
      <c r="B650" s="22" t="s">
        <v>672</v>
      </c>
      <c r="C650" s="4" t="s">
        <v>12</v>
      </c>
      <c r="D650" s="4">
        <v>58</v>
      </c>
      <c r="E650" s="5" t="s">
        <v>6</v>
      </c>
      <c r="F650" s="9">
        <v>45138</v>
      </c>
      <c r="G650" s="4">
        <v>38</v>
      </c>
      <c r="H650" s="23">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Row],[Duration]]&lt;=30,"10 TO 30 MINS",
     CALLS[[#This Row],[Duration]]&lt;=120,"1 TO 2 HOURS",
     TRUE,"&gt; 2 HOURS")</f>
        <v>1 TO 2 HOURS</v>
      </c>
      <c r="L650">
        <f>ROUND(CALLS[[#This Row],[Satisfaction Rating]],0)</f>
        <v>5</v>
      </c>
      <c r="M650" cm="1">
        <f t="array" ref="M650">_xlfn.IFS(CALLS[[#This Row],[DURATION BACKET]]="UNDER 10 MINS",1,
     CALLS[[#This Row],[DURATION BACKET]]="10 TO 30 MINS",2,
     CALLS[[#This Row],[DURATION BACKET]]="1 TO 2 HOURS",3,
     CALLS[[#This Row],[DURATION BACKET]]="&gt; 2 HOURS",4)</f>
        <v>3</v>
      </c>
      <c r="N650">
        <f>(CALLS[[#This Row],[Purchase Amount]]/ 1)</f>
        <v>38</v>
      </c>
    </row>
    <row r="651" spans="2:14" x14ac:dyDescent="0.25">
      <c r="B651" s="22" t="s">
        <v>673</v>
      </c>
      <c r="C651" s="4" t="s">
        <v>17</v>
      </c>
      <c r="D651" s="4">
        <v>33</v>
      </c>
      <c r="E651" s="5" t="s">
        <v>11</v>
      </c>
      <c r="F651" s="9">
        <v>45138</v>
      </c>
      <c r="G651" s="4">
        <v>92</v>
      </c>
      <c r="H651" s="23">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Row],[Duration]]&lt;=30,"10 TO 30 MINS",
     CALLS[[#This Row],[Duration]]&lt;=120,"1 TO 2 HOURS",
     TRUE,"&gt; 2 HOURS")</f>
        <v>1 TO 2 HOURS</v>
      </c>
      <c r="L651">
        <f>ROUND(CALLS[[#This Row],[Satisfaction Rating]],0)</f>
        <v>2</v>
      </c>
      <c r="M651" cm="1">
        <f t="array" ref="M651">_xlfn.IFS(CALLS[[#This Row],[DURATION BACKET]]="UNDER 10 MINS",1,
     CALLS[[#This Row],[DURATION BACKET]]="10 TO 30 MINS",2,
     CALLS[[#This Row],[DURATION BACKET]]="1 TO 2 HOURS",3,
     CALLS[[#This Row],[DURATION BACKET]]="&gt; 2 HOURS",4)</f>
        <v>3</v>
      </c>
      <c r="N651">
        <f>(CALLS[[#This Row],[Purchase Amount]]/ 1)</f>
        <v>92</v>
      </c>
    </row>
    <row r="652" spans="2:14" x14ac:dyDescent="0.25">
      <c r="B652" s="22" t="s">
        <v>674</v>
      </c>
      <c r="C652" s="4" t="s">
        <v>5</v>
      </c>
      <c r="D652" s="4">
        <v>164</v>
      </c>
      <c r="E652" s="5" t="s">
        <v>10</v>
      </c>
      <c r="F652" s="9">
        <v>45138</v>
      </c>
      <c r="G652" s="4">
        <v>36</v>
      </c>
      <c r="H652" s="23">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Row],[Duration]]&lt;=30,"10 TO 30 MINS",
     CALLS[[#This Row],[Duration]]&lt;=120,"1 TO 2 HOURS",
     TRUE,"&gt; 2 HOURS")</f>
        <v>&gt; 2 HOURS</v>
      </c>
      <c r="L652">
        <f>ROUND(CALLS[[#This Row],[Satisfaction Rating]],0)</f>
        <v>5</v>
      </c>
      <c r="M652" cm="1">
        <f t="array" ref="M652">_xlfn.IFS(CALLS[[#This Row],[DURATION BACKET]]="UNDER 10 MINS",1,
     CALLS[[#This Row],[DURATION BACKET]]="10 TO 30 MINS",2,
     CALLS[[#This Row],[DURATION BACKET]]="1 TO 2 HOURS",3,
     CALLS[[#This Row],[DURATION BACKET]]="&gt; 2 HOURS",4)</f>
        <v>4</v>
      </c>
      <c r="N652">
        <f>(CALLS[[#This Row],[Purchase Amount]]/ 1)</f>
        <v>36</v>
      </c>
    </row>
    <row r="653" spans="2:14" x14ac:dyDescent="0.25">
      <c r="B653" s="22" t="s">
        <v>675</v>
      </c>
      <c r="C653" s="4" t="s">
        <v>16</v>
      </c>
      <c r="D653" s="4">
        <v>163</v>
      </c>
      <c r="E653" s="5" t="s">
        <v>9</v>
      </c>
      <c r="F653" s="9">
        <v>45138</v>
      </c>
      <c r="G653" s="4">
        <v>76</v>
      </c>
      <c r="H653" s="2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Row],[Duration]]&lt;=30,"10 TO 30 MINS",
     CALLS[[#This Row],[Duration]]&lt;=120,"1 TO 2 HOURS",
     TRUE,"&gt; 2 HOURS")</f>
        <v>&gt; 2 HOURS</v>
      </c>
      <c r="L653">
        <f>ROUND(CALLS[[#This Row],[Satisfaction Rating]],0)</f>
        <v>4</v>
      </c>
      <c r="M653" cm="1">
        <f t="array" ref="M653">_xlfn.IFS(CALLS[[#This Row],[DURATION BACKET]]="UNDER 10 MINS",1,
     CALLS[[#This Row],[DURATION BACKET]]="10 TO 30 MINS",2,
     CALLS[[#This Row],[DURATION BACKET]]="1 TO 2 HOURS",3,
     CALLS[[#This Row],[DURATION BACKET]]="&gt; 2 HOURS",4)</f>
        <v>4</v>
      </c>
      <c r="N653">
        <f>(CALLS[[#This Row],[Purchase Amount]]/ 1)</f>
        <v>76</v>
      </c>
    </row>
    <row r="654" spans="2:14" x14ac:dyDescent="0.25">
      <c r="B654" s="22" t="s">
        <v>676</v>
      </c>
      <c r="C654" s="4" t="s">
        <v>15</v>
      </c>
      <c r="D654" s="4">
        <v>71</v>
      </c>
      <c r="E654" s="5" t="s">
        <v>10</v>
      </c>
      <c r="F654" s="9">
        <v>45140</v>
      </c>
      <c r="G654" s="4">
        <v>170</v>
      </c>
      <c r="H654" s="23">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Row],[Duration]]&lt;=30,"10 TO 30 MINS",
     CALLS[[#This Row],[Duration]]&lt;=120,"1 TO 2 HOURS",
     TRUE,"&gt; 2 HOURS")</f>
        <v>1 TO 2 HOURS</v>
      </c>
      <c r="L654">
        <f>ROUND(CALLS[[#This Row],[Satisfaction Rating]],0)</f>
        <v>4</v>
      </c>
      <c r="M654" cm="1">
        <f t="array" ref="M654">_xlfn.IFS(CALLS[[#This Row],[DURATION BACKET]]="UNDER 10 MINS",1,
     CALLS[[#This Row],[DURATION BACKET]]="10 TO 30 MINS",2,
     CALLS[[#This Row],[DURATION BACKET]]="1 TO 2 HOURS",3,
     CALLS[[#This Row],[DURATION BACKET]]="&gt; 2 HOURS",4)</f>
        <v>3</v>
      </c>
      <c r="N654">
        <f>(CALLS[[#This Row],[Purchase Amount]]/ 1)</f>
        <v>170</v>
      </c>
    </row>
    <row r="655" spans="2:14" x14ac:dyDescent="0.25">
      <c r="B655" s="22" t="s">
        <v>677</v>
      </c>
      <c r="C655" s="4" t="s">
        <v>17</v>
      </c>
      <c r="D655" s="4">
        <v>103</v>
      </c>
      <c r="E655" s="5" t="s">
        <v>6</v>
      </c>
      <c r="F655" s="9">
        <v>45141</v>
      </c>
      <c r="G655" s="4">
        <v>117</v>
      </c>
      <c r="H655" s="23">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Row],[Duration]]&lt;=30,"10 TO 30 MINS",
     CALLS[[#This Row],[Duration]]&lt;=120,"1 TO 2 HOURS",
     TRUE,"&gt; 2 HOURS")</f>
        <v>1 TO 2 HOURS</v>
      </c>
      <c r="L655">
        <f>ROUND(CALLS[[#This Row],[Satisfaction Rating]],0)</f>
        <v>5</v>
      </c>
      <c r="M655" cm="1">
        <f t="array" ref="M655">_xlfn.IFS(CALLS[[#This Row],[DURATION BACKET]]="UNDER 10 MINS",1,
     CALLS[[#This Row],[DURATION BACKET]]="10 TO 30 MINS",2,
     CALLS[[#This Row],[DURATION BACKET]]="1 TO 2 HOURS",3,
     CALLS[[#This Row],[DURATION BACKET]]="&gt; 2 HOURS",4)</f>
        <v>3</v>
      </c>
      <c r="N655">
        <f>(CALLS[[#This Row],[Purchase Amount]]/ 1)</f>
        <v>117</v>
      </c>
    </row>
    <row r="656" spans="2:14" x14ac:dyDescent="0.25">
      <c r="B656" s="22" t="s">
        <v>678</v>
      </c>
      <c r="C656" s="4" t="s">
        <v>7</v>
      </c>
      <c r="D656" s="4">
        <v>69</v>
      </c>
      <c r="E656" s="5" t="s">
        <v>9</v>
      </c>
      <c r="F656" s="9">
        <v>45141</v>
      </c>
      <c r="G656" s="4">
        <v>20</v>
      </c>
      <c r="H656" s="23">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Row],[Duration]]&lt;=30,"10 TO 30 MINS",
     CALLS[[#This Row],[Duration]]&lt;=120,"1 TO 2 HOURS",
     TRUE,"&gt; 2 HOURS")</f>
        <v>1 TO 2 HOURS</v>
      </c>
      <c r="L656">
        <f>ROUND(CALLS[[#This Row],[Satisfaction Rating]],0)</f>
        <v>4</v>
      </c>
      <c r="M656" cm="1">
        <f t="array" ref="M656">_xlfn.IFS(CALLS[[#This Row],[DURATION BACKET]]="UNDER 10 MINS",1,
     CALLS[[#This Row],[DURATION BACKET]]="10 TO 30 MINS",2,
     CALLS[[#This Row],[DURATION BACKET]]="1 TO 2 HOURS",3,
     CALLS[[#This Row],[DURATION BACKET]]="&gt; 2 HOURS",4)</f>
        <v>3</v>
      </c>
      <c r="N656">
        <f>(CALLS[[#This Row],[Purchase Amount]]/ 1)</f>
        <v>20</v>
      </c>
    </row>
    <row r="657" spans="2:14" x14ac:dyDescent="0.25">
      <c r="B657" s="22" t="s">
        <v>679</v>
      </c>
      <c r="C657" s="4" t="s">
        <v>16</v>
      </c>
      <c r="D657" s="4">
        <v>111</v>
      </c>
      <c r="E657" s="5" t="s">
        <v>6</v>
      </c>
      <c r="F657" s="9">
        <v>45141</v>
      </c>
      <c r="G657" s="4">
        <v>99</v>
      </c>
      <c r="H657" s="23">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Row],[Duration]]&lt;=30,"10 TO 30 MINS",
     CALLS[[#This Row],[Duration]]&lt;=120,"1 TO 2 HOURS",
     TRUE,"&gt; 2 HOURS")</f>
        <v>1 TO 2 HOURS</v>
      </c>
      <c r="L657">
        <f>ROUND(CALLS[[#This Row],[Satisfaction Rating]],0)</f>
        <v>4</v>
      </c>
      <c r="M657" cm="1">
        <f t="array" ref="M657">_xlfn.IFS(CALLS[[#This Row],[DURATION BACKET]]="UNDER 10 MINS",1,
     CALLS[[#This Row],[DURATION BACKET]]="10 TO 30 MINS",2,
     CALLS[[#This Row],[DURATION BACKET]]="1 TO 2 HOURS",3,
     CALLS[[#This Row],[DURATION BACKET]]="&gt; 2 HOURS",4)</f>
        <v>3</v>
      </c>
      <c r="N657">
        <f>(CALLS[[#This Row],[Purchase Amount]]/ 1)</f>
        <v>99</v>
      </c>
    </row>
    <row r="658" spans="2:14" x14ac:dyDescent="0.25">
      <c r="B658" s="22" t="s">
        <v>680</v>
      </c>
      <c r="C658" s="4" t="s">
        <v>18</v>
      </c>
      <c r="D658" s="4">
        <v>97</v>
      </c>
      <c r="E658" s="5" t="s">
        <v>9</v>
      </c>
      <c r="F658" s="9">
        <v>45142</v>
      </c>
      <c r="G658" s="4">
        <v>105</v>
      </c>
      <c r="H658" s="23">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Row],[Duration]]&lt;=30,"10 TO 30 MINS",
     CALLS[[#This Row],[Duration]]&lt;=120,"1 TO 2 HOURS",
     TRUE,"&gt; 2 HOURS")</f>
        <v>1 TO 2 HOURS</v>
      </c>
      <c r="L658">
        <f>ROUND(CALLS[[#This Row],[Satisfaction Rating]],0)</f>
        <v>3</v>
      </c>
      <c r="M658" cm="1">
        <f t="array" ref="M658">_xlfn.IFS(CALLS[[#This Row],[DURATION BACKET]]="UNDER 10 MINS",1,
     CALLS[[#This Row],[DURATION BACKET]]="10 TO 30 MINS",2,
     CALLS[[#This Row],[DURATION BACKET]]="1 TO 2 HOURS",3,
     CALLS[[#This Row],[DURATION BACKET]]="&gt; 2 HOURS",4)</f>
        <v>3</v>
      </c>
      <c r="N658">
        <f>(CALLS[[#This Row],[Purchase Amount]]/ 1)</f>
        <v>105</v>
      </c>
    </row>
    <row r="659" spans="2:14" x14ac:dyDescent="0.25">
      <c r="B659" s="22" t="s">
        <v>681</v>
      </c>
      <c r="C659" s="4" t="s">
        <v>14</v>
      </c>
      <c r="D659" s="4">
        <v>144</v>
      </c>
      <c r="E659" s="5" t="s">
        <v>13</v>
      </c>
      <c r="F659" s="9">
        <v>45142</v>
      </c>
      <c r="G659" s="4">
        <v>195</v>
      </c>
      <c r="H659" s="23">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Row],[Duration]]&lt;=30,"10 TO 30 MINS",
     CALLS[[#This Row],[Duration]]&lt;=120,"1 TO 2 HOURS",
     TRUE,"&gt; 2 HOURS")</f>
        <v>&gt; 2 HOURS</v>
      </c>
      <c r="L659">
        <f>ROUND(CALLS[[#This Row],[Satisfaction Rating]],0)</f>
        <v>3</v>
      </c>
      <c r="M659" cm="1">
        <f t="array" ref="M659">_xlfn.IFS(CALLS[[#This Row],[DURATION BACKET]]="UNDER 10 MINS",1,
     CALLS[[#This Row],[DURATION BACKET]]="10 TO 30 MINS",2,
     CALLS[[#This Row],[DURATION BACKET]]="1 TO 2 HOURS",3,
     CALLS[[#This Row],[DURATION BACKET]]="&gt; 2 HOURS",4)</f>
        <v>4</v>
      </c>
      <c r="N659">
        <f>(CALLS[[#This Row],[Purchase Amount]]/ 1)</f>
        <v>195</v>
      </c>
    </row>
    <row r="660" spans="2:14" x14ac:dyDescent="0.25">
      <c r="B660" s="22" t="s">
        <v>682</v>
      </c>
      <c r="C660" s="4" t="s">
        <v>23</v>
      </c>
      <c r="D660" s="4">
        <v>56</v>
      </c>
      <c r="E660" s="5" t="s">
        <v>9</v>
      </c>
      <c r="F660" s="9">
        <v>45143</v>
      </c>
      <c r="G660" s="4">
        <v>152</v>
      </c>
      <c r="H660" s="23">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Row],[Duration]]&lt;=30,"10 TO 30 MINS",
     CALLS[[#This Row],[Duration]]&lt;=120,"1 TO 2 HOURS",
     TRUE,"&gt; 2 HOURS")</f>
        <v>1 TO 2 HOURS</v>
      </c>
      <c r="L660">
        <f>ROUND(CALLS[[#This Row],[Satisfaction Rating]],0)</f>
        <v>5</v>
      </c>
      <c r="M660" cm="1">
        <f t="array" ref="M660">_xlfn.IFS(CALLS[[#This Row],[DURATION BACKET]]="UNDER 10 MINS",1,
     CALLS[[#This Row],[DURATION BACKET]]="10 TO 30 MINS",2,
     CALLS[[#This Row],[DURATION BACKET]]="1 TO 2 HOURS",3,
     CALLS[[#This Row],[DURATION BACKET]]="&gt; 2 HOURS",4)</f>
        <v>3</v>
      </c>
      <c r="N660">
        <f>(CALLS[[#This Row],[Purchase Amount]]/ 1)</f>
        <v>152</v>
      </c>
    </row>
    <row r="661" spans="2:14" x14ac:dyDescent="0.25">
      <c r="B661" s="22" t="s">
        <v>683</v>
      </c>
      <c r="C661" s="4" t="s">
        <v>14</v>
      </c>
      <c r="D661" s="4">
        <v>132</v>
      </c>
      <c r="E661" s="5" t="s">
        <v>13</v>
      </c>
      <c r="F661" s="9">
        <v>45144</v>
      </c>
      <c r="G661" s="4">
        <v>195</v>
      </c>
      <c r="H661" s="23">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Row],[Duration]]&lt;=30,"10 TO 30 MINS",
     CALLS[[#This Row],[Duration]]&lt;=120,"1 TO 2 HOURS",
     TRUE,"&gt; 2 HOURS")</f>
        <v>&gt; 2 HOURS</v>
      </c>
      <c r="L661">
        <f>ROUND(CALLS[[#This Row],[Satisfaction Rating]],0)</f>
        <v>5</v>
      </c>
      <c r="M661" cm="1">
        <f t="array" ref="M661">_xlfn.IFS(CALLS[[#This Row],[DURATION BACKET]]="UNDER 10 MINS",1,
     CALLS[[#This Row],[DURATION BACKET]]="10 TO 30 MINS",2,
     CALLS[[#This Row],[DURATION BACKET]]="1 TO 2 HOURS",3,
     CALLS[[#This Row],[DURATION BACKET]]="&gt; 2 HOURS",4)</f>
        <v>4</v>
      </c>
      <c r="N661">
        <f>(CALLS[[#This Row],[Purchase Amount]]/ 1)</f>
        <v>195</v>
      </c>
    </row>
    <row r="662" spans="2:14" x14ac:dyDescent="0.25">
      <c r="B662" s="22" t="s">
        <v>684</v>
      </c>
      <c r="C662" s="4" t="s">
        <v>15</v>
      </c>
      <c r="D662" s="4">
        <v>72</v>
      </c>
      <c r="E662" s="5" t="s">
        <v>11</v>
      </c>
      <c r="F662" s="9">
        <v>45144</v>
      </c>
      <c r="G662" s="4">
        <v>70</v>
      </c>
      <c r="H662" s="23">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Row],[Duration]]&lt;=30,"10 TO 30 MINS",
     CALLS[[#This Row],[Duration]]&lt;=120,"1 TO 2 HOURS",
     TRUE,"&gt; 2 HOURS")</f>
        <v>1 TO 2 HOURS</v>
      </c>
      <c r="L662">
        <f>ROUND(CALLS[[#This Row],[Satisfaction Rating]],0)</f>
        <v>4</v>
      </c>
      <c r="M662" cm="1">
        <f t="array" ref="M662">_xlfn.IFS(CALLS[[#This Row],[DURATION BACKET]]="UNDER 10 MINS",1,
     CALLS[[#This Row],[DURATION BACKET]]="10 TO 30 MINS",2,
     CALLS[[#This Row],[DURATION BACKET]]="1 TO 2 HOURS",3,
     CALLS[[#This Row],[DURATION BACKET]]="&gt; 2 HOURS",4)</f>
        <v>3</v>
      </c>
      <c r="N662">
        <f>(CALLS[[#This Row],[Purchase Amount]]/ 1)</f>
        <v>70</v>
      </c>
    </row>
    <row r="663" spans="2:14" x14ac:dyDescent="0.25">
      <c r="B663" s="22" t="s">
        <v>685</v>
      </c>
      <c r="C663" s="4" t="s">
        <v>16</v>
      </c>
      <c r="D663" s="4">
        <v>18</v>
      </c>
      <c r="E663" s="5" t="s">
        <v>11</v>
      </c>
      <c r="F663" s="9">
        <v>45144</v>
      </c>
      <c r="G663" s="4">
        <v>22</v>
      </c>
      <c r="H663" s="2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Row],[Duration]]&lt;=30,"10 TO 30 MINS",
     CALLS[[#This Row],[Duration]]&lt;=120,"1 TO 2 HOURS",
     TRUE,"&gt; 2 HOURS")</f>
        <v>10 TO 30 MINS</v>
      </c>
      <c r="L663">
        <f>ROUND(CALLS[[#This Row],[Satisfaction Rating]],0)</f>
        <v>4</v>
      </c>
      <c r="M663" cm="1">
        <f t="array" ref="M663">_xlfn.IFS(CALLS[[#This Row],[DURATION BACKET]]="UNDER 10 MINS",1,
     CALLS[[#This Row],[DURATION BACKET]]="10 TO 30 MINS",2,
     CALLS[[#This Row],[DURATION BACKET]]="1 TO 2 HOURS",3,
     CALLS[[#This Row],[DURATION BACKET]]="&gt; 2 HOURS",4)</f>
        <v>2</v>
      </c>
      <c r="N663">
        <f>(CALLS[[#This Row],[Purchase Amount]]/ 1)</f>
        <v>22</v>
      </c>
    </row>
    <row r="664" spans="2:14" x14ac:dyDescent="0.25">
      <c r="B664" s="22" t="s">
        <v>686</v>
      </c>
      <c r="C664" s="4" t="s">
        <v>8</v>
      </c>
      <c r="D664" s="4">
        <v>115</v>
      </c>
      <c r="E664" s="5" t="s">
        <v>6</v>
      </c>
      <c r="F664" s="9">
        <v>45145</v>
      </c>
      <c r="G664" s="4">
        <v>40</v>
      </c>
      <c r="H664" s="23">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Row],[Duration]]&lt;=30,"10 TO 30 MINS",
     CALLS[[#This Row],[Duration]]&lt;=120,"1 TO 2 HOURS",
     TRUE,"&gt; 2 HOURS")</f>
        <v>1 TO 2 HOURS</v>
      </c>
      <c r="L664">
        <f>ROUND(CALLS[[#This Row],[Satisfaction Rating]],0)</f>
        <v>3</v>
      </c>
      <c r="M664" cm="1">
        <f t="array" ref="M664">_xlfn.IFS(CALLS[[#This Row],[DURATION BACKET]]="UNDER 10 MINS",1,
     CALLS[[#This Row],[DURATION BACKET]]="10 TO 30 MINS",2,
     CALLS[[#This Row],[DURATION BACKET]]="1 TO 2 HOURS",3,
     CALLS[[#This Row],[DURATION BACKET]]="&gt; 2 HOURS",4)</f>
        <v>3</v>
      </c>
      <c r="N664">
        <f>(CALLS[[#This Row],[Purchase Amount]]/ 1)</f>
        <v>40</v>
      </c>
    </row>
    <row r="665" spans="2:14" x14ac:dyDescent="0.25">
      <c r="B665" s="22" t="s">
        <v>687</v>
      </c>
      <c r="C665" s="4" t="s">
        <v>8</v>
      </c>
      <c r="D665" s="4">
        <v>124</v>
      </c>
      <c r="E665" s="5" t="s">
        <v>9</v>
      </c>
      <c r="F665" s="9">
        <v>45146</v>
      </c>
      <c r="G665" s="4">
        <v>54</v>
      </c>
      <c r="H665" s="23">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Row],[Duration]]&lt;=30,"10 TO 30 MINS",
     CALLS[[#This Row],[Duration]]&lt;=120,"1 TO 2 HOURS",
     TRUE,"&gt; 2 HOURS")</f>
        <v>&gt; 2 HOURS</v>
      </c>
      <c r="L665">
        <f>ROUND(CALLS[[#This Row],[Satisfaction Rating]],0)</f>
        <v>4</v>
      </c>
      <c r="M665" cm="1">
        <f t="array" ref="M665">_xlfn.IFS(CALLS[[#This Row],[DURATION BACKET]]="UNDER 10 MINS",1,
     CALLS[[#This Row],[DURATION BACKET]]="10 TO 30 MINS",2,
     CALLS[[#This Row],[DURATION BACKET]]="1 TO 2 HOURS",3,
     CALLS[[#This Row],[DURATION BACKET]]="&gt; 2 HOURS",4)</f>
        <v>4</v>
      </c>
      <c r="N665">
        <f>(CALLS[[#This Row],[Purchase Amount]]/ 1)</f>
        <v>54</v>
      </c>
    </row>
    <row r="666" spans="2:14" x14ac:dyDescent="0.25">
      <c r="B666" s="22" t="s">
        <v>688</v>
      </c>
      <c r="C666" s="4" t="s">
        <v>12</v>
      </c>
      <c r="D666" s="4">
        <v>130</v>
      </c>
      <c r="E666" s="5" t="s">
        <v>9</v>
      </c>
      <c r="F666" s="9">
        <v>45146</v>
      </c>
      <c r="G666" s="4">
        <v>60</v>
      </c>
      <c r="H666" s="23">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Row],[Duration]]&lt;=30,"10 TO 30 MINS",
     CALLS[[#This Row],[Duration]]&lt;=120,"1 TO 2 HOURS",
     TRUE,"&gt; 2 HOURS")</f>
        <v>&gt; 2 HOURS</v>
      </c>
      <c r="L666">
        <f>ROUND(CALLS[[#This Row],[Satisfaction Rating]],0)</f>
        <v>3</v>
      </c>
      <c r="M666" cm="1">
        <f t="array" ref="M666">_xlfn.IFS(CALLS[[#This Row],[DURATION BACKET]]="UNDER 10 MINS",1,
     CALLS[[#This Row],[DURATION BACKET]]="10 TO 30 MINS",2,
     CALLS[[#This Row],[DURATION BACKET]]="1 TO 2 HOURS",3,
     CALLS[[#This Row],[DURATION BACKET]]="&gt; 2 HOURS",4)</f>
        <v>4</v>
      </c>
      <c r="N666">
        <f>(CALLS[[#This Row],[Purchase Amount]]/ 1)</f>
        <v>60</v>
      </c>
    </row>
    <row r="667" spans="2:14" x14ac:dyDescent="0.25">
      <c r="B667" s="22" t="s">
        <v>689</v>
      </c>
      <c r="C667" s="4" t="s">
        <v>19</v>
      </c>
      <c r="D667" s="4">
        <v>120</v>
      </c>
      <c r="E667" s="5" t="s">
        <v>10</v>
      </c>
      <c r="F667" s="9">
        <v>45148</v>
      </c>
      <c r="G667" s="4">
        <v>58</v>
      </c>
      <c r="H667" s="23">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Row],[Duration]]&lt;=30,"10 TO 30 MINS",
     CALLS[[#This Row],[Duration]]&lt;=120,"1 TO 2 HOURS",
     TRUE,"&gt; 2 HOURS")</f>
        <v>1 TO 2 HOURS</v>
      </c>
      <c r="L667">
        <f>ROUND(CALLS[[#This Row],[Satisfaction Rating]],0)</f>
        <v>5</v>
      </c>
      <c r="M667" cm="1">
        <f t="array" ref="M667">_xlfn.IFS(CALLS[[#This Row],[DURATION BACKET]]="UNDER 10 MINS",1,
     CALLS[[#This Row],[DURATION BACKET]]="10 TO 30 MINS",2,
     CALLS[[#This Row],[DURATION BACKET]]="1 TO 2 HOURS",3,
     CALLS[[#This Row],[DURATION BACKET]]="&gt; 2 HOURS",4)</f>
        <v>3</v>
      </c>
      <c r="N667">
        <f>(CALLS[[#This Row],[Purchase Amount]]/ 1)</f>
        <v>58</v>
      </c>
    </row>
    <row r="668" spans="2:14" x14ac:dyDescent="0.25">
      <c r="B668" s="22" t="s">
        <v>690</v>
      </c>
      <c r="C668" s="4" t="s">
        <v>18</v>
      </c>
      <c r="D668" s="4">
        <v>75</v>
      </c>
      <c r="E668" s="5" t="s">
        <v>6</v>
      </c>
      <c r="F668" s="9">
        <v>45148</v>
      </c>
      <c r="G668" s="4">
        <v>220</v>
      </c>
      <c r="H668" s="23">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Row],[Duration]]&lt;=30,"10 TO 30 MINS",
     CALLS[[#This Row],[Duration]]&lt;=120,"1 TO 2 HOURS",
     TRUE,"&gt; 2 HOURS")</f>
        <v>1 TO 2 HOURS</v>
      </c>
      <c r="L668">
        <f>ROUND(CALLS[[#This Row],[Satisfaction Rating]],0)</f>
        <v>5</v>
      </c>
      <c r="M668" cm="1">
        <f t="array" ref="M668">_xlfn.IFS(CALLS[[#This Row],[DURATION BACKET]]="UNDER 10 MINS",1,
     CALLS[[#This Row],[DURATION BACKET]]="10 TO 30 MINS",2,
     CALLS[[#This Row],[DURATION BACKET]]="1 TO 2 HOURS",3,
     CALLS[[#This Row],[DURATION BACKET]]="&gt; 2 HOURS",4)</f>
        <v>3</v>
      </c>
      <c r="N668">
        <f>(CALLS[[#This Row],[Purchase Amount]]/ 1)</f>
        <v>220</v>
      </c>
    </row>
    <row r="669" spans="2:14" x14ac:dyDescent="0.25">
      <c r="B669" s="22" t="s">
        <v>691</v>
      </c>
      <c r="C669" s="4" t="s">
        <v>20</v>
      </c>
      <c r="D669" s="4">
        <v>63</v>
      </c>
      <c r="E669" s="5" t="s">
        <v>6</v>
      </c>
      <c r="F669" s="9">
        <v>45148</v>
      </c>
      <c r="G669" s="4">
        <v>27</v>
      </c>
      <c r="H669" s="23">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Row],[Duration]]&lt;=30,"10 TO 30 MINS",
     CALLS[[#This Row],[Duration]]&lt;=120,"1 TO 2 HOURS",
     TRUE,"&gt; 2 HOURS")</f>
        <v>1 TO 2 HOURS</v>
      </c>
      <c r="L669">
        <f>ROUND(CALLS[[#This Row],[Satisfaction Rating]],0)</f>
        <v>4</v>
      </c>
      <c r="M669" cm="1">
        <f t="array" ref="M669">_xlfn.IFS(CALLS[[#This Row],[DURATION BACKET]]="UNDER 10 MINS",1,
     CALLS[[#This Row],[DURATION BACKET]]="10 TO 30 MINS",2,
     CALLS[[#This Row],[DURATION BACKET]]="1 TO 2 HOURS",3,
     CALLS[[#This Row],[DURATION BACKET]]="&gt; 2 HOURS",4)</f>
        <v>3</v>
      </c>
      <c r="N669">
        <f>(CALLS[[#This Row],[Purchase Amount]]/ 1)</f>
        <v>27</v>
      </c>
    </row>
    <row r="670" spans="2:14" x14ac:dyDescent="0.25">
      <c r="B670" s="22" t="s">
        <v>692</v>
      </c>
      <c r="C670" s="4" t="s">
        <v>14</v>
      </c>
      <c r="D670" s="4">
        <v>74</v>
      </c>
      <c r="E670" s="5" t="s">
        <v>6</v>
      </c>
      <c r="F670" s="9">
        <v>45150</v>
      </c>
      <c r="G670" s="4">
        <v>26</v>
      </c>
      <c r="H670" s="23">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Row],[Duration]]&lt;=30,"10 TO 30 MINS",
     CALLS[[#This Row],[Duration]]&lt;=120,"1 TO 2 HOURS",
     TRUE,"&gt; 2 HOURS")</f>
        <v>1 TO 2 HOURS</v>
      </c>
      <c r="L670">
        <f>ROUND(CALLS[[#This Row],[Satisfaction Rating]],0)</f>
        <v>4</v>
      </c>
      <c r="M670" cm="1">
        <f t="array" ref="M670">_xlfn.IFS(CALLS[[#This Row],[DURATION BACKET]]="UNDER 10 MINS",1,
     CALLS[[#This Row],[DURATION BACKET]]="10 TO 30 MINS",2,
     CALLS[[#This Row],[DURATION BACKET]]="1 TO 2 HOURS",3,
     CALLS[[#This Row],[DURATION BACKET]]="&gt; 2 HOURS",4)</f>
        <v>3</v>
      </c>
      <c r="N670">
        <f>(CALLS[[#This Row],[Purchase Amount]]/ 1)</f>
        <v>26</v>
      </c>
    </row>
    <row r="671" spans="2:14" x14ac:dyDescent="0.25">
      <c r="B671" s="22" t="s">
        <v>693</v>
      </c>
      <c r="C671" s="4" t="s">
        <v>7</v>
      </c>
      <c r="D671" s="4">
        <v>134</v>
      </c>
      <c r="E671" s="5" t="s">
        <v>13</v>
      </c>
      <c r="F671" s="9">
        <v>45151</v>
      </c>
      <c r="G671" s="4">
        <v>160</v>
      </c>
      <c r="H671" s="23">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Row],[Duration]]&lt;=30,"10 TO 30 MINS",
     CALLS[[#This Row],[Duration]]&lt;=120,"1 TO 2 HOURS",
     TRUE,"&gt; 2 HOURS")</f>
        <v>&gt; 2 HOURS</v>
      </c>
      <c r="L671">
        <f>ROUND(CALLS[[#This Row],[Satisfaction Rating]],0)</f>
        <v>5</v>
      </c>
      <c r="M671" cm="1">
        <f t="array" ref="M671">_xlfn.IFS(CALLS[[#This Row],[DURATION BACKET]]="UNDER 10 MINS",1,
     CALLS[[#This Row],[DURATION BACKET]]="10 TO 30 MINS",2,
     CALLS[[#This Row],[DURATION BACKET]]="1 TO 2 HOURS",3,
     CALLS[[#This Row],[DURATION BACKET]]="&gt; 2 HOURS",4)</f>
        <v>4</v>
      </c>
      <c r="N671">
        <f>(CALLS[[#This Row],[Purchase Amount]]/ 1)</f>
        <v>160</v>
      </c>
    </row>
    <row r="672" spans="2:14" x14ac:dyDescent="0.25">
      <c r="B672" s="22" t="s">
        <v>694</v>
      </c>
      <c r="C672" s="4" t="s">
        <v>16</v>
      </c>
      <c r="D672" s="4">
        <v>103</v>
      </c>
      <c r="E672" s="5" t="s">
        <v>9</v>
      </c>
      <c r="F672" s="9">
        <v>45151</v>
      </c>
      <c r="G672" s="4">
        <v>200</v>
      </c>
      <c r="H672" s="23">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Row],[Duration]]&lt;=30,"10 TO 30 MINS",
     CALLS[[#This Row],[Duration]]&lt;=120,"1 TO 2 HOURS",
     TRUE,"&gt; 2 HOURS")</f>
        <v>1 TO 2 HOURS</v>
      </c>
      <c r="L672">
        <f>ROUND(CALLS[[#This Row],[Satisfaction Rating]],0)</f>
        <v>5</v>
      </c>
      <c r="M672" cm="1">
        <f t="array" ref="M672">_xlfn.IFS(CALLS[[#This Row],[DURATION BACKET]]="UNDER 10 MINS",1,
     CALLS[[#This Row],[DURATION BACKET]]="10 TO 30 MINS",2,
     CALLS[[#This Row],[DURATION BACKET]]="1 TO 2 HOURS",3,
     CALLS[[#This Row],[DURATION BACKET]]="&gt; 2 HOURS",4)</f>
        <v>3</v>
      </c>
      <c r="N672">
        <f>(CALLS[[#This Row],[Purchase Amount]]/ 1)</f>
        <v>200</v>
      </c>
    </row>
    <row r="673" spans="2:14" x14ac:dyDescent="0.25">
      <c r="B673" s="22" t="s">
        <v>695</v>
      </c>
      <c r="C673" s="4" t="s">
        <v>16</v>
      </c>
      <c r="D673" s="4">
        <v>155</v>
      </c>
      <c r="E673" s="5" t="s">
        <v>10</v>
      </c>
      <c r="F673" s="9">
        <v>45154</v>
      </c>
      <c r="G673" s="4">
        <v>135</v>
      </c>
      <c r="H673" s="2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Row],[Duration]]&lt;=30,"10 TO 30 MINS",
     CALLS[[#This Row],[Duration]]&lt;=120,"1 TO 2 HOURS",
     TRUE,"&gt; 2 HOURS")</f>
        <v>&gt; 2 HOURS</v>
      </c>
      <c r="L673">
        <f>ROUND(CALLS[[#This Row],[Satisfaction Rating]],0)</f>
        <v>5</v>
      </c>
      <c r="M673" cm="1">
        <f t="array" ref="M673">_xlfn.IFS(CALLS[[#This Row],[DURATION BACKET]]="UNDER 10 MINS",1,
     CALLS[[#This Row],[DURATION BACKET]]="10 TO 30 MINS",2,
     CALLS[[#This Row],[DURATION BACKET]]="1 TO 2 HOURS",3,
     CALLS[[#This Row],[DURATION BACKET]]="&gt; 2 HOURS",4)</f>
        <v>4</v>
      </c>
      <c r="N673">
        <f>(CALLS[[#This Row],[Purchase Amount]]/ 1)</f>
        <v>135</v>
      </c>
    </row>
    <row r="674" spans="2:14" x14ac:dyDescent="0.25">
      <c r="B674" s="22" t="s">
        <v>696</v>
      </c>
      <c r="C674" s="4" t="s">
        <v>20</v>
      </c>
      <c r="D674" s="4">
        <v>128</v>
      </c>
      <c r="E674" s="5" t="s">
        <v>9</v>
      </c>
      <c r="F674" s="9">
        <v>45155</v>
      </c>
      <c r="G674" s="4">
        <v>22</v>
      </c>
      <c r="H674" s="23">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Row],[Duration]]&lt;=30,"10 TO 30 MINS",
     CALLS[[#This Row],[Duration]]&lt;=120,"1 TO 2 HOURS",
     TRUE,"&gt; 2 HOURS")</f>
        <v>&gt; 2 HOURS</v>
      </c>
      <c r="L674">
        <f>ROUND(CALLS[[#This Row],[Satisfaction Rating]],0)</f>
        <v>2</v>
      </c>
      <c r="M674" cm="1">
        <f t="array" ref="M674">_xlfn.IFS(CALLS[[#This Row],[DURATION BACKET]]="UNDER 10 MINS",1,
     CALLS[[#This Row],[DURATION BACKET]]="10 TO 30 MINS",2,
     CALLS[[#This Row],[DURATION BACKET]]="1 TO 2 HOURS",3,
     CALLS[[#This Row],[DURATION BACKET]]="&gt; 2 HOURS",4)</f>
        <v>4</v>
      </c>
      <c r="N674">
        <f>(CALLS[[#This Row],[Purchase Amount]]/ 1)</f>
        <v>22</v>
      </c>
    </row>
    <row r="675" spans="2:14" x14ac:dyDescent="0.25">
      <c r="B675" s="22" t="s">
        <v>697</v>
      </c>
      <c r="C675" s="4" t="s">
        <v>18</v>
      </c>
      <c r="D675" s="4">
        <v>89</v>
      </c>
      <c r="E675" s="5" t="s">
        <v>13</v>
      </c>
      <c r="F675" s="9">
        <v>45156</v>
      </c>
      <c r="G675" s="4">
        <v>164</v>
      </c>
      <c r="H675" s="23">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Row],[Duration]]&lt;=30,"10 TO 30 MINS",
     CALLS[[#This Row],[Duration]]&lt;=120,"1 TO 2 HOURS",
     TRUE,"&gt; 2 HOURS")</f>
        <v>1 TO 2 HOURS</v>
      </c>
      <c r="L675">
        <f>ROUND(CALLS[[#This Row],[Satisfaction Rating]],0)</f>
        <v>5</v>
      </c>
      <c r="M675" cm="1">
        <f t="array" ref="M675">_xlfn.IFS(CALLS[[#This Row],[DURATION BACKET]]="UNDER 10 MINS",1,
     CALLS[[#This Row],[DURATION BACKET]]="10 TO 30 MINS",2,
     CALLS[[#This Row],[DURATION BACKET]]="1 TO 2 HOURS",3,
     CALLS[[#This Row],[DURATION BACKET]]="&gt; 2 HOURS",4)</f>
        <v>3</v>
      </c>
      <c r="N675">
        <f>(CALLS[[#This Row],[Purchase Amount]]/ 1)</f>
        <v>164</v>
      </c>
    </row>
    <row r="676" spans="2:14" x14ac:dyDescent="0.25">
      <c r="B676" s="22" t="s">
        <v>698</v>
      </c>
      <c r="C676" s="4" t="s">
        <v>8</v>
      </c>
      <c r="D676" s="4">
        <v>81</v>
      </c>
      <c r="E676" s="5" t="s">
        <v>10</v>
      </c>
      <c r="F676" s="9">
        <v>45156</v>
      </c>
      <c r="G676" s="4">
        <v>21</v>
      </c>
      <c r="H676" s="23">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Row],[Duration]]&lt;=30,"10 TO 30 MINS",
     CALLS[[#This Row],[Duration]]&lt;=120,"1 TO 2 HOURS",
     TRUE,"&gt; 2 HOURS")</f>
        <v>1 TO 2 HOURS</v>
      </c>
      <c r="L676">
        <f>ROUND(CALLS[[#This Row],[Satisfaction Rating]],0)</f>
        <v>5</v>
      </c>
      <c r="M676" cm="1">
        <f t="array" ref="M676">_xlfn.IFS(CALLS[[#This Row],[DURATION BACKET]]="UNDER 10 MINS",1,
     CALLS[[#This Row],[DURATION BACKET]]="10 TO 30 MINS",2,
     CALLS[[#This Row],[DURATION BACKET]]="1 TO 2 HOURS",3,
     CALLS[[#This Row],[DURATION BACKET]]="&gt; 2 HOURS",4)</f>
        <v>3</v>
      </c>
      <c r="N676">
        <f>(CALLS[[#This Row],[Purchase Amount]]/ 1)</f>
        <v>21</v>
      </c>
    </row>
    <row r="677" spans="2:14" x14ac:dyDescent="0.25">
      <c r="B677" s="22" t="s">
        <v>699</v>
      </c>
      <c r="C677" s="4" t="s">
        <v>18</v>
      </c>
      <c r="D677" s="4">
        <v>66</v>
      </c>
      <c r="E677" s="5" t="s">
        <v>13</v>
      </c>
      <c r="F677" s="9">
        <v>45157</v>
      </c>
      <c r="G677" s="4">
        <v>120</v>
      </c>
      <c r="H677" s="23">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Row],[Duration]]&lt;=30,"10 TO 30 MINS",
     CALLS[[#This Row],[Duration]]&lt;=120,"1 TO 2 HOURS",
     TRUE,"&gt; 2 HOURS")</f>
        <v>1 TO 2 HOURS</v>
      </c>
      <c r="L677">
        <f>ROUND(CALLS[[#This Row],[Satisfaction Rating]],0)</f>
        <v>5</v>
      </c>
      <c r="M677" cm="1">
        <f t="array" ref="M677">_xlfn.IFS(CALLS[[#This Row],[DURATION BACKET]]="UNDER 10 MINS",1,
     CALLS[[#This Row],[DURATION BACKET]]="10 TO 30 MINS",2,
     CALLS[[#This Row],[DURATION BACKET]]="1 TO 2 HOURS",3,
     CALLS[[#This Row],[DURATION BACKET]]="&gt; 2 HOURS",4)</f>
        <v>3</v>
      </c>
      <c r="N677">
        <f>(CALLS[[#This Row],[Purchase Amount]]/ 1)</f>
        <v>120</v>
      </c>
    </row>
    <row r="678" spans="2:14" x14ac:dyDescent="0.25">
      <c r="B678" s="22" t="s">
        <v>700</v>
      </c>
      <c r="C678" s="4" t="s">
        <v>15</v>
      </c>
      <c r="D678" s="4">
        <v>61</v>
      </c>
      <c r="E678" s="5" t="s">
        <v>11</v>
      </c>
      <c r="F678" s="9">
        <v>45157</v>
      </c>
      <c r="G678" s="4">
        <v>93</v>
      </c>
      <c r="H678" s="23">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Row],[Duration]]&lt;=30,"10 TO 30 MINS",
     CALLS[[#This Row],[Duration]]&lt;=120,"1 TO 2 HOURS",
     TRUE,"&gt; 2 HOURS")</f>
        <v>1 TO 2 HOURS</v>
      </c>
      <c r="L678">
        <f>ROUND(CALLS[[#This Row],[Satisfaction Rating]],0)</f>
        <v>3</v>
      </c>
      <c r="M678" cm="1">
        <f t="array" ref="M678">_xlfn.IFS(CALLS[[#This Row],[DURATION BACKET]]="UNDER 10 MINS",1,
     CALLS[[#This Row],[DURATION BACKET]]="10 TO 30 MINS",2,
     CALLS[[#This Row],[DURATION BACKET]]="1 TO 2 HOURS",3,
     CALLS[[#This Row],[DURATION BACKET]]="&gt; 2 HOURS",4)</f>
        <v>3</v>
      </c>
      <c r="N678">
        <f>(CALLS[[#This Row],[Purchase Amount]]/ 1)</f>
        <v>93</v>
      </c>
    </row>
    <row r="679" spans="2:14" x14ac:dyDescent="0.25">
      <c r="B679" s="22" t="s">
        <v>701</v>
      </c>
      <c r="C679" s="4" t="s">
        <v>8</v>
      </c>
      <c r="D679" s="4">
        <v>128</v>
      </c>
      <c r="E679" s="5" t="s">
        <v>11</v>
      </c>
      <c r="F679" s="9">
        <v>45157</v>
      </c>
      <c r="G679" s="4">
        <v>135</v>
      </c>
      <c r="H679" s="23">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Row],[Duration]]&lt;=30,"10 TO 30 MINS",
     CALLS[[#This Row],[Duration]]&lt;=120,"1 TO 2 HOURS",
     TRUE,"&gt; 2 HOURS")</f>
        <v>&gt; 2 HOURS</v>
      </c>
      <c r="L679">
        <f>ROUND(CALLS[[#This Row],[Satisfaction Rating]],0)</f>
        <v>2</v>
      </c>
      <c r="M679" cm="1">
        <f t="array" ref="M679">_xlfn.IFS(CALLS[[#This Row],[DURATION BACKET]]="UNDER 10 MINS",1,
     CALLS[[#This Row],[DURATION BACKET]]="10 TO 30 MINS",2,
     CALLS[[#This Row],[DURATION BACKET]]="1 TO 2 HOURS",3,
     CALLS[[#This Row],[DURATION BACKET]]="&gt; 2 HOURS",4)</f>
        <v>4</v>
      </c>
      <c r="N679">
        <f>(CALLS[[#This Row],[Purchase Amount]]/ 1)</f>
        <v>135</v>
      </c>
    </row>
    <row r="680" spans="2:14" x14ac:dyDescent="0.25">
      <c r="B680" s="22" t="s">
        <v>702</v>
      </c>
      <c r="C680" s="4" t="s">
        <v>16</v>
      </c>
      <c r="D680" s="4">
        <v>30</v>
      </c>
      <c r="E680" s="5" t="s">
        <v>10</v>
      </c>
      <c r="F680" s="9">
        <v>45157</v>
      </c>
      <c r="G680" s="4">
        <v>210</v>
      </c>
      <c r="H680" s="23">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Row],[Duration]]&lt;=30,"10 TO 30 MINS",
     CALLS[[#This Row],[Duration]]&lt;=120,"1 TO 2 HOURS",
     TRUE,"&gt; 2 HOURS")</f>
        <v>10 TO 30 MINS</v>
      </c>
      <c r="L680">
        <f>ROUND(CALLS[[#This Row],[Satisfaction Rating]],0)</f>
        <v>4</v>
      </c>
      <c r="M680" cm="1">
        <f t="array" ref="M680">_xlfn.IFS(CALLS[[#This Row],[DURATION BACKET]]="UNDER 10 MINS",1,
     CALLS[[#This Row],[DURATION BACKET]]="10 TO 30 MINS",2,
     CALLS[[#This Row],[DURATION BACKET]]="1 TO 2 HOURS",3,
     CALLS[[#This Row],[DURATION BACKET]]="&gt; 2 HOURS",4)</f>
        <v>2</v>
      </c>
      <c r="N680">
        <f>(CALLS[[#This Row],[Purchase Amount]]/ 1)</f>
        <v>210</v>
      </c>
    </row>
    <row r="681" spans="2:14" x14ac:dyDescent="0.25">
      <c r="B681" s="22" t="s">
        <v>703</v>
      </c>
      <c r="C681" s="4" t="s">
        <v>5</v>
      </c>
      <c r="D681" s="4">
        <v>63</v>
      </c>
      <c r="E681" s="5" t="s">
        <v>11</v>
      </c>
      <c r="F681" s="9">
        <v>45158</v>
      </c>
      <c r="G681" s="4">
        <v>29</v>
      </c>
      <c r="H681" s="23">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Row],[Duration]]&lt;=30,"10 TO 30 MINS",
     CALLS[[#This Row],[Duration]]&lt;=120,"1 TO 2 HOURS",
     TRUE,"&gt; 2 HOURS")</f>
        <v>1 TO 2 HOURS</v>
      </c>
      <c r="L681">
        <f>ROUND(CALLS[[#This Row],[Satisfaction Rating]],0)</f>
        <v>5</v>
      </c>
      <c r="M681" cm="1">
        <f t="array" ref="M681">_xlfn.IFS(CALLS[[#This Row],[DURATION BACKET]]="UNDER 10 MINS",1,
     CALLS[[#This Row],[DURATION BACKET]]="10 TO 30 MINS",2,
     CALLS[[#This Row],[DURATION BACKET]]="1 TO 2 HOURS",3,
     CALLS[[#This Row],[DURATION BACKET]]="&gt; 2 HOURS",4)</f>
        <v>3</v>
      </c>
      <c r="N681">
        <f>(CALLS[[#This Row],[Purchase Amount]]/ 1)</f>
        <v>29</v>
      </c>
    </row>
    <row r="682" spans="2:14" x14ac:dyDescent="0.25">
      <c r="B682" s="22" t="s">
        <v>704</v>
      </c>
      <c r="C682" s="4" t="s">
        <v>24</v>
      </c>
      <c r="D682" s="4">
        <v>64</v>
      </c>
      <c r="E682" s="5" t="s">
        <v>6</v>
      </c>
      <c r="F682" s="9">
        <v>45158</v>
      </c>
      <c r="G682" s="4">
        <v>111</v>
      </c>
      <c r="H682" s="23">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Row],[Duration]]&lt;=30,"10 TO 30 MINS",
     CALLS[[#This Row],[Duration]]&lt;=120,"1 TO 2 HOURS",
     TRUE,"&gt; 2 HOURS")</f>
        <v>1 TO 2 HOURS</v>
      </c>
      <c r="L682">
        <f>ROUND(CALLS[[#This Row],[Satisfaction Rating]],0)</f>
        <v>4</v>
      </c>
      <c r="M682" cm="1">
        <f t="array" ref="M682">_xlfn.IFS(CALLS[[#This Row],[DURATION BACKET]]="UNDER 10 MINS",1,
     CALLS[[#This Row],[DURATION BACKET]]="10 TO 30 MINS",2,
     CALLS[[#This Row],[DURATION BACKET]]="1 TO 2 HOURS",3,
     CALLS[[#This Row],[DURATION BACKET]]="&gt; 2 HOURS",4)</f>
        <v>3</v>
      </c>
      <c r="N682">
        <f>(CALLS[[#This Row],[Purchase Amount]]/ 1)</f>
        <v>111</v>
      </c>
    </row>
    <row r="683" spans="2:14" x14ac:dyDescent="0.25">
      <c r="B683" s="22" t="s">
        <v>705</v>
      </c>
      <c r="C683" s="4" t="s">
        <v>21</v>
      </c>
      <c r="D683" s="4">
        <v>151</v>
      </c>
      <c r="E683" s="5" t="s">
        <v>9</v>
      </c>
      <c r="F683" s="9">
        <v>45159</v>
      </c>
      <c r="G683" s="4">
        <v>63</v>
      </c>
      <c r="H683" s="2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Row],[Duration]]&lt;=30,"10 TO 30 MINS",
     CALLS[[#This Row],[Duration]]&lt;=120,"1 TO 2 HOURS",
     TRUE,"&gt; 2 HOURS")</f>
        <v>&gt; 2 HOURS</v>
      </c>
      <c r="L683">
        <f>ROUND(CALLS[[#This Row],[Satisfaction Rating]],0)</f>
        <v>4</v>
      </c>
      <c r="M683" cm="1">
        <f t="array" ref="M683">_xlfn.IFS(CALLS[[#This Row],[DURATION BACKET]]="UNDER 10 MINS",1,
     CALLS[[#This Row],[DURATION BACKET]]="10 TO 30 MINS",2,
     CALLS[[#This Row],[DURATION BACKET]]="1 TO 2 HOURS",3,
     CALLS[[#This Row],[DURATION BACKET]]="&gt; 2 HOURS",4)</f>
        <v>4</v>
      </c>
      <c r="N683">
        <f>(CALLS[[#This Row],[Purchase Amount]]/ 1)</f>
        <v>63</v>
      </c>
    </row>
    <row r="684" spans="2:14" x14ac:dyDescent="0.25">
      <c r="B684" s="22" t="s">
        <v>706</v>
      </c>
      <c r="C684" s="4" t="s">
        <v>17</v>
      </c>
      <c r="D684" s="4">
        <v>116</v>
      </c>
      <c r="E684" s="5" t="s">
        <v>13</v>
      </c>
      <c r="F684" s="9">
        <v>45159</v>
      </c>
      <c r="G684" s="4">
        <v>44</v>
      </c>
      <c r="H684" s="23">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Row],[Duration]]&lt;=30,"10 TO 30 MINS",
     CALLS[[#This Row],[Duration]]&lt;=120,"1 TO 2 HOURS",
     TRUE,"&gt; 2 HOURS")</f>
        <v>1 TO 2 HOURS</v>
      </c>
      <c r="L684">
        <f>ROUND(CALLS[[#This Row],[Satisfaction Rating]],0)</f>
        <v>4</v>
      </c>
      <c r="M684" cm="1">
        <f t="array" ref="M684">_xlfn.IFS(CALLS[[#This Row],[DURATION BACKET]]="UNDER 10 MINS",1,
     CALLS[[#This Row],[DURATION BACKET]]="10 TO 30 MINS",2,
     CALLS[[#This Row],[DURATION BACKET]]="1 TO 2 HOURS",3,
     CALLS[[#This Row],[DURATION BACKET]]="&gt; 2 HOURS",4)</f>
        <v>3</v>
      </c>
      <c r="N684">
        <f>(CALLS[[#This Row],[Purchase Amount]]/ 1)</f>
        <v>44</v>
      </c>
    </row>
    <row r="685" spans="2:14" x14ac:dyDescent="0.25">
      <c r="B685" s="22" t="s">
        <v>707</v>
      </c>
      <c r="C685" s="4" t="s">
        <v>21</v>
      </c>
      <c r="D685" s="4">
        <v>111</v>
      </c>
      <c r="E685" s="5" t="s">
        <v>13</v>
      </c>
      <c r="F685" s="9">
        <v>45161</v>
      </c>
      <c r="G685" s="4">
        <v>120</v>
      </c>
      <c r="H685" s="23">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Row],[Duration]]&lt;=30,"10 TO 30 MINS",
     CALLS[[#This Row],[Duration]]&lt;=120,"1 TO 2 HOURS",
     TRUE,"&gt; 2 HOURS")</f>
        <v>1 TO 2 HOURS</v>
      </c>
      <c r="L685">
        <f>ROUND(CALLS[[#This Row],[Satisfaction Rating]],0)</f>
        <v>2</v>
      </c>
      <c r="M685" cm="1">
        <f t="array" ref="M685">_xlfn.IFS(CALLS[[#This Row],[DURATION BACKET]]="UNDER 10 MINS",1,
     CALLS[[#This Row],[DURATION BACKET]]="10 TO 30 MINS",2,
     CALLS[[#This Row],[DURATION BACKET]]="1 TO 2 HOURS",3,
     CALLS[[#This Row],[DURATION BACKET]]="&gt; 2 HOURS",4)</f>
        <v>3</v>
      </c>
      <c r="N685">
        <f>(CALLS[[#This Row],[Purchase Amount]]/ 1)</f>
        <v>120</v>
      </c>
    </row>
    <row r="686" spans="2:14" x14ac:dyDescent="0.25">
      <c r="B686" s="22" t="s">
        <v>708</v>
      </c>
      <c r="C686" s="4" t="s">
        <v>8</v>
      </c>
      <c r="D686" s="4">
        <v>15</v>
      </c>
      <c r="E686" s="5" t="s">
        <v>13</v>
      </c>
      <c r="F686" s="9">
        <v>45161</v>
      </c>
      <c r="G686" s="4">
        <v>120</v>
      </c>
      <c r="H686" s="23">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Row],[Duration]]&lt;=30,"10 TO 30 MINS",
     CALLS[[#This Row],[Duration]]&lt;=120,"1 TO 2 HOURS",
     TRUE,"&gt; 2 HOURS")</f>
        <v>10 TO 30 MINS</v>
      </c>
      <c r="L686">
        <f>ROUND(CALLS[[#This Row],[Satisfaction Rating]],0)</f>
        <v>4</v>
      </c>
      <c r="M686" cm="1">
        <f t="array" ref="M686">_xlfn.IFS(CALLS[[#This Row],[DURATION BACKET]]="UNDER 10 MINS",1,
     CALLS[[#This Row],[DURATION BACKET]]="10 TO 30 MINS",2,
     CALLS[[#This Row],[DURATION BACKET]]="1 TO 2 HOURS",3,
     CALLS[[#This Row],[DURATION BACKET]]="&gt; 2 HOURS",4)</f>
        <v>2</v>
      </c>
      <c r="N686">
        <f>(CALLS[[#This Row],[Purchase Amount]]/ 1)</f>
        <v>120</v>
      </c>
    </row>
    <row r="687" spans="2:14" x14ac:dyDescent="0.25">
      <c r="B687" s="22" t="s">
        <v>709</v>
      </c>
      <c r="C687" s="4" t="s">
        <v>24</v>
      </c>
      <c r="D687" s="4">
        <v>18</v>
      </c>
      <c r="E687" s="5" t="s">
        <v>9</v>
      </c>
      <c r="F687" s="9">
        <v>45162</v>
      </c>
      <c r="G687" s="4">
        <v>40</v>
      </c>
      <c r="H687" s="23">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Row],[Duration]]&lt;=30,"10 TO 30 MINS",
     CALLS[[#This Row],[Duration]]&lt;=120,"1 TO 2 HOURS",
     TRUE,"&gt; 2 HOURS")</f>
        <v>10 TO 30 MINS</v>
      </c>
      <c r="L687">
        <f>ROUND(CALLS[[#This Row],[Satisfaction Rating]],0)</f>
        <v>4</v>
      </c>
      <c r="M687" cm="1">
        <f t="array" ref="M687">_xlfn.IFS(CALLS[[#This Row],[DURATION BACKET]]="UNDER 10 MINS",1,
     CALLS[[#This Row],[DURATION BACKET]]="10 TO 30 MINS",2,
     CALLS[[#This Row],[DURATION BACKET]]="1 TO 2 HOURS",3,
     CALLS[[#This Row],[DURATION BACKET]]="&gt; 2 HOURS",4)</f>
        <v>2</v>
      </c>
      <c r="N687">
        <f>(CALLS[[#This Row],[Purchase Amount]]/ 1)</f>
        <v>40</v>
      </c>
    </row>
    <row r="688" spans="2:14" x14ac:dyDescent="0.25">
      <c r="B688" s="22" t="s">
        <v>710</v>
      </c>
      <c r="C688" s="4" t="s">
        <v>15</v>
      </c>
      <c r="D688" s="4">
        <v>146</v>
      </c>
      <c r="E688" s="5" t="s">
        <v>11</v>
      </c>
      <c r="F688" s="9">
        <v>45162</v>
      </c>
      <c r="G688" s="4">
        <v>160</v>
      </c>
      <c r="H688" s="23">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Row],[Duration]]&lt;=30,"10 TO 30 MINS",
     CALLS[[#This Row],[Duration]]&lt;=120,"1 TO 2 HOURS",
     TRUE,"&gt; 2 HOURS")</f>
        <v>&gt; 2 HOURS</v>
      </c>
      <c r="L688">
        <f>ROUND(CALLS[[#This Row],[Satisfaction Rating]],0)</f>
        <v>4</v>
      </c>
      <c r="M688" cm="1">
        <f t="array" ref="M688">_xlfn.IFS(CALLS[[#This Row],[DURATION BACKET]]="UNDER 10 MINS",1,
     CALLS[[#This Row],[DURATION BACKET]]="10 TO 30 MINS",2,
     CALLS[[#This Row],[DURATION BACKET]]="1 TO 2 HOURS",3,
     CALLS[[#This Row],[DURATION BACKET]]="&gt; 2 HOURS",4)</f>
        <v>4</v>
      </c>
      <c r="N688">
        <f>(CALLS[[#This Row],[Purchase Amount]]/ 1)</f>
        <v>160</v>
      </c>
    </row>
    <row r="689" spans="2:14" x14ac:dyDescent="0.25">
      <c r="B689" s="22" t="s">
        <v>711</v>
      </c>
      <c r="C689" s="4" t="s">
        <v>16</v>
      </c>
      <c r="D689" s="4">
        <v>73</v>
      </c>
      <c r="E689" s="5" t="s">
        <v>13</v>
      </c>
      <c r="F689" s="9">
        <v>45163</v>
      </c>
      <c r="G689" s="4">
        <v>44</v>
      </c>
      <c r="H689" s="23">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Row],[Duration]]&lt;=30,"10 TO 30 MINS",
     CALLS[[#This Row],[Duration]]&lt;=120,"1 TO 2 HOURS",
     TRUE,"&gt; 2 HOURS")</f>
        <v>1 TO 2 HOURS</v>
      </c>
      <c r="L689">
        <f>ROUND(CALLS[[#This Row],[Satisfaction Rating]],0)</f>
        <v>4</v>
      </c>
      <c r="M689" cm="1">
        <f t="array" ref="M689">_xlfn.IFS(CALLS[[#This Row],[DURATION BACKET]]="UNDER 10 MINS",1,
     CALLS[[#This Row],[DURATION BACKET]]="10 TO 30 MINS",2,
     CALLS[[#This Row],[DURATION BACKET]]="1 TO 2 HOURS",3,
     CALLS[[#This Row],[DURATION BACKET]]="&gt; 2 HOURS",4)</f>
        <v>3</v>
      </c>
      <c r="N689">
        <f>(CALLS[[#This Row],[Purchase Amount]]/ 1)</f>
        <v>44</v>
      </c>
    </row>
    <row r="690" spans="2:14" x14ac:dyDescent="0.25">
      <c r="B690" s="22" t="s">
        <v>712</v>
      </c>
      <c r="C690" s="4" t="s">
        <v>21</v>
      </c>
      <c r="D690" s="4">
        <v>108</v>
      </c>
      <c r="E690" s="5" t="s">
        <v>9</v>
      </c>
      <c r="F690" s="9">
        <v>45163</v>
      </c>
      <c r="G690" s="4">
        <v>80</v>
      </c>
      <c r="H690" s="23">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Row],[Duration]]&lt;=30,"10 TO 30 MINS",
     CALLS[[#This Row],[Duration]]&lt;=120,"1 TO 2 HOURS",
     TRUE,"&gt; 2 HOURS")</f>
        <v>1 TO 2 HOURS</v>
      </c>
      <c r="L690">
        <f>ROUND(CALLS[[#This Row],[Satisfaction Rating]],0)</f>
        <v>4</v>
      </c>
      <c r="M690" cm="1">
        <f t="array" ref="M690">_xlfn.IFS(CALLS[[#This Row],[DURATION BACKET]]="UNDER 10 MINS",1,
     CALLS[[#This Row],[DURATION BACKET]]="10 TO 30 MINS",2,
     CALLS[[#This Row],[DURATION BACKET]]="1 TO 2 HOURS",3,
     CALLS[[#This Row],[DURATION BACKET]]="&gt; 2 HOURS",4)</f>
        <v>3</v>
      </c>
      <c r="N690">
        <f>(CALLS[[#This Row],[Purchase Amount]]/ 1)</f>
        <v>80</v>
      </c>
    </row>
    <row r="691" spans="2:14" x14ac:dyDescent="0.25">
      <c r="B691" s="22" t="s">
        <v>713</v>
      </c>
      <c r="C691" s="4" t="s">
        <v>7</v>
      </c>
      <c r="D691" s="4">
        <v>52</v>
      </c>
      <c r="E691" s="5" t="s">
        <v>9</v>
      </c>
      <c r="F691" s="9">
        <v>45164</v>
      </c>
      <c r="G691" s="4">
        <v>66</v>
      </c>
      <c r="H691" s="23">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Row],[Duration]]&lt;=30,"10 TO 30 MINS",
     CALLS[[#This Row],[Duration]]&lt;=120,"1 TO 2 HOURS",
     TRUE,"&gt; 2 HOURS")</f>
        <v>1 TO 2 HOURS</v>
      </c>
      <c r="L691">
        <f>ROUND(CALLS[[#This Row],[Satisfaction Rating]],0)</f>
        <v>5</v>
      </c>
      <c r="M691" cm="1">
        <f t="array" ref="M691">_xlfn.IFS(CALLS[[#This Row],[DURATION BACKET]]="UNDER 10 MINS",1,
     CALLS[[#This Row],[DURATION BACKET]]="10 TO 30 MINS",2,
     CALLS[[#This Row],[DURATION BACKET]]="1 TO 2 HOURS",3,
     CALLS[[#This Row],[DURATION BACKET]]="&gt; 2 HOURS",4)</f>
        <v>3</v>
      </c>
      <c r="N691">
        <f>(CALLS[[#This Row],[Purchase Amount]]/ 1)</f>
        <v>66</v>
      </c>
    </row>
    <row r="692" spans="2:14" x14ac:dyDescent="0.25">
      <c r="B692" s="22" t="s">
        <v>714</v>
      </c>
      <c r="C692" s="4" t="s">
        <v>17</v>
      </c>
      <c r="D692" s="4">
        <v>165</v>
      </c>
      <c r="E692" s="5" t="s">
        <v>6</v>
      </c>
      <c r="F692" s="9">
        <v>45164</v>
      </c>
      <c r="G692" s="4">
        <v>82</v>
      </c>
      <c r="H692" s="23">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Row],[Duration]]&lt;=30,"10 TO 30 MINS",
     CALLS[[#This Row],[Duration]]&lt;=120,"1 TO 2 HOURS",
     TRUE,"&gt; 2 HOURS")</f>
        <v>&gt; 2 HOURS</v>
      </c>
      <c r="L692">
        <f>ROUND(CALLS[[#This Row],[Satisfaction Rating]],0)</f>
        <v>3</v>
      </c>
      <c r="M692" cm="1">
        <f t="array" ref="M692">_xlfn.IFS(CALLS[[#This Row],[DURATION BACKET]]="UNDER 10 MINS",1,
     CALLS[[#This Row],[DURATION BACKET]]="10 TO 30 MINS",2,
     CALLS[[#This Row],[DURATION BACKET]]="1 TO 2 HOURS",3,
     CALLS[[#This Row],[DURATION BACKET]]="&gt; 2 HOURS",4)</f>
        <v>4</v>
      </c>
      <c r="N692">
        <f>(CALLS[[#This Row],[Purchase Amount]]/ 1)</f>
        <v>82</v>
      </c>
    </row>
    <row r="693" spans="2:14" x14ac:dyDescent="0.25">
      <c r="B693" s="22" t="s">
        <v>715</v>
      </c>
      <c r="C693" s="4" t="s">
        <v>15</v>
      </c>
      <c r="D693" s="4">
        <v>104</v>
      </c>
      <c r="E693" s="5" t="s">
        <v>13</v>
      </c>
      <c r="F693" s="9">
        <v>45164</v>
      </c>
      <c r="G693" s="4">
        <v>66</v>
      </c>
      <c r="H693" s="2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Row],[Duration]]&lt;=30,"10 TO 30 MINS",
     CALLS[[#This Row],[Duration]]&lt;=120,"1 TO 2 HOURS",
     TRUE,"&gt; 2 HOURS")</f>
        <v>1 TO 2 HOURS</v>
      </c>
      <c r="L693">
        <f>ROUND(CALLS[[#This Row],[Satisfaction Rating]],0)</f>
        <v>5</v>
      </c>
      <c r="M693" cm="1">
        <f t="array" ref="M693">_xlfn.IFS(CALLS[[#This Row],[DURATION BACKET]]="UNDER 10 MINS",1,
     CALLS[[#This Row],[DURATION BACKET]]="10 TO 30 MINS",2,
     CALLS[[#This Row],[DURATION BACKET]]="1 TO 2 HOURS",3,
     CALLS[[#This Row],[DURATION BACKET]]="&gt; 2 HOURS",4)</f>
        <v>3</v>
      </c>
      <c r="N693">
        <f>(CALLS[[#This Row],[Purchase Amount]]/ 1)</f>
        <v>66</v>
      </c>
    </row>
    <row r="694" spans="2:14" x14ac:dyDescent="0.25">
      <c r="B694" s="22" t="s">
        <v>716</v>
      </c>
      <c r="C694" s="4" t="s">
        <v>16</v>
      </c>
      <c r="D694" s="4">
        <v>131</v>
      </c>
      <c r="E694" s="5" t="s">
        <v>11</v>
      </c>
      <c r="F694" s="9">
        <v>45164</v>
      </c>
      <c r="G694" s="4">
        <v>92</v>
      </c>
      <c r="H694" s="23">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Row],[Duration]]&lt;=30,"10 TO 30 MINS",
     CALLS[[#This Row],[Duration]]&lt;=120,"1 TO 2 HOURS",
     TRUE,"&gt; 2 HOURS")</f>
        <v>&gt; 2 HOURS</v>
      </c>
      <c r="L694">
        <f>ROUND(CALLS[[#This Row],[Satisfaction Rating]],0)</f>
        <v>5</v>
      </c>
      <c r="M694" cm="1">
        <f t="array" ref="M694">_xlfn.IFS(CALLS[[#This Row],[DURATION BACKET]]="UNDER 10 MINS",1,
     CALLS[[#This Row],[DURATION BACKET]]="10 TO 30 MINS",2,
     CALLS[[#This Row],[DURATION BACKET]]="1 TO 2 HOURS",3,
     CALLS[[#This Row],[DURATION BACKET]]="&gt; 2 HOURS",4)</f>
        <v>4</v>
      </c>
      <c r="N694">
        <f>(CALLS[[#This Row],[Purchase Amount]]/ 1)</f>
        <v>92</v>
      </c>
    </row>
    <row r="695" spans="2:14" x14ac:dyDescent="0.25">
      <c r="B695" s="22" t="s">
        <v>717</v>
      </c>
      <c r="C695" s="4" t="s">
        <v>19</v>
      </c>
      <c r="D695" s="4">
        <v>80</v>
      </c>
      <c r="E695" s="5" t="s">
        <v>6</v>
      </c>
      <c r="F695" s="9">
        <v>45165</v>
      </c>
      <c r="G695" s="4">
        <v>104</v>
      </c>
      <c r="H695" s="23">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Row],[Duration]]&lt;=30,"10 TO 30 MINS",
     CALLS[[#This Row],[Duration]]&lt;=120,"1 TO 2 HOURS",
     TRUE,"&gt; 2 HOURS")</f>
        <v>1 TO 2 HOURS</v>
      </c>
      <c r="L695">
        <f>ROUND(CALLS[[#This Row],[Satisfaction Rating]],0)</f>
        <v>5</v>
      </c>
      <c r="M695" cm="1">
        <f t="array" ref="M695">_xlfn.IFS(CALLS[[#This Row],[DURATION BACKET]]="UNDER 10 MINS",1,
     CALLS[[#This Row],[DURATION BACKET]]="10 TO 30 MINS",2,
     CALLS[[#This Row],[DURATION BACKET]]="1 TO 2 HOURS",3,
     CALLS[[#This Row],[DURATION BACKET]]="&gt; 2 HOURS",4)</f>
        <v>3</v>
      </c>
      <c r="N695">
        <f>(CALLS[[#This Row],[Purchase Amount]]/ 1)</f>
        <v>104</v>
      </c>
    </row>
    <row r="696" spans="2:14" x14ac:dyDescent="0.25">
      <c r="B696" s="22" t="s">
        <v>718</v>
      </c>
      <c r="C696" s="4" t="s">
        <v>8</v>
      </c>
      <c r="D696" s="4">
        <v>49</v>
      </c>
      <c r="E696" s="5" t="s">
        <v>13</v>
      </c>
      <c r="F696" s="9">
        <v>45165</v>
      </c>
      <c r="G696" s="4">
        <v>105</v>
      </c>
      <c r="H696" s="23">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Row],[Duration]]&lt;=30,"10 TO 30 MINS",
     CALLS[[#This Row],[Duration]]&lt;=120,"1 TO 2 HOURS",
     TRUE,"&gt; 2 HOURS")</f>
        <v>1 TO 2 HOURS</v>
      </c>
      <c r="L696">
        <f>ROUND(CALLS[[#This Row],[Satisfaction Rating]],0)</f>
        <v>3</v>
      </c>
      <c r="M696" cm="1">
        <f t="array" ref="M696">_xlfn.IFS(CALLS[[#This Row],[DURATION BACKET]]="UNDER 10 MINS",1,
     CALLS[[#This Row],[DURATION BACKET]]="10 TO 30 MINS",2,
     CALLS[[#This Row],[DURATION BACKET]]="1 TO 2 HOURS",3,
     CALLS[[#This Row],[DURATION BACKET]]="&gt; 2 HOURS",4)</f>
        <v>3</v>
      </c>
      <c r="N696">
        <f>(CALLS[[#This Row],[Purchase Amount]]/ 1)</f>
        <v>105</v>
      </c>
    </row>
    <row r="697" spans="2:14" x14ac:dyDescent="0.25">
      <c r="B697" s="22" t="s">
        <v>719</v>
      </c>
      <c r="C697" s="4" t="s">
        <v>17</v>
      </c>
      <c r="D697" s="4">
        <v>73</v>
      </c>
      <c r="E697" s="5" t="s">
        <v>13</v>
      </c>
      <c r="F697" s="9">
        <v>45165</v>
      </c>
      <c r="G697" s="4">
        <v>100</v>
      </c>
      <c r="H697" s="23">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Row],[Duration]]&lt;=30,"10 TO 30 MINS",
     CALLS[[#This Row],[Duration]]&lt;=120,"1 TO 2 HOURS",
     TRUE,"&gt; 2 HOURS")</f>
        <v>1 TO 2 HOURS</v>
      </c>
      <c r="L697">
        <f>ROUND(CALLS[[#This Row],[Satisfaction Rating]],0)</f>
        <v>3</v>
      </c>
      <c r="M697" cm="1">
        <f t="array" ref="M697">_xlfn.IFS(CALLS[[#This Row],[DURATION BACKET]]="UNDER 10 MINS",1,
     CALLS[[#This Row],[DURATION BACKET]]="10 TO 30 MINS",2,
     CALLS[[#This Row],[DURATION BACKET]]="1 TO 2 HOURS",3,
     CALLS[[#This Row],[DURATION BACKET]]="&gt; 2 HOURS",4)</f>
        <v>3</v>
      </c>
      <c r="N697">
        <f>(CALLS[[#This Row],[Purchase Amount]]/ 1)</f>
        <v>100</v>
      </c>
    </row>
    <row r="698" spans="2:14" x14ac:dyDescent="0.25">
      <c r="B698" s="22" t="s">
        <v>720</v>
      </c>
      <c r="C698" s="4" t="s">
        <v>15</v>
      </c>
      <c r="D698" s="4">
        <v>117</v>
      </c>
      <c r="E698" s="5" t="s">
        <v>6</v>
      </c>
      <c r="F698" s="9">
        <v>45165</v>
      </c>
      <c r="G698" s="4">
        <v>90</v>
      </c>
      <c r="H698" s="23">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Row],[Duration]]&lt;=30,"10 TO 30 MINS",
     CALLS[[#This Row],[Duration]]&lt;=120,"1 TO 2 HOURS",
     TRUE,"&gt; 2 HOURS")</f>
        <v>1 TO 2 HOURS</v>
      </c>
      <c r="L698">
        <f>ROUND(CALLS[[#This Row],[Satisfaction Rating]],0)</f>
        <v>4</v>
      </c>
      <c r="M698" cm="1">
        <f t="array" ref="M698">_xlfn.IFS(CALLS[[#This Row],[DURATION BACKET]]="UNDER 10 MINS",1,
     CALLS[[#This Row],[DURATION BACKET]]="10 TO 30 MINS",2,
     CALLS[[#This Row],[DURATION BACKET]]="1 TO 2 HOURS",3,
     CALLS[[#This Row],[DURATION BACKET]]="&gt; 2 HOURS",4)</f>
        <v>3</v>
      </c>
      <c r="N698">
        <f>(CALLS[[#This Row],[Purchase Amount]]/ 1)</f>
        <v>90</v>
      </c>
    </row>
    <row r="699" spans="2:14" x14ac:dyDescent="0.25">
      <c r="B699" s="22" t="s">
        <v>721</v>
      </c>
      <c r="C699" s="4" t="s">
        <v>23</v>
      </c>
      <c r="D699" s="4">
        <v>38</v>
      </c>
      <c r="E699" s="5" t="s">
        <v>10</v>
      </c>
      <c r="F699" s="9">
        <v>45165</v>
      </c>
      <c r="G699" s="4">
        <v>110</v>
      </c>
      <c r="H699" s="23">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Row],[Duration]]&lt;=30,"10 TO 30 MINS",
     CALLS[[#This Row],[Duration]]&lt;=120,"1 TO 2 HOURS",
     TRUE,"&gt; 2 HOURS")</f>
        <v>1 TO 2 HOURS</v>
      </c>
      <c r="L699">
        <f>ROUND(CALLS[[#This Row],[Satisfaction Rating]],0)</f>
        <v>4</v>
      </c>
      <c r="M699" cm="1">
        <f t="array" ref="M699">_xlfn.IFS(CALLS[[#This Row],[DURATION BACKET]]="UNDER 10 MINS",1,
     CALLS[[#This Row],[DURATION BACKET]]="10 TO 30 MINS",2,
     CALLS[[#This Row],[DURATION BACKET]]="1 TO 2 HOURS",3,
     CALLS[[#This Row],[DURATION BACKET]]="&gt; 2 HOURS",4)</f>
        <v>3</v>
      </c>
      <c r="N699">
        <f>(CALLS[[#This Row],[Purchase Amount]]/ 1)</f>
        <v>110</v>
      </c>
    </row>
    <row r="700" spans="2:14" x14ac:dyDescent="0.25">
      <c r="B700" s="22" t="s">
        <v>722</v>
      </c>
      <c r="C700" s="4" t="s">
        <v>7</v>
      </c>
      <c r="D700" s="4">
        <v>109</v>
      </c>
      <c r="E700" s="5" t="s">
        <v>6</v>
      </c>
      <c r="F700" s="9">
        <v>45167</v>
      </c>
      <c r="G700" s="4">
        <v>68</v>
      </c>
      <c r="H700" s="23">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Row],[Duration]]&lt;=30,"10 TO 30 MINS",
     CALLS[[#This Row],[Duration]]&lt;=120,"1 TO 2 HOURS",
     TRUE,"&gt; 2 HOURS")</f>
        <v>1 TO 2 HOURS</v>
      </c>
      <c r="L700">
        <f>ROUND(CALLS[[#This Row],[Satisfaction Rating]],0)</f>
        <v>2</v>
      </c>
      <c r="M700" cm="1">
        <f t="array" ref="M700">_xlfn.IFS(CALLS[[#This Row],[DURATION BACKET]]="UNDER 10 MINS",1,
     CALLS[[#This Row],[DURATION BACKET]]="10 TO 30 MINS",2,
     CALLS[[#This Row],[DURATION BACKET]]="1 TO 2 HOURS",3,
     CALLS[[#This Row],[DURATION BACKET]]="&gt; 2 HOURS",4)</f>
        <v>3</v>
      </c>
      <c r="N700">
        <f>(CALLS[[#This Row],[Purchase Amount]]/ 1)</f>
        <v>68</v>
      </c>
    </row>
    <row r="701" spans="2:14" x14ac:dyDescent="0.25">
      <c r="B701" s="22" t="s">
        <v>723</v>
      </c>
      <c r="C701" s="4" t="s">
        <v>8</v>
      </c>
      <c r="D701" s="4">
        <v>70</v>
      </c>
      <c r="E701" s="5" t="s">
        <v>9</v>
      </c>
      <c r="F701" s="9">
        <v>45168</v>
      </c>
      <c r="G701" s="4">
        <v>210</v>
      </c>
      <c r="H701" s="23">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Row],[Duration]]&lt;=30,"10 TO 30 MINS",
     CALLS[[#This Row],[Duration]]&lt;=120,"1 TO 2 HOURS",
     TRUE,"&gt; 2 HOURS")</f>
        <v>1 TO 2 HOURS</v>
      </c>
      <c r="L701">
        <f>ROUND(CALLS[[#This Row],[Satisfaction Rating]],0)</f>
        <v>4</v>
      </c>
      <c r="M701" cm="1">
        <f t="array" ref="M701">_xlfn.IFS(CALLS[[#This Row],[DURATION BACKET]]="UNDER 10 MINS",1,
     CALLS[[#This Row],[DURATION BACKET]]="10 TO 30 MINS",2,
     CALLS[[#This Row],[DURATION BACKET]]="1 TO 2 HOURS",3,
     CALLS[[#This Row],[DURATION BACKET]]="&gt; 2 HOURS",4)</f>
        <v>3</v>
      </c>
      <c r="N701">
        <f>(CALLS[[#This Row],[Purchase Amount]]/ 1)</f>
        <v>210</v>
      </c>
    </row>
    <row r="702" spans="2:14" x14ac:dyDescent="0.25">
      <c r="B702" s="22" t="s">
        <v>724</v>
      </c>
      <c r="C702" s="4" t="s">
        <v>12</v>
      </c>
      <c r="D702" s="4">
        <v>51</v>
      </c>
      <c r="E702" s="5" t="s">
        <v>10</v>
      </c>
      <c r="F702" s="9">
        <v>45168</v>
      </c>
      <c r="G702" s="4">
        <v>111</v>
      </c>
      <c r="H702" s="23">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Row],[Duration]]&lt;=30,"10 TO 30 MINS",
     CALLS[[#This Row],[Duration]]&lt;=120,"1 TO 2 HOURS",
     TRUE,"&gt; 2 HOURS")</f>
        <v>1 TO 2 HOURS</v>
      </c>
      <c r="L702">
        <f>ROUND(CALLS[[#This Row],[Satisfaction Rating]],0)</f>
        <v>4</v>
      </c>
      <c r="M702" cm="1">
        <f t="array" ref="M702">_xlfn.IFS(CALLS[[#This Row],[DURATION BACKET]]="UNDER 10 MINS",1,
     CALLS[[#This Row],[DURATION BACKET]]="10 TO 30 MINS",2,
     CALLS[[#This Row],[DURATION BACKET]]="1 TO 2 HOURS",3,
     CALLS[[#This Row],[DURATION BACKET]]="&gt; 2 HOURS",4)</f>
        <v>3</v>
      </c>
      <c r="N702">
        <f>(CALLS[[#This Row],[Purchase Amount]]/ 1)</f>
        <v>111</v>
      </c>
    </row>
    <row r="703" spans="2:14" x14ac:dyDescent="0.25">
      <c r="B703" s="22" t="s">
        <v>725</v>
      </c>
      <c r="C703" s="4" t="s">
        <v>12</v>
      </c>
      <c r="D703" s="4">
        <v>100</v>
      </c>
      <c r="E703" s="5" t="s">
        <v>9</v>
      </c>
      <c r="F703" s="9">
        <v>45169</v>
      </c>
      <c r="G703" s="4">
        <v>45</v>
      </c>
      <c r="H703" s="2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Row],[Duration]]&lt;=30,"10 TO 30 MINS",
     CALLS[[#This Row],[Duration]]&lt;=120,"1 TO 2 HOURS",
     TRUE,"&gt; 2 HOURS")</f>
        <v>1 TO 2 HOURS</v>
      </c>
      <c r="L703">
        <f>ROUND(CALLS[[#This Row],[Satisfaction Rating]],0)</f>
        <v>5</v>
      </c>
      <c r="M703" cm="1">
        <f t="array" ref="M703">_xlfn.IFS(CALLS[[#This Row],[DURATION BACKET]]="UNDER 10 MINS",1,
     CALLS[[#This Row],[DURATION BACKET]]="10 TO 30 MINS",2,
     CALLS[[#This Row],[DURATION BACKET]]="1 TO 2 HOURS",3,
     CALLS[[#This Row],[DURATION BACKET]]="&gt; 2 HOURS",4)</f>
        <v>3</v>
      </c>
      <c r="N703">
        <f>(CALLS[[#This Row],[Purchase Amount]]/ 1)</f>
        <v>45</v>
      </c>
    </row>
    <row r="704" spans="2:14" x14ac:dyDescent="0.25">
      <c r="B704" s="22" t="s">
        <v>726</v>
      </c>
      <c r="C704" s="4" t="s">
        <v>14</v>
      </c>
      <c r="D704" s="4">
        <v>124</v>
      </c>
      <c r="E704" s="5" t="s">
        <v>10</v>
      </c>
      <c r="F704" s="9">
        <v>45170</v>
      </c>
      <c r="G704" s="4">
        <v>132</v>
      </c>
      <c r="H704" s="23">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Row],[Duration]]&lt;=30,"10 TO 30 MINS",
     CALLS[[#This Row],[Duration]]&lt;=120,"1 TO 2 HOURS",
     TRUE,"&gt; 2 HOURS")</f>
        <v>&gt; 2 HOURS</v>
      </c>
      <c r="L704">
        <f>ROUND(CALLS[[#This Row],[Satisfaction Rating]],0)</f>
        <v>4</v>
      </c>
      <c r="M704" cm="1">
        <f t="array" ref="M704">_xlfn.IFS(CALLS[[#This Row],[DURATION BACKET]]="UNDER 10 MINS",1,
     CALLS[[#This Row],[DURATION BACKET]]="10 TO 30 MINS",2,
     CALLS[[#This Row],[DURATION BACKET]]="1 TO 2 HOURS",3,
     CALLS[[#This Row],[DURATION BACKET]]="&gt; 2 HOURS",4)</f>
        <v>4</v>
      </c>
      <c r="N704">
        <f>(CALLS[[#This Row],[Purchase Amount]]/ 1)</f>
        <v>132</v>
      </c>
    </row>
    <row r="705" spans="2:14" x14ac:dyDescent="0.25">
      <c r="B705" s="22" t="s">
        <v>727</v>
      </c>
      <c r="C705" s="4" t="s">
        <v>20</v>
      </c>
      <c r="D705" s="4">
        <v>143</v>
      </c>
      <c r="E705" s="5" t="s">
        <v>6</v>
      </c>
      <c r="F705" s="9">
        <v>45170</v>
      </c>
      <c r="G705" s="4">
        <v>20</v>
      </c>
      <c r="H705" s="23">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Row],[Duration]]&lt;=30,"10 TO 30 MINS",
     CALLS[[#This Row],[Duration]]&lt;=120,"1 TO 2 HOURS",
     TRUE,"&gt; 2 HOURS")</f>
        <v>&gt; 2 HOURS</v>
      </c>
      <c r="L705">
        <f>ROUND(CALLS[[#This Row],[Satisfaction Rating]],0)</f>
        <v>5</v>
      </c>
      <c r="M705" cm="1">
        <f t="array" ref="M705">_xlfn.IFS(CALLS[[#This Row],[DURATION BACKET]]="UNDER 10 MINS",1,
     CALLS[[#This Row],[DURATION BACKET]]="10 TO 30 MINS",2,
     CALLS[[#This Row],[DURATION BACKET]]="1 TO 2 HOURS",3,
     CALLS[[#This Row],[DURATION BACKET]]="&gt; 2 HOURS",4)</f>
        <v>4</v>
      </c>
      <c r="N705">
        <f>(CALLS[[#This Row],[Purchase Amount]]/ 1)</f>
        <v>20</v>
      </c>
    </row>
    <row r="706" spans="2:14" x14ac:dyDescent="0.25">
      <c r="B706" s="22" t="s">
        <v>728</v>
      </c>
      <c r="C706" s="4" t="s">
        <v>18</v>
      </c>
      <c r="D706" s="4">
        <v>96</v>
      </c>
      <c r="E706" s="5" t="s">
        <v>13</v>
      </c>
      <c r="F706" s="9">
        <v>45170</v>
      </c>
      <c r="G706" s="4">
        <v>36</v>
      </c>
      <c r="H706" s="23">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Row],[Duration]]&lt;=30,"10 TO 30 MINS",
     CALLS[[#This Row],[Duration]]&lt;=120,"1 TO 2 HOURS",
     TRUE,"&gt; 2 HOURS")</f>
        <v>1 TO 2 HOURS</v>
      </c>
      <c r="L706">
        <f>ROUND(CALLS[[#This Row],[Satisfaction Rating]],0)</f>
        <v>3</v>
      </c>
      <c r="M706" cm="1">
        <f t="array" ref="M706">_xlfn.IFS(CALLS[[#This Row],[DURATION BACKET]]="UNDER 10 MINS",1,
     CALLS[[#This Row],[DURATION BACKET]]="10 TO 30 MINS",2,
     CALLS[[#This Row],[DURATION BACKET]]="1 TO 2 HOURS",3,
     CALLS[[#This Row],[DURATION BACKET]]="&gt; 2 HOURS",4)</f>
        <v>3</v>
      </c>
      <c r="N706">
        <f>(CALLS[[#This Row],[Purchase Amount]]/ 1)</f>
        <v>36</v>
      </c>
    </row>
    <row r="707" spans="2:14" x14ac:dyDescent="0.25">
      <c r="B707" s="22" t="s">
        <v>729</v>
      </c>
      <c r="C707" s="4" t="s">
        <v>17</v>
      </c>
      <c r="D707" s="4">
        <v>84</v>
      </c>
      <c r="E707" s="5" t="s">
        <v>9</v>
      </c>
      <c r="F707" s="9">
        <v>45172</v>
      </c>
      <c r="G707" s="4">
        <v>72</v>
      </c>
      <c r="H707" s="23">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Row],[Duration]]&lt;=30,"10 TO 30 MINS",
     CALLS[[#This Row],[Duration]]&lt;=120,"1 TO 2 HOURS",
     TRUE,"&gt; 2 HOURS")</f>
        <v>1 TO 2 HOURS</v>
      </c>
      <c r="L707">
        <f>ROUND(CALLS[[#This Row],[Satisfaction Rating]],0)</f>
        <v>4</v>
      </c>
      <c r="M707" cm="1">
        <f t="array" ref="M707">_xlfn.IFS(CALLS[[#This Row],[DURATION BACKET]]="UNDER 10 MINS",1,
     CALLS[[#This Row],[DURATION BACKET]]="10 TO 30 MINS",2,
     CALLS[[#This Row],[DURATION BACKET]]="1 TO 2 HOURS",3,
     CALLS[[#This Row],[DURATION BACKET]]="&gt; 2 HOURS",4)</f>
        <v>3</v>
      </c>
      <c r="N707">
        <f>(CALLS[[#This Row],[Purchase Amount]]/ 1)</f>
        <v>72</v>
      </c>
    </row>
    <row r="708" spans="2:14" x14ac:dyDescent="0.25">
      <c r="B708" s="22" t="s">
        <v>730</v>
      </c>
      <c r="C708" s="4" t="s">
        <v>22</v>
      </c>
      <c r="D708" s="4">
        <v>111</v>
      </c>
      <c r="E708" s="5" t="s">
        <v>9</v>
      </c>
      <c r="F708" s="9">
        <v>45172</v>
      </c>
      <c r="G708" s="4">
        <v>63</v>
      </c>
      <c r="H708" s="23">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Row],[Duration]]&lt;=30,"10 TO 30 MINS",
     CALLS[[#This Row],[Duration]]&lt;=120,"1 TO 2 HOURS",
     TRUE,"&gt; 2 HOURS")</f>
        <v>1 TO 2 HOURS</v>
      </c>
      <c r="L708">
        <f>ROUND(CALLS[[#This Row],[Satisfaction Rating]],0)</f>
        <v>5</v>
      </c>
      <c r="M708" cm="1">
        <f t="array" ref="M708">_xlfn.IFS(CALLS[[#This Row],[DURATION BACKET]]="UNDER 10 MINS",1,
     CALLS[[#This Row],[DURATION BACKET]]="10 TO 30 MINS",2,
     CALLS[[#This Row],[DURATION BACKET]]="1 TO 2 HOURS",3,
     CALLS[[#This Row],[DURATION BACKET]]="&gt; 2 HOURS",4)</f>
        <v>3</v>
      </c>
      <c r="N708">
        <f>(CALLS[[#This Row],[Purchase Amount]]/ 1)</f>
        <v>63</v>
      </c>
    </row>
    <row r="709" spans="2:14" x14ac:dyDescent="0.25">
      <c r="B709" s="22" t="s">
        <v>731</v>
      </c>
      <c r="C709" s="4" t="s">
        <v>22</v>
      </c>
      <c r="D709" s="4">
        <v>103</v>
      </c>
      <c r="E709" s="5" t="s">
        <v>10</v>
      </c>
      <c r="F709" s="9">
        <v>45173</v>
      </c>
      <c r="G709" s="4">
        <v>44</v>
      </c>
      <c r="H709" s="23">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Row],[Duration]]&lt;=30,"10 TO 30 MINS",
     CALLS[[#This Row],[Duration]]&lt;=120,"1 TO 2 HOURS",
     TRUE,"&gt; 2 HOURS")</f>
        <v>1 TO 2 HOURS</v>
      </c>
      <c r="L709">
        <f>ROUND(CALLS[[#This Row],[Satisfaction Rating]],0)</f>
        <v>5</v>
      </c>
      <c r="M709" cm="1">
        <f t="array" ref="M709">_xlfn.IFS(CALLS[[#This Row],[DURATION BACKET]]="UNDER 10 MINS",1,
     CALLS[[#This Row],[DURATION BACKET]]="10 TO 30 MINS",2,
     CALLS[[#This Row],[DURATION BACKET]]="1 TO 2 HOURS",3,
     CALLS[[#This Row],[DURATION BACKET]]="&gt; 2 HOURS",4)</f>
        <v>3</v>
      </c>
      <c r="N709">
        <f>(CALLS[[#This Row],[Purchase Amount]]/ 1)</f>
        <v>44</v>
      </c>
    </row>
    <row r="710" spans="2:14" x14ac:dyDescent="0.25">
      <c r="B710" s="22" t="s">
        <v>732</v>
      </c>
      <c r="C710" s="4" t="s">
        <v>20</v>
      </c>
      <c r="D710" s="4">
        <v>61</v>
      </c>
      <c r="E710" s="5" t="s">
        <v>11</v>
      </c>
      <c r="F710" s="9">
        <v>45173</v>
      </c>
      <c r="G710" s="4">
        <v>132</v>
      </c>
      <c r="H710" s="23">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Row],[Duration]]&lt;=30,"10 TO 30 MINS",
     CALLS[[#This Row],[Duration]]&lt;=120,"1 TO 2 HOURS",
     TRUE,"&gt; 2 HOURS")</f>
        <v>1 TO 2 HOURS</v>
      </c>
      <c r="L710">
        <f>ROUND(CALLS[[#This Row],[Satisfaction Rating]],0)</f>
        <v>5</v>
      </c>
      <c r="M710" cm="1">
        <f t="array" ref="M710">_xlfn.IFS(CALLS[[#This Row],[DURATION BACKET]]="UNDER 10 MINS",1,
     CALLS[[#This Row],[DURATION BACKET]]="10 TO 30 MINS",2,
     CALLS[[#This Row],[DURATION BACKET]]="1 TO 2 HOURS",3,
     CALLS[[#This Row],[DURATION BACKET]]="&gt; 2 HOURS",4)</f>
        <v>3</v>
      </c>
      <c r="N710">
        <f>(CALLS[[#This Row],[Purchase Amount]]/ 1)</f>
        <v>132</v>
      </c>
    </row>
    <row r="711" spans="2:14" x14ac:dyDescent="0.25">
      <c r="B711" s="22" t="s">
        <v>733</v>
      </c>
      <c r="C711" s="4" t="s">
        <v>16</v>
      </c>
      <c r="D711" s="4">
        <v>113</v>
      </c>
      <c r="E711" s="5" t="s">
        <v>13</v>
      </c>
      <c r="F711" s="9">
        <v>45173</v>
      </c>
      <c r="G711" s="4">
        <v>46</v>
      </c>
      <c r="H711" s="23">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Row],[Duration]]&lt;=30,"10 TO 30 MINS",
     CALLS[[#This Row],[Duration]]&lt;=120,"1 TO 2 HOURS",
     TRUE,"&gt; 2 HOURS")</f>
        <v>1 TO 2 HOURS</v>
      </c>
      <c r="L711">
        <f>ROUND(CALLS[[#This Row],[Satisfaction Rating]],0)</f>
        <v>4</v>
      </c>
      <c r="M711" cm="1">
        <f t="array" ref="M711">_xlfn.IFS(CALLS[[#This Row],[DURATION BACKET]]="UNDER 10 MINS",1,
     CALLS[[#This Row],[DURATION BACKET]]="10 TO 30 MINS",2,
     CALLS[[#This Row],[DURATION BACKET]]="1 TO 2 HOURS",3,
     CALLS[[#This Row],[DURATION BACKET]]="&gt; 2 HOURS",4)</f>
        <v>3</v>
      </c>
      <c r="N711">
        <f>(CALLS[[#This Row],[Purchase Amount]]/ 1)</f>
        <v>46</v>
      </c>
    </row>
    <row r="712" spans="2:14" x14ac:dyDescent="0.25">
      <c r="B712" s="22" t="s">
        <v>734</v>
      </c>
      <c r="C712" s="4" t="s">
        <v>16</v>
      </c>
      <c r="D712" s="4">
        <v>96</v>
      </c>
      <c r="E712" s="5" t="s">
        <v>13</v>
      </c>
      <c r="F712" s="9">
        <v>45173</v>
      </c>
      <c r="G712" s="4">
        <v>96</v>
      </c>
      <c r="H712" s="23">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Row],[Duration]]&lt;=30,"10 TO 30 MINS",
     CALLS[[#This Row],[Duration]]&lt;=120,"1 TO 2 HOURS",
     TRUE,"&gt; 2 HOURS")</f>
        <v>1 TO 2 HOURS</v>
      </c>
      <c r="L712">
        <f>ROUND(CALLS[[#This Row],[Satisfaction Rating]],0)</f>
        <v>3</v>
      </c>
      <c r="M712" cm="1">
        <f t="array" ref="M712">_xlfn.IFS(CALLS[[#This Row],[DURATION BACKET]]="UNDER 10 MINS",1,
     CALLS[[#This Row],[DURATION BACKET]]="10 TO 30 MINS",2,
     CALLS[[#This Row],[DURATION BACKET]]="1 TO 2 HOURS",3,
     CALLS[[#This Row],[DURATION BACKET]]="&gt; 2 HOURS",4)</f>
        <v>3</v>
      </c>
      <c r="N712">
        <f>(CALLS[[#This Row],[Purchase Amount]]/ 1)</f>
        <v>96</v>
      </c>
    </row>
    <row r="713" spans="2:14" x14ac:dyDescent="0.25">
      <c r="B713" s="22" t="s">
        <v>735</v>
      </c>
      <c r="C713" s="4" t="s">
        <v>24</v>
      </c>
      <c r="D713" s="4">
        <v>131</v>
      </c>
      <c r="E713" s="5" t="s">
        <v>10</v>
      </c>
      <c r="F713" s="9">
        <v>45174</v>
      </c>
      <c r="G713" s="4">
        <v>75</v>
      </c>
      <c r="H713" s="2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Row],[Duration]]&lt;=30,"10 TO 30 MINS",
     CALLS[[#This Row],[Duration]]&lt;=120,"1 TO 2 HOURS",
     TRUE,"&gt; 2 HOURS")</f>
        <v>&gt; 2 HOURS</v>
      </c>
      <c r="L713">
        <f>ROUND(CALLS[[#This Row],[Satisfaction Rating]],0)</f>
        <v>4</v>
      </c>
      <c r="M713" cm="1">
        <f t="array" ref="M713">_xlfn.IFS(CALLS[[#This Row],[DURATION BACKET]]="UNDER 10 MINS",1,
     CALLS[[#This Row],[DURATION BACKET]]="10 TO 30 MINS",2,
     CALLS[[#This Row],[DURATION BACKET]]="1 TO 2 HOURS",3,
     CALLS[[#This Row],[DURATION BACKET]]="&gt; 2 HOURS",4)</f>
        <v>4</v>
      </c>
      <c r="N713">
        <f>(CALLS[[#This Row],[Purchase Amount]]/ 1)</f>
        <v>75</v>
      </c>
    </row>
    <row r="714" spans="2:14" x14ac:dyDescent="0.25">
      <c r="B714" s="22" t="s">
        <v>736</v>
      </c>
      <c r="C714" s="4" t="s">
        <v>15</v>
      </c>
      <c r="D714" s="4">
        <v>52</v>
      </c>
      <c r="E714" s="5" t="s">
        <v>13</v>
      </c>
      <c r="F714" s="9">
        <v>45175</v>
      </c>
      <c r="G714" s="4">
        <v>88</v>
      </c>
      <c r="H714" s="23">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Row],[Duration]]&lt;=30,"10 TO 30 MINS",
     CALLS[[#This Row],[Duration]]&lt;=120,"1 TO 2 HOURS",
     TRUE,"&gt; 2 HOURS")</f>
        <v>1 TO 2 HOURS</v>
      </c>
      <c r="L714">
        <f>ROUND(CALLS[[#This Row],[Satisfaction Rating]],0)</f>
        <v>4</v>
      </c>
      <c r="M714" cm="1">
        <f t="array" ref="M714">_xlfn.IFS(CALLS[[#This Row],[DURATION BACKET]]="UNDER 10 MINS",1,
     CALLS[[#This Row],[DURATION BACKET]]="10 TO 30 MINS",2,
     CALLS[[#This Row],[DURATION BACKET]]="1 TO 2 HOURS",3,
     CALLS[[#This Row],[DURATION BACKET]]="&gt; 2 HOURS",4)</f>
        <v>3</v>
      </c>
      <c r="N714">
        <f>(CALLS[[#This Row],[Purchase Amount]]/ 1)</f>
        <v>88</v>
      </c>
    </row>
    <row r="715" spans="2:14" x14ac:dyDescent="0.25">
      <c r="B715" s="22" t="s">
        <v>737</v>
      </c>
      <c r="C715" s="4" t="s">
        <v>12</v>
      </c>
      <c r="D715" s="4">
        <v>100</v>
      </c>
      <c r="E715" s="5" t="s">
        <v>10</v>
      </c>
      <c r="F715" s="9">
        <v>45175</v>
      </c>
      <c r="G715" s="4">
        <v>24</v>
      </c>
      <c r="H715" s="23">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Row],[Duration]]&lt;=30,"10 TO 30 MINS",
     CALLS[[#This Row],[Duration]]&lt;=120,"1 TO 2 HOURS",
     TRUE,"&gt; 2 HOURS")</f>
        <v>1 TO 2 HOURS</v>
      </c>
      <c r="L715">
        <f>ROUND(CALLS[[#This Row],[Satisfaction Rating]],0)</f>
        <v>5</v>
      </c>
      <c r="M715" cm="1">
        <f t="array" ref="M715">_xlfn.IFS(CALLS[[#This Row],[DURATION BACKET]]="UNDER 10 MINS",1,
     CALLS[[#This Row],[DURATION BACKET]]="10 TO 30 MINS",2,
     CALLS[[#This Row],[DURATION BACKET]]="1 TO 2 HOURS",3,
     CALLS[[#This Row],[DURATION BACKET]]="&gt; 2 HOURS",4)</f>
        <v>3</v>
      </c>
      <c r="N715">
        <f>(CALLS[[#This Row],[Purchase Amount]]/ 1)</f>
        <v>24</v>
      </c>
    </row>
    <row r="716" spans="2:14" x14ac:dyDescent="0.25">
      <c r="B716" s="22" t="s">
        <v>738</v>
      </c>
      <c r="C716" s="4" t="s">
        <v>21</v>
      </c>
      <c r="D716" s="4">
        <v>58</v>
      </c>
      <c r="E716" s="5" t="s">
        <v>6</v>
      </c>
      <c r="F716" s="9">
        <v>45175</v>
      </c>
      <c r="G716" s="4">
        <v>96</v>
      </c>
      <c r="H716" s="23">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Row],[Duration]]&lt;=30,"10 TO 30 MINS",
     CALLS[[#This Row],[Duration]]&lt;=120,"1 TO 2 HOURS",
     TRUE,"&gt; 2 HOURS")</f>
        <v>1 TO 2 HOURS</v>
      </c>
      <c r="L716">
        <f>ROUND(CALLS[[#This Row],[Satisfaction Rating]],0)</f>
        <v>3</v>
      </c>
      <c r="M716" cm="1">
        <f t="array" ref="M716">_xlfn.IFS(CALLS[[#This Row],[DURATION BACKET]]="UNDER 10 MINS",1,
     CALLS[[#This Row],[DURATION BACKET]]="10 TO 30 MINS",2,
     CALLS[[#This Row],[DURATION BACKET]]="1 TO 2 HOURS",3,
     CALLS[[#This Row],[DURATION BACKET]]="&gt; 2 HOURS",4)</f>
        <v>3</v>
      </c>
      <c r="N716">
        <f>(CALLS[[#This Row],[Purchase Amount]]/ 1)</f>
        <v>96</v>
      </c>
    </row>
    <row r="717" spans="2:14" x14ac:dyDescent="0.25">
      <c r="B717" s="22" t="s">
        <v>739</v>
      </c>
      <c r="C717" s="4" t="s">
        <v>8</v>
      </c>
      <c r="D717" s="4">
        <v>144</v>
      </c>
      <c r="E717" s="5" t="s">
        <v>6</v>
      </c>
      <c r="F717" s="9">
        <v>45176</v>
      </c>
      <c r="G717" s="4">
        <v>124</v>
      </c>
      <c r="H717" s="23">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Row],[Duration]]&lt;=30,"10 TO 30 MINS",
     CALLS[[#This Row],[Duration]]&lt;=120,"1 TO 2 HOURS",
     TRUE,"&gt; 2 HOURS")</f>
        <v>&gt; 2 HOURS</v>
      </c>
      <c r="L717">
        <f>ROUND(CALLS[[#This Row],[Satisfaction Rating]],0)</f>
        <v>2</v>
      </c>
      <c r="M717" cm="1">
        <f t="array" ref="M717">_xlfn.IFS(CALLS[[#This Row],[DURATION BACKET]]="UNDER 10 MINS",1,
     CALLS[[#This Row],[DURATION BACKET]]="10 TO 30 MINS",2,
     CALLS[[#This Row],[DURATION BACKET]]="1 TO 2 HOURS",3,
     CALLS[[#This Row],[DURATION BACKET]]="&gt; 2 HOURS",4)</f>
        <v>4</v>
      </c>
      <c r="N717">
        <f>(CALLS[[#This Row],[Purchase Amount]]/ 1)</f>
        <v>124</v>
      </c>
    </row>
    <row r="718" spans="2:14" x14ac:dyDescent="0.25">
      <c r="B718" s="22" t="s">
        <v>740</v>
      </c>
      <c r="C718" s="4" t="s">
        <v>21</v>
      </c>
      <c r="D718" s="4">
        <v>53</v>
      </c>
      <c r="E718" s="5" t="s">
        <v>11</v>
      </c>
      <c r="F718" s="9">
        <v>45177</v>
      </c>
      <c r="G718" s="4">
        <v>130</v>
      </c>
      <c r="H718" s="23">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Row],[Duration]]&lt;=30,"10 TO 30 MINS",
     CALLS[[#This Row],[Duration]]&lt;=120,"1 TO 2 HOURS",
     TRUE,"&gt; 2 HOURS")</f>
        <v>1 TO 2 HOURS</v>
      </c>
      <c r="L718">
        <f>ROUND(CALLS[[#This Row],[Satisfaction Rating]],0)</f>
        <v>4</v>
      </c>
      <c r="M718" cm="1">
        <f t="array" ref="M718">_xlfn.IFS(CALLS[[#This Row],[DURATION BACKET]]="UNDER 10 MINS",1,
     CALLS[[#This Row],[DURATION BACKET]]="10 TO 30 MINS",2,
     CALLS[[#This Row],[DURATION BACKET]]="1 TO 2 HOURS",3,
     CALLS[[#This Row],[DURATION BACKET]]="&gt; 2 HOURS",4)</f>
        <v>3</v>
      </c>
      <c r="N718">
        <f>(CALLS[[#This Row],[Purchase Amount]]/ 1)</f>
        <v>130</v>
      </c>
    </row>
    <row r="719" spans="2:14" x14ac:dyDescent="0.25">
      <c r="B719" s="22" t="s">
        <v>741</v>
      </c>
      <c r="C719" s="4" t="s">
        <v>16</v>
      </c>
      <c r="D719" s="4">
        <v>97</v>
      </c>
      <c r="E719" s="5" t="s">
        <v>9</v>
      </c>
      <c r="F719" s="9">
        <v>45177</v>
      </c>
      <c r="G719" s="4">
        <v>45</v>
      </c>
      <c r="H719" s="23">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Row],[Duration]]&lt;=30,"10 TO 30 MINS",
     CALLS[[#This Row],[Duration]]&lt;=120,"1 TO 2 HOURS",
     TRUE,"&gt; 2 HOURS")</f>
        <v>1 TO 2 HOURS</v>
      </c>
      <c r="L719">
        <f>ROUND(CALLS[[#This Row],[Satisfaction Rating]],0)</f>
        <v>5</v>
      </c>
      <c r="M719" cm="1">
        <f t="array" ref="M719">_xlfn.IFS(CALLS[[#This Row],[DURATION BACKET]]="UNDER 10 MINS",1,
     CALLS[[#This Row],[DURATION BACKET]]="10 TO 30 MINS",2,
     CALLS[[#This Row],[DURATION BACKET]]="1 TO 2 HOURS",3,
     CALLS[[#This Row],[DURATION BACKET]]="&gt; 2 HOURS",4)</f>
        <v>3</v>
      </c>
      <c r="N719">
        <f>(CALLS[[#This Row],[Purchase Amount]]/ 1)</f>
        <v>45</v>
      </c>
    </row>
    <row r="720" spans="2:14" x14ac:dyDescent="0.25">
      <c r="B720" s="22" t="s">
        <v>742</v>
      </c>
      <c r="C720" s="4" t="s">
        <v>23</v>
      </c>
      <c r="D720" s="4">
        <v>64</v>
      </c>
      <c r="E720" s="5" t="s">
        <v>6</v>
      </c>
      <c r="F720" s="9">
        <v>45177</v>
      </c>
      <c r="G720" s="4">
        <v>66</v>
      </c>
      <c r="H720" s="23">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Row],[Duration]]&lt;=30,"10 TO 30 MINS",
     CALLS[[#This Row],[Duration]]&lt;=120,"1 TO 2 HOURS",
     TRUE,"&gt; 2 HOURS")</f>
        <v>1 TO 2 HOURS</v>
      </c>
      <c r="L720">
        <f>ROUND(CALLS[[#This Row],[Satisfaction Rating]],0)</f>
        <v>4</v>
      </c>
      <c r="M720" cm="1">
        <f t="array" ref="M720">_xlfn.IFS(CALLS[[#This Row],[DURATION BACKET]]="UNDER 10 MINS",1,
     CALLS[[#This Row],[DURATION BACKET]]="10 TO 30 MINS",2,
     CALLS[[#This Row],[DURATION BACKET]]="1 TO 2 HOURS",3,
     CALLS[[#This Row],[DURATION BACKET]]="&gt; 2 HOURS",4)</f>
        <v>3</v>
      </c>
      <c r="N720">
        <f>(CALLS[[#This Row],[Purchase Amount]]/ 1)</f>
        <v>66</v>
      </c>
    </row>
    <row r="721" spans="2:14" x14ac:dyDescent="0.25">
      <c r="B721" s="22" t="s">
        <v>743</v>
      </c>
      <c r="C721" s="4" t="s">
        <v>20</v>
      </c>
      <c r="D721" s="4">
        <v>106</v>
      </c>
      <c r="E721" s="5" t="s">
        <v>10</v>
      </c>
      <c r="F721" s="9">
        <v>45177</v>
      </c>
      <c r="G721" s="4">
        <v>58</v>
      </c>
      <c r="H721" s="23">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Row],[Duration]]&lt;=30,"10 TO 30 MINS",
     CALLS[[#This Row],[Duration]]&lt;=120,"1 TO 2 HOURS",
     TRUE,"&gt; 2 HOURS")</f>
        <v>1 TO 2 HOURS</v>
      </c>
      <c r="L721">
        <f>ROUND(CALLS[[#This Row],[Satisfaction Rating]],0)</f>
        <v>5</v>
      </c>
      <c r="M721" cm="1">
        <f t="array" ref="M721">_xlfn.IFS(CALLS[[#This Row],[DURATION BACKET]]="UNDER 10 MINS",1,
     CALLS[[#This Row],[DURATION BACKET]]="10 TO 30 MINS",2,
     CALLS[[#This Row],[DURATION BACKET]]="1 TO 2 HOURS",3,
     CALLS[[#This Row],[DURATION BACKET]]="&gt; 2 HOURS",4)</f>
        <v>3</v>
      </c>
      <c r="N721">
        <f>(CALLS[[#This Row],[Purchase Amount]]/ 1)</f>
        <v>58</v>
      </c>
    </row>
    <row r="722" spans="2:14" x14ac:dyDescent="0.25">
      <c r="B722" s="22" t="s">
        <v>744</v>
      </c>
      <c r="C722" s="4" t="s">
        <v>17</v>
      </c>
      <c r="D722" s="4">
        <v>36</v>
      </c>
      <c r="E722" s="5" t="s">
        <v>6</v>
      </c>
      <c r="F722" s="9">
        <v>45178</v>
      </c>
      <c r="G722" s="4">
        <v>152</v>
      </c>
      <c r="H722" s="23">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Row],[Duration]]&lt;=30,"10 TO 30 MINS",
     CALLS[[#This Row],[Duration]]&lt;=120,"1 TO 2 HOURS",
     TRUE,"&gt; 2 HOURS")</f>
        <v>1 TO 2 HOURS</v>
      </c>
      <c r="L722">
        <f>ROUND(CALLS[[#This Row],[Satisfaction Rating]],0)</f>
        <v>4</v>
      </c>
      <c r="M722" cm="1">
        <f t="array" ref="M722">_xlfn.IFS(CALLS[[#This Row],[DURATION BACKET]]="UNDER 10 MINS",1,
     CALLS[[#This Row],[DURATION BACKET]]="10 TO 30 MINS",2,
     CALLS[[#This Row],[DURATION BACKET]]="1 TO 2 HOURS",3,
     CALLS[[#This Row],[DURATION BACKET]]="&gt; 2 HOURS",4)</f>
        <v>3</v>
      </c>
      <c r="N722">
        <f>(CALLS[[#This Row],[Purchase Amount]]/ 1)</f>
        <v>152</v>
      </c>
    </row>
    <row r="723" spans="2:14" x14ac:dyDescent="0.25">
      <c r="B723" s="22" t="s">
        <v>745</v>
      </c>
      <c r="C723" s="4" t="s">
        <v>8</v>
      </c>
      <c r="D723" s="4">
        <v>74</v>
      </c>
      <c r="E723" s="5" t="s">
        <v>13</v>
      </c>
      <c r="F723" s="9">
        <v>45178</v>
      </c>
      <c r="G723" s="4">
        <v>75</v>
      </c>
      <c r="H723" s="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Row],[Duration]]&lt;=30,"10 TO 30 MINS",
     CALLS[[#This Row],[Duration]]&lt;=120,"1 TO 2 HOURS",
     TRUE,"&gt; 2 HOURS")</f>
        <v>1 TO 2 HOURS</v>
      </c>
      <c r="L723">
        <f>ROUND(CALLS[[#This Row],[Satisfaction Rating]],0)</f>
        <v>3</v>
      </c>
      <c r="M723" cm="1">
        <f t="array" ref="M723">_xlfn.IFS(CALLS[[#This Row],[DURATION BACKET]]="UNDER 10 MINS",1,
     CALLS[[#This Row],[DURATION BACKET]]="10 TO 30 MINS",2,
     CALLS[[#This Row],[DURATION BACKET]]="1 TO 2 HOURS",3,
     CALLS[[#This Row],[DURATION BACKET]]="&gt; 2 HOURS",4)</f>
        <v>3</v>
      </c>
      <c r="N723">
        <f>(CALLS[[#This Row],[Purchase Amount]]/ 1)</f>
        <v>75</v>
      </c>
    </row>
    <row r="724" spans="2:14" x14ac:dyDescent="0.25">
      <c r="B724" s="22" t="s">
        <v>746</v>
      </c>
      <c r="C724" s="4" t="s">
        <v>7</v>
      </c>
      <c r="D724" s="4">
        <v>143</v>
      </c>
      <c r="E724" s="5" t="s">
        <v>9</v>
      </c>
      <c r="F724" s="9">
        <v>45178</v>
      </c>
      <c r="G724" s="4">
        <v>78</v>
      </c>
      <c r="H724" s="23">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Row],[Duration]]&lt;=30,"10 TO 30 MINS",
     CALLS[[#This Row],[Duration]]&lt;=120,"1 TO 2 HOURS",
     TRUE,"&gt; 2 HOURS")</f>
        <v>&gt; 2 HOURS</v>
      </c>
      <c r="L724">
        <f>ROUND(CALLS[[#This Row],[Satisfaction Rating]],0)</f>
        <v>4</v>
      </c>
      <c r="M724" cm="1">
        <f t="array" ref="M724">_xlfn.IFS(CALLS[[#This Row],[DURATION BACKET]]="UNDER 10 MINS",1,
     CALLS[[#This Row],[DURATION BACKET]]="10 TO 30 MINS",2,
     CALLS[[#This Row],[DURATION BACKET]]="1 TO 2 HOURS",3,
     CALLS[[#This Row],[DURATION BACKET]]="&gt; 2 HOURS",4)</f>
        <v>4</v>
      </c>
      <c r="N724">
        <f>(CALLS[[#This Row],[Purchase Amount]]/ 1)</f>
        <v>78</v>
      </c>
    </row>
    <row r="725" spans="2:14" x14ac:dyDescent="0.25">
      <c r="B725" s="22" t="s">
        <v>747</v>
      </c>
      <c r="C725" s="4" t="s">
        <v>20</v>
      </c>
      <c r="D725" s="4">
        <v>94</v>
      </c>
      <c r="E725" s="5" t="s">
        <v>11</v>
      </c>
      <c r="F725" s="9">
        <v>45178</v>
      </c>
      <c r="G725" s="4">
        <v>69</v>
      </c>
      <c r="H725" s="23">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Row],[Duration]]&lt;=30,"10 TO 30 MINS",
     CALLS[[#This Row],[Duration]]&lt;=120,"1 TO 2 HOURS",
     TRUE,"&gt; 2 HOURS")</f>
        <v>1 TO 2 HOURS</v>
      </c>
      <c r="L725">
        <f>ROUND(CALLS[[#This Row],[Satisfaction Rating]],0)</f>
        <v>4</v>
      </c>
      <c r="M725" cm="1">
        <f t="array" ref="M725">_xlfn.IFS(CALLS[[#This Row],[DURATION BACKET]]="UNDER 10 MINS",1,
     CALLS[[#This Row],[DURATION BACKET]]="10 TO 30 MINS",2,
     CALLS[[#This Row],[DURATION BACKET]]="1 TO 2 HOURS",3,
     CALLS[[#This Row],[DURATION BACKET]]="&gt; 2 HOURS",4)</f>
        <v>3</v>
      </c>
      <c r="N725">
        <f>(CALLS[[#This Row],[Purchase Amount]]/ 1)</f>
        <v>69</v>
      </c>
    </row>
    <row r="726" spans="2:14" x14ac:dyDescent="0.25">
      <c r="B726" s="22" t="s">
        <v>748</v>
      </c>
      <c r="C726" s="4" t="s">
        <v>19</v>
      </c>
      <c r="D726" s="4">
        <v>124</v>
      </c>
      <c r="E726" s="5" t="s">
        <v>10</v>
      </c>
      <c r="F726" s="9">
        <v>45179</v>
      </c>
      <c r="G726" s="4">
        <v>46</v>
      </c>
      <c r="H726" s="23">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Row],[Duration]]&lt;=30,"10 TO 30 MINS",
     CALLS[[#This Row],[Duration]]&lt;=120,"1 TO 2 HOURS",
     TRUE,"&gt; 2 HOURS")</f>
        <v>&gt; 2 HOURS</v>
      </c>
      <c r="L726">
        <f>ROUND(CALLS[[#This Row],[Satisfaction Rating]],0)</f>
        <v>3</v>
      </c>
      <c r="M726" cm="1">
        <f t="array" ref="M726">_xlfn.IFS(CALLS[[#This Row],[DURATION BACKET]]="UNDER 10 MINS",1,
     CALLS[[#This Row],[DURATION BACKET]]="10 TO 30 MINS",2,
     CALLS[[#This Row],[DURATION BACKET]]="1 TO 2 HOURS",3,
     CALLS[[#This Row],[DURATION BACKET]]="&gt; 2 HOURS",4)</f>
        <v>4</v>
      </c>
      <c r="N726">
        <f>(CALLS[[#This Row],[Purchase Amount]]/ 1)</f>
        <v>46</v>
      </c>
    </row>
    <row r="727" spans="2:14" x14ac:dyDescent="0.25">
      <c r="B727" s="22" t="s">
        <v>749</v>
      </c>
      <c r="C727" s="4" t="s">
        <v>17</v>
      </c>
      <c r="D727" s="4">
        <v>156</v>
      </c>
      <c r="E727" s="5" t="s">
        <v>6</v>
      </c>
      <c r="F727" s="9">
        <v>45179</v>
      </c>
      <c r="G727" s="4">
        <v>64</v>
      </c>
      <c r="H727" s="23">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Row],[Duration]]&lt;=30,"10 TO 30 MINS",
     CALLS[[#This Row],[Duration]]&lt;=120,"1 TO 2 HOURS",
     TRUE,"&gt; 2 HOURS")</f>
        <v>&gt; 2 HOURS</v>
      </c>
      <c r="L727">
        <f>ROUND(CALLS[[#This Row],[Satisfaction Rating]],0)</f>
        <v>3</v>
      </c>
      <c r="M727" cm="1">
        <f t="array" ref="M727">_xlfn.IFS(CALLS[[#This Row],[DURATION BACKET]]="UNDER 10 MINS",1,
     CALLS[[#This Row],[DURATION BACKET]]="10 TO 30 MINS",2,
     CALLS[[#This Row],[DURATION BACKET]]="1 TO 2 HOURS",3,
     CALLS[[#This Row],[DURATION BACKET]]="&gt; 2 HOURS",4)</f>
        <v>4</v>
      </c>
      <c r="N727">
        <f>(CALLS[[#This Row],[Purchase Amount]]/ 1)</f>
        <v>64</v>
      </c>
    </row>
    <row r="728" spans="2:14" x14ac:dyDescent="0.25">
      <c r="B728" s="22" t="s">
        <v>750</v>
      </c>
      <c r="C728" s="4" t="s">
        <v>18</v>
      </c>
      <c r="D728" s="4">
        <v>107</v>
      </c>
      <c r="E728" s="5" t="s">
        <v>9</v>
      </c>
      <c r="F728" s="9">
        <v>45179</v>
      </c>
      <c r="G728" s="4">
        <v>38</v>
      </c>
      <c r="H728" s="23">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Row],[Duration]]&lt;=30,"10 TO 30 MINS",
     CALLS[[#This Row],[Duration]]&lt;=120,"1 TO 2 HOURS",
     TRUE,"&gt; 2 HOURS")</f>
        <v>1 TO 2 HOURS</v>
      </c>
      <c r="L728">
        <f>ROUND(CALLS[[#This Row],[Satisfaction Rating]],0)</f>
        <v>5</v>
      </c>
      <c r="M728" cm="1">
        <f t="array" ref="M728">_xlfn.IFS(CALLS[[#This Row],[DURATION BACKET]]="UNDER 10 MINS",1,
     CALLS[[#This Row],[DURATION BACKET]]="10 TO 30 MINS",2,
     CALLS[[#This Row],[DURATION BACKET]]="1 TO 2 HOURS",3,
     CALLS[[#This Row],[DURATION BACKET]]="&gt; 2 HOURS",4)</f>
        <v>3</v>
      </c>
      <c r="N728">
        <f>(CALLS[[#This Row],[Purchase Amount]]/ 1)</f>
        <v>38</v>
      </c>
    </row>
    <row r="729" spans="2:14" x14ac:dyDescent="0.25">
      <c r="B729" s="22" t="s">
        <v>751</v>
      </c>
      <c r="C729" s="4" t="s">
        <v>20</v>
      </c>
      <c r="D729" s="4">
        <v>58</v>
      </c>
      <c r="E729" s="5" t="s">
        <v>9</v>
      </c>
      <c r="F729" s="9">
        <v>45181</v>
      </c>
      <c r="G729" s="4">
        <v>90</v>
      </c>
      <c r="H729" s="23">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Row],[Duration]]&lt;=30,"10 TO 30 MINS",
     CALLS[[#This Row],[Duration]]&lt;=120,"1 TO 2 HOURS",
     TRUE,"&gt; 2 HOURS")</f>
        <v>1 TO 2 HOURS</v>
      </c>
      <c r="L729">
        <f>ROUND(CALLS[[#This Row],[Satisfaction Rating]],0)</f>
        <v>4</v>
      </c>
      <c r="M729" cm="1">
        <f t="array" ref="M729">_xlfn.IFS(CALLS[[#This Row],[DURATION BACKET]]="UNDER 10 MINS",1,
     CALLS[[#This Row],[DURATION BACKET]]="10 TO 30 MINS",2,
     CALLS[[#This Row],[DURATION BACKET]]="1 TO 2 HOURS",3,
     CALLS[[#This Row],[DURATION BACKET]]="&gt; 2 HOURS",4)</f>
        <v>3</v>
      </c>
      <c r="N729">
        <f>(CALLS[[#This Row],[Purchase Amount]]/ 1)</f>
        <v>90</v>
      </c>
    </row>
    <row r="730" spans="2:14" x14ac:dyDescent="0.25">
      <c r="B730" s="22" t="s">
        <v>752</v>
      </c>
      <c r="C730" s="4" t="s">
        <v>14</v>
      </c>
      <c r="D730" s="4">
        <v>66</v>
      </c>
      <c r="E730" s="5" t="s">
        <v>9</v>
      </c>
      <c r="F730" s="9">
        <v>45181</v>
      </c>
      <c r="G730" s="4">
        <v>32</v>
      </c>
      <c r="H730" s="23">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Row],[Duration]]&lt;=30,"10 TO 30 MINS",
     CALLS[[#This Row],[Duration]]&lt;=120,"1 TO 2 HOURS",
     TRUE,"&gt; 2 HOURS")</f>
        <v>1 TO 2 HOURS</v>
      </c>
      <c r="L730">
        <f>ROUND(CALLS[[#This Row],[Satisfaction Rating]],0)</f>
        <v>4</v>
      </c>
      <c r="M730" cm="1">
        <f t="array" ref="M730">_xlfn.IFS(CALLS[[#This Row],[DURATION BACKET]]="UNDER 10 MINS",1,
     CALLS[[#This Row],[DURATION BACKET]]="10 TO 30 MINS",2,
     CALLS[[#This Row],[DURATION BACKET]]="1 TO 2 HOURS",3,
     CALLS[[#This Row],[DURATION BACKET]]="&gt; 2 HOURS",4)</f>
        <v>3</v>
      </c>
      <c r="N730">
        <f>(CALLS[[#This Row],[Purchase Amount]]/ 1)</f>
        <v>32</v>
      </c>
    </row>
    <row r="731" spans="2:14" x14ac:dyDescent="0.25">
      <c r="B731" s="22" t="s">
        <v>753</v>
      </c>
      <c r="C731" s="4" t="s">
        <v>24</v>
      </c>
      <c r="D731" s="4">
        <v>75</v>
      </c>
      <c r="E731" s="5" t="s">
        <v>6</v>
      </c>
      <c r="F731" s="9">
        <v>45181</v>
      </c>
      <c r="G731" s="4">
        <v>120</v>
      </c>
      <c r="H731" s="23">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Row],[Duration]]&lt;=30,"10 TO 30 MINS",
     CALLS[[#This Row],[Duration]]&lt;=120,"1 TO 2 HOURS",
     TRUE,"&gt; 2 HOURS")</f>
        <v>1 TO 2 HOURS</v>
      </c>
      <c r="L731">
        <f>ROUND(CALLS[[#This Row],[Satisfaction Rating]],0)</f>
        <v>4</v>
      </c>
      <c r="M731" cm="1">
        <f t="array" ref="M731">_xlfn.IFS(CALLS[[#This Row],[DURATION BACKET]]="UNDER 10 MINS",1,
     CALLS[[#This Row],[DURATION BACKET]]="10 TO 30 MINS",2,
     CALLS[[#This Row],[DURATION BACKET]]="1 TO 2 HOURS",3,
     CALLS[[#This Row],[DURATION BACKET]]="&gt; 2 HOURS",4)</f>
        <v>3</v>
      </c>
      <c r="N731">
        <f>(CALLS[[#This Row],[Purchase Amount]]/ 1)</f>
        <v>120</v>
      </c>
    </row>
    <row r="732" spans="2:14" x14ac:dyDescent="0.25">
      <c r="B732" s="22" t="s">
        <v>754</v>
      </c>
      <c r="C732" s="4" t="s">
        <v>18</v>
      </c>
      <c r="D732" s="4">
        <v>8</v>
      </c>
      <c r="E732" s="5" t="s">
        <v>9</v>
      </c>
      <c r="F732" s="9">
        <v>45181</v>
      </c>
      <c r="G732" s="4">
        <v>31</v>
      </c>
      <c r="H732" s="23">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Row],[Duration]]&lt;=30,"10 TO 30 MINS",
     CALLS[[#This Row],[Duration]]&lt;=120,"1 TO 2 HOURS",
     TRUE,"&gt; 2 HOURS")</f>
        <v>UNDER 10 MINS</v>
      </c>
      <c r="L732">
        <f>ROUND(CALLS[[#This Row],[Satisfaction Rating]],0)</f>
        <v>4</v>
      </c>
      <c r="M732" cm="1">
        <f t="array" ref="M732">_xlfn.IFS(CALLS[[#This Row],[DURATION BACKET]]="UNDER 10 MINS",1,
     CALLS[[#This Row],[DURATION BACKET]]="10 TO 30 MINS",2,
     CALLS[[#This Row],[DURATION BACKET]]="1 TO 2 HOURS",3,
     CALLS[[#This Row],[DURATION BACKET]]="&gt; 2 HOURS",4)</f>
        <v>1</v>
      </c>
      <c r="N732">
        <f>(CALLS[[#This Row],[Purchase Amount]]/ 1)</f>
        <v>31</v>
      </c>
    </row>
    <row r="733" spans="2:14" x14ac:dyDescent="0.25">
      <c r="B733" s="22" t="s">
        <v>755</v>
      </c>
      <c r="C733" s="4" t="s">
        <v>23</v>
      </c>
      <c r="D733" s="4">
        <v>76</v>
      </c>
      <c r="E733" s="5" t="s">
        <v>6</v>
      </c>
      <c r="F733" s="9">
        <v>45182</v>
      </c>
      <c r="G733" s="4">
        <v>108</v>
      </c>
      <c r="H733" s="2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Row],[Duration]]&lt;=30,"10 TO 30 MINS",
     CALLS[[#This Row],[Duration]]&lt;=120,"1 TO 2 HOURS",
     TRUE,"&gt; 2 HOURS")</f>
        <v>1 TO 2 HOURS</v>
      </c>
      <c r="L733">
        <f>ROUND(CALLS[[#This Row],[Satisfaction Rating]],0)</f>
        <v>5</v>
      </c>
      <c r="M733" cm="1">
        <f t="array" ref="M733">_xlfn.IFS(CALLS[[#This Row],[DURATION BACKET]]="UNDER 10 MINS",1,
     CALLS[[#This Row],[DURATION BACKET]]="10 TO 30 MINS",2,
     CALLS[[#This Row],[DURATION BACKET]]="1 TO 2 HOURS",3,
     CALLS[[#This Row],[DURATION BACKET]]="&gt; 2 HOURS",4)</f>
        <v>3</v>
      </c>
      <c r="N733">
        <f>(CALLS[[#This Row],[Purchase Amount]]/ 1)</f>
        <v>108</v>
      </c>
    </row>
    <row r="734" spans="2:14" x14ac:dyDescent="0.25">
      <c r="B734" s="22" t="s">
        <v>756</v>
      </c>
      <c r="C734" s="4" t="s">
        <v>20</v>
      </c>
      <c r="D734" s="4">
        <v>110</v>
      </c>
      <c r="E734" s="5" t="s">
        <v>6</v>
      </c>
      <c r="F734" s="9">
        <v>45182</v>
      </c>
      <c r="G734" s="4">
        <v>180</v>
      </c>
      <c r="H734" s="23">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Row],[Duration]]&lt;=30,"10 TO 30 MINS",
     CALLS[[#This Row],[Duration]]&lt;=120,"1 TO 2 HOURS",
     TRUE,"&gt; 2 HOURS")</f>
        <v>1 TO 2 HOURS</v>
      </c>
      <c r="L734">
        <f>ROUND(CALLS[[#This Row],[Satisfaction Rating]],0)</f>
        <v>4</v>
      </c>
      <c r="M734" cm="1">
        <f t="array" ref="M734">_xlfn.IFS(CALLS[[#This Row],[DURATION BACKET]]="UNDER 10 MINS",1,
     CALLS[[#This Row],[DURATION BACKET]]="10 TO 30 MINS",2,
     CALLS[[#This Row],[DURATION BACKET]]="1 TO 2 HOURS",3,
     CALLS[[#This Row],[DURATION BACKET]]="&gt; 2 HOURS",4)</f>
        <v>3</v>
      </c>
      <c r="N734">
        <f>(CALLS[[#This Row],[Purchase Amount]]/ 1)</f>
        <v>180</v>
      </c>
    </row>
    <row r="735" spans="2:14" x14ac:dyDescent="0.25">
      <c r="B735" s="22" t="s">
        <v>757</v>
      </c>
      <c r="C735" s="4" t="s">
        <v>14</v>
      </c>
      <c r="D735" s="4">
        <v>50</v>
      </c>
      <c r="E735" s="5" t="s">
        <v>11</v>
      </c>
      <c r="F735" s="9">
        <v>45183</v>
      </c>
      <c r="G735" s="4">
        <v>124</v>
      </c>
      <c r="H735" s="23">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Row],[Duration]]&lt;=30,"10 TO 30 MINS",
     CALLS[[#This Row],[Duration]]&lt;=120,"1 TO 2 HOURS",
     TRUE,"&gt; 2 HOURS")</f>
        <v>1 TO 2 HOURS</v>
      </c>
      <c r="L735">
        <f>ROUND(CALLS[[#This Row],[Satisfaction Rating]],0)</f>
        <v>4</v>
      </c>
      <c r="M735" cm="1">
        <f t="array" ref="M735">_xlfn.IFS(CALLS[[#This Row],[DURATION BACKET]]="UNDER 10 MINS",1,
     CALLS[[#This Row],[DURATION BACKET]]="10 TO 30 MINS",2,
     CALLS[[#This Row],[DURATION BACKET]]="1 TO 2 HOURS",3,
     CALLS[[#This Row],[DURATION BACKET]]="&gt; 2 HOURS",4)</f>
        <v>3</v>
      </c>
      <c r="N735">
        <f>(CALLS[[#This Row],[Purchase Amount]]/ 1)</f>
        <v>124</v>
      </c>
    </row>
    <row r="736" spans="2:14" x14ac:dyDescent="0.25">
      <c r="B736" s="22" t="s">
        <v>758</v>
      </c>
      <c r="C736" s="4" t="s">
        <v>15</v>
      </c>
      <c r="D736" s="4">
        <v>78</v>
      </c>
      <c r="E736" s="5" t="s">
        <v>11</v>
      </c>
      <c r="F736" s="9">
        <v>45183</v>
      </c>
      <c r="G736" s="4">
        <v>23</v>
      </c>
      <c r="H736" s="23">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Row],[Duration]]&lt;=30,"10 TO 30 MINS",
     CALLS[[#This Row],[Duration]]&lt;=120,"1 TO 2 HOURS",
     TRUE,"&gt; 2 HOURS")</f>
        <v>1 TO 2 HOURS</v>
      </c>
      <c r="L736">
        <f>ROUND(CALLS[[#This Row],[Satisfaction Rating]],0)</f>
        <v>4</v>
      </c>
      <c r="M736" cm="1">
        <f t="array" ref="M736">_xlfn.IFS(CALLS[[#This Row],[DURATION BACKET]]="UNDER 10 MINS",1,
     CALLS[[#This Row],[DURATION BACKET]]="10 TO 30 MINS",2,
     CALLS[[#This Row],[DURATION BACKET]]="1 TO 2 HOURS",3,
     CALLS[[#This Row],[DURATION BACKET]]="&gt; 2 HOURS",4)</f>
        <v>3</v>
      </c>
      <c r="N736">
        <f>(CALLS[[#This Row],[Purchase Amount]]/ 1)</f>
        <v>23</v>
      </c>
    </row>
    <row r="737" spans="2:14" x14ac:dyDescent="0.25">
      <c r="B737" s="22" t="s">
        <v>759</v>
      </c>
      <c r="C737" s="4" t="s">
        <v>16</v>
      </c>
      <c r="D737" s="4">
        <v>59</v>
      </c>
      <c r="E737" s="5" t="s">
        <v>10</v>
      </c>
      <c r="F737" s="9">
        <v>45184</v>
      </c>
      <c r="G737" s="4">
        <v>24</v>
      </c>
      <c r="H737" s="23">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Row],[Duration]]&lt;=30,"10 TO 30 MINS",
     CALLS[[#This Row],[Duration]]&lt;=120,"1 TO 2 HOURS",
     TRUE,"&gt; 2 HOURS")</f>
        <v>1 TO 2 HOURS</v>
      </c>
      <c r="L737">
        <f>ROUND(CALLS[[#This Row],[Satisfaction Rating]],0)</f>
        <v>5</v>
      </c>
      <c r="M737" cm="1">
        <f t="array" ref="M737">_xlfn.IFS(CALLS[[#This Row],[DURATION BACKET]]="UNDER 10 MINS",1,
     CALLS[[#This Row],[DURATION BACKET]]="10 TO 30 MINS",2,
     CALLS[[#This Row],[DURATION BACKET]]="1 TO 2 HOURS",3,
     CALLS[[#This Row],[DURATION BACKET]]="&gt; 2 HOURS",4)</f>
        <v>3</v>
      </c>
      <c r="N737">
        <f>(CALLS[[#This Row],[Purchase Amount]]/ 1)</f>
        <v>24</v>
      </c>
    </row>
    <row r="738" spans="2:14" x14ac:dyDescent="0.25">
      <c r="B738" s="22" t="s">
        <v>760</v>
      </c>
      <c r="C738" s="4" t="s">
        <v>15</v>
      </c>
      <c r="D738" s="4">
        <v>126</v>
      </c>
      <c r="E738" s="5" t="s">
        <v>9</v>
      </c>
      <c r="F738" s="9">
        <v>45185</v>
      </c>
      <c r="G738" s="4">
        <v>52</v>
      </c>
      <c r="H738" s="23">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Row],[Duration]]&lt;=30,"10 TO 30 MINS",
     CALLS[[#This Row],[Duration]]&lt;=120,"1 TO 2 HOURS",
     TRUE,"&gt; 2 HOURS")</f>
        <v>&gt; 2 HOURS</v>
      </c>
      <c r="L738">
        <f>ROUND(CALLS[[#This Row],[Satisfaction Rating]],0)</f>
        <v>1</v>
      </c>
      <c r="M738" cm="1">
        <f t="array" ref="M738">_xlfn.IFS(CALLS[[#This Row],[DURATION BACKET]]="UNDER 10 MINS",1,
     CALLS[[#This Row],[DURATION BACKET]]="10 TO 30 MINS",2,
     CALLS[[#This Row],[DURATION BACKET]]="1 TO 2 HOURS",3,
     CALLS[[#This Row],[DURATION BACKET]]="&gt; 2 HOURS",4)</f>
        <v>4</v>
      </c>
      <c r="N738">
        <f>(CALLS[[#This Row],[Purchase Amount]]/ 1)</f>
        <v>52</v>
      </c>
    </row>
    <row r="739" spans="2:14" x14ac:dyDescent="0.25">
      <c r="B739" s="22" t="s">
        <v>761</v>
      </c>
      <c r="C739" s="4" t="s">
        <v>23</v>
      </c>
      <c r="D739" s="4">
        <v>43</v>
      </c>
      <c r="E739" s="5" t="s">
        <v>10</v>
      </c>
      <c r="F739" s="9">
        <v>45186</v>
      </c>
      <c r="G739" s="4">
        <v>168</v>
      </c>
      <c r="H739" s="23">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Row],[Duration]]&lt;=30,"10 TO 30 MINS",
     CALLS[[#This Row],[Duration]]&lt;=120,"1 TO 2 HOURS",
     TRUE,"&gt; 2 HOURS")</f>
        <v>1 TO 2 HOURS</v>
      </c>
      <c r="L739">
        <f>ROUND(CALLS[[#This Row],[Satisfaction Rating]],0)</f>
        <v>4</v>
      </c>
      <c r="M739" cm="1">
        <f t="array" ref="M739">_xlfn.IFS(CALLS[[#This Row],[DURATION BACKET]]="UNDER 10 MINS",1,
     CALLS[[#This Row],[DURATION BACKET]]="10 TO 30 MINS",2,
     CALLS[[#This Row],[DURATION BACKET]]="1 TO 2 HOURS",3,
     CALLS[[#This Row],[DURATION BACKET]]="&gt; 2 HOURS",4)</f>
        <v>3</v>
      </c>
      <c r="N739">
        <f>(CALLS[[#This Row],[Purchase Amount]]/ 1)</f>
        <v>168</v>
      </c>
    </row>
    <row r="740" spans="2:14" x14ac:dyDescent="0.25">
      <c r="B740" s="22" t="s">
        <v>762</v>
      </c>
      <c r="C740" s="4" t="s">
        <v>17</v>
      </c>
      <c r="D740" s="4">
        <v>79</v>
      </c>
      <c r="E740" s="5" t="s">
        <v>6</v>
      </c>
      <c r="F740" s="9">
        <v>45188</v>
      </c>
      <c r="G740" s="4">
        <v>125</v>
      </c>
      <c r="H740" s="23">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Row],[Duration]]&lt;=30,"10 TO 30 MINS",
     CALLS[[#This Row],[Duration]]&lt;=120,"1 TO 2 HOURS",
     TRUE,"&gt; 2 HOURS")</f>
        <v>1 TO 2 HOURS</v>
      </c>
      <c r="L740">
        <f>ROUND(CALLS[[#This Row],[Satisfaction Rating]],0)</f>
        <v>5</v>
      </c>
      <c r="M740" cm="1">
        <f t="array" ref="M740">_xlfn.IFS(CALLS[[#This Row],[DURATION BACKET]]="UNDER 10 MINS",1,
     CALLS[[#This Row],[DURATION BACKET]]="10 TO 30 MINS",2,
     CALLS[[#This Row],[DURATION BACKET]]="1 TO 2 HOURS",3,
     CALLS[[#This Row],[DURATION BACKET]]="&gt; 2 HOURS",4)</f>
        <v>3</v>
      </c>
      <c r="N740">
        <f>(CALLS[[#This Row],[Purchase Amount]]/ 1)</f>
        <v>125</v>
      </c>
    </row>
    <row r="741" spans="2:14" x14ac:dyDescent="0.25">
      <c r="B741" s="22" t="s">
        <v>763</v>
      </c>
      <c r="C741" s="4" t="s">
        <v>20</v>
      </c>
      <c r="D741" s="4">
        <v>71</v>
      </c>
      <c r="E741" s="5" t="s">
        <v>10</v>
      </c>
      <c r="F741" s="9">
        <v>45189</v>
      </c>
      <c r="G741" s="4">
        <v>50</v>
      </c>
      <c r="H741" s="23">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Row],[Duration]]&lt;=30,"10 TO 30 MINS",
     CALLS[[#This Row],[Duration]]&lt;=120,"1 TO 2 HOURS",
     TRUE,"&gt; 2 HOURS")</f>
        <v>1 TO 2 HOURS</v>
      </c>
      <c r="L741">
        <f>ROUND(CALLS[[#This Row],[Satisfaction Rating]],0)</f>
        <v>4</v>
      </c>
      <c r="M741" cm="1">
        <f t="array" ref="M741">_xlfn.IFS(CALLS[[#This Row],[DURATION BACKET]]="UNDER 10 MINS",1,
     CALLS[[#This Row],[DURATION BACKET]]="10 TO 30 MINS",2,
     CALLS[[#This Row],[DURATION BACKET]]="1 TO 2 HOURS",3,
     CALLS[[#This Row],[DURATION BACKET]]="&gt; 2 HOURS",4)</f>
        <v>3</v>
      </c>
      <c r="N741">
        <f>(CALLS[[#This Row],[Purchase Amount]]/ 1)</f>
        <v>50</v>
      </c>
    </row>
    <row r="742" spans="2:14" x14ac:dyDescent="0.25">
      <c r="B742" s="22" t="s">
        <v>764</v>
      </c>
      <c r="C742" s="4" t="s">
        <v>22</v>
      </c>
      <c r="D742" s="4">
        <v>94</v>
      </c>
      <c r="E742" s="5" t="s">
        <v>9</v>
      </c>
      <c r="F742" s="9">
        <v>45190</v>
      </c>
      <c r="G742" s="4">
        <v>220</v>
      </c>
      <c r="H742" s="23">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Row],[Duration]]&lt;=30,"10 TO 30 MINS",
     CALLS[[#This Row],[Duration]]&lt;=120,"1 TO 2 HOURS",
     TRUE,"&gt; 2 HOURS")</f>
        <v>1 TO 2 HOURS</v>
      </c>
      <c r="L742">
        <f>ROUND(CALLS[[#This Row],[Satisfaction Rating]],0)</f>
        <v>5</v>
      </c>
      <c r="M742" cm="1">
        <f t="array" ref="M742">_xlfn.IFS(CALLS[[#This Row],[DURATION BACKET]]="UNDER 10 MINS",1,
     CALLS[[#This Row],[DURATION BACKET]]="10 TO 30 MINS",2,
     CALLS[[#This Row],[DURATION BACKET]]="1 TO 2 HOURS",3,
     CALLS[[#This Row],[DURATION BACKET]]="&gt; 2 HOURS",4)</f>
        <v>3</v>
      </c>
      <c r="N742">
        <f>(CALLS[[#This Row],[Purchase Amount]]/ 1)</f>
        <v>220</v>
      </c>
    </row>
    <row r="743" spans="2:14" x14ac:dyDescent="0.25">
      <c r="B743" s="22" t="s">
        <v>765</v>
      </c>
      <c r="C743" s="4" t="s">
        <v>18</v>
      </c>
      <c r="D743" s="4">
        <v>108</v>
      </c>
      <c r="E743" s="5" t="s">
        <v>10</v>
      </c>
      <c r="F743" s="9">
        <v>45190</v>
      </c>
      <c r="G743" s="4">
        <v>180</v>
      </c>
      <c r="H743" s="2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Row],[Duration]]&lt;=30,"10 TO 30 MINS",
     CALLS[[#This Row],[Duration]]&lt;=120,"1 TO 2 HOURS",
     TRUE,"&gt; 2 HOURS")</f>
        <v>1 TO 2 HOURS</v>
      </c>
      <c r="L743">
        <f>ROUND(CALLS[[#This Row],[Satisfaction Rating]],0)</f>
        <v>4</v>
      </c>
      <c r="M743" cm="1">
        <f t="array" ref="M743">_xlfn.IFS(CALLS[[#This Row],[DURATION BACKET]]="UNDER 10 MINS",1,
     CALLS[[#This Row],[DURATION BACKET]]="10 TO 30 MINS",2,
     CALLS[[#This Row],[DURATION BACKET]]="1 TO 2 HOURS",3,
     CALLS[[#This Row],[DURATION BACKET]]="&gt; 2 HOURS",4)</f>
        <v>3</v>
      </c>
      <c r="N743">
        <f>(CALLS[[#This Row],[Purchase Amount]]/ 1)</f>
        <v>180</v>
      </c>
    </row>
    <row r="744" spans="2:14" x14ac:dyDescent="0.25">
      <c r="B744" s="22" t="s">
        <v>766</v>
      </c>
      <c r="C744" s="4" t="s">
        <v>23</v>
      </c>
      <c r="D744" s="4">
        <v>76</v>
      </c>
      <c r="E744" s="5" t="s">
        <v>9</v>
      </c>
      <c r="F744" s="9">
        <v>45190</v>
      </c>
      <c r="G744" s="4">
        <v>110</v>
      </c>
      <c r="H744" s="23">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Row],[Duration]]&lt;=30,"10 TO 30 MINS",
     CALLS[[#This Row],[Duration]]&lt;=120,"1 TO 2 HOURS",
     TRUE,"&gt; 2 HOURS")</f>
        <v>1 TO 2 HOURS</v>
      </c>
      <c r="L744">
        <f>ROUND(CALLS[[#This Row],[Satisfaction Rating]],0)</f>
        <v>4</v>
      </c>
      <c r="M744" cm="1">
        <f t="array" ref="M744">_xlfn.IFS(CALLS[[#This Row],[DURATION BACKET]]="UNDER 10 MINS",1,
     CALLS[[#This Row],[DURATION BACKET]]="10 TO 30 MINS",2,
     CALLS[[#This Row],[DURATION BACKET]]="1 TO 2 HOURS",3,
     CALLS[[#This Row],[DURATION BACKET]]="&gt; 2 HOURS",4)</f>
        <v>3</v>
      </c>
      <c r="N744">
        <f>(CALLS[[#This Row],[Purchase Amount]]/ 1)</f>
        <v>110</v>
      </c>
    </row>
    <row r="745" spans="2:14" x14ac:dyDescent="0.25">
      <c r="B745" s="22" t="s">
        <v>767</v>
      </c>
      <c r="C745" s="4" t="s">
        <v>16</v>
      </c>
      <c r="D745" s="4">
        <v>136</v>
      </c>
      <c r="E745" s="5" t="s">
        <v>10</v>
      </c>
      <c r="F745" s="9">
        <v>45190</v>
      </c>
      <c r="G745" s="4">
        <v>36</v>
      </c>
      <c r="H745" s="23">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Row],[Duration]]&lt;=30,"10 TO 30 MINS",
     CALLS[[#This Row],[Duration]]&lt;=120,"1 TO 2 HOURS",
     TRUE,"&gt; 2 HOURS")</f>
        <v>&gt; 2 HOURS</v>
      </c>
      <c r="L745">
        <f>ROUND(CALLS[[#This Row],[Satisfaction Rating]],0)</f>
        <v>3</v>
      </c>
      <c r="M745" cm="1">
        <f t="array" ref="M745">_xlfn.IFS(CALLS[[#This Row],[DURATION BACKET]]="UNDER 10 MINS",1,
     CALLS[[#This Row],[DURATION BACKET]]="10 TO 30 MINS",2,
     CALLS[[#This Row],[DURATION BACKET]]="1 TO 2 HOURS",3,
     CALLS[[#This Row],[DURATION BACKET]]="&gt; 2 HOURS",4)</f>
        <v>4</v>
      </c>
      <c r="N745">
        <f>(CALLS[[#This Row],[Purchase Amount]]/ 1)</f>
        <v>36</v>
      </c>
    </row>
    <row r="746" spans="2:14" x14ac:dyDescent="0.25">
      <c r="B746" s="22" t="s">
        <v>768</v>
      </c>
      <c r="C746" s="4" t="s">
        <v>12</v>
      </c>
      <c r="D746" s="4">
        <v>129</v>
      </c>
      <c r="E746" s="5" t="s">
        <v>11</v>
      </c>
      <c r="F746" s="9">
        <v>45191</v>
      </c>
      <c r="G746" s="4">
        <v>93</v>
      </c>
      <c r="H746" s="23">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Row],[Duration]]&lt;=30,"10 TO 30 MINS",
     CALLS[[#This Row],[Duration]]&lt;=120,"1 TO 2 HOURS",
     TRUE,"&gt; 2 HOURS")</f>
        <v>&gt; 2 HOURS</v>
      </c>
      <c r="L746">
        <f>ROUND(CALLS[[#This Row],[Satisfaction Rating]],0)</f>
        <v>5</v>
      </c>
      <c r="M746" cm="1">
        <f t="array" ref="M746">_xlfn.IFS(CALLS[[#This Row],[DURATION BACKET]]="UNDER 10 MINS",1,
     CALLS[[#This Row],[DURATION BACKET]]="10 TO 30 MINS",2,
     CALLS[[#This Row],[DURATION BACKET]]="1 TO 2 HOURS",3,
     CALLS[[#This Row],[DURATION BACKET]]="&gt; 2 HOURS",4)</f>
        <v>4</v>
      </c>
      <c r="N746">
        <f>(CALLS[[#This Row],[Purchase Amount]]/ 1)</f>
        <v>93</v>
      </c>
    </row>
    <row r="747" spans="2:14" x14ac:dyDescent="0.25">
      <c r="B747" s="22" t="s">
        <v>769</v>
      </c>
      <c r="C747" s="4" t="s">
        <v>18</v>
      </c>
      <c r="D747" s="4">
        <v>120</v>
      </c>
      <c r="E747" s="5" t="s">
        <v>10</v>
      </c>
      <c r="F747" s="9">
        <v>45191</v>
      </c>
      <c r="G747" s="4">
        <v>38</v>
      </c>
      <c r="H747" s="23">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Row],[Duration]]&lt;=30,"10 TO 30 MINS",
     CALLS[[#This Row],[Duration]]&lt;=120,"1 TO 2 HOURS",
     TRUE,"&gt; 2 HOURS")</f>
        <v>1 TO 2 HOURS</v>
      </c>
      <c r="L747">
        <f>ROUND(CALLS[[#This Row],[Satisfaction Rating]],0)</f>
        <v>4</v>
      </c>
      <c r="M747" cm="1">
        <f t="array" ref="M747">_xlfn.IFS(CALLS[[#This Row],[DURATION BACKET]]="UNDER 10 MINS",1,
     CALLS[[#This Row],[DURATION BACKET]]="10 TO 30 MINS",2,
     CALLS[[#This Row],[DURATION BACKET]]="1 TO 2 HOURS",3,
     CALLS[[#This Row],[DURATION BACKET]]="&gt; 2 HOURS",4)</f>
        <v>3</v>
      </c>
      <c r="N747">
        <f>(CALLS[[#This Row],[Purchase Amount]]/ 1)</f>
        <v>38</v>
      </c>
    </row>
    <row r="748" spans="2:14" x14ac:dyDescent="0.25">
      <c r="B748" s="22" t="s">
        <v>770</v>
      </c>
      <c r="C748" s="4" t="s">
        <v>23</v>
      </c>
      <c r="D748" s="4">
        <v>108</v>
      </c>
      <c r="E748" s="5" t="s">
        <v>11</v>
      </c>
      <c r="F748" s="9">
        <v>45192</v>
      </c>
      <c r="G748" s="4">
        <v>66</v>
      </c>
      <c r="H748" s="23">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Row],[Duration]]&lt;=30,"10 TO 30 MINS",
     CALLS[[#This Row],[Duration]]&lt;=120,"1 TO 2 HOURS",
     TRUE,"&gt; 2 HOURS")</f>
        <v>1 TO 2 HOURS</v>
      </c>
      <c r="L748">
        <f>ROUND(CALLS[[#This Row],[Satisfaction Rating]],0)</f>
        <v>4</v>
      </c>
      <c r="M748" cm="1">
        <f t="array" ref="M748">_xlfn.IFS(CALLS[[#This Row],[DURATION BACKET]]="UNDER 10 MINS",1,
     CALLS[[#This Row],[DURATION BACKET]]="10 TO 30 MINS",2,
     CALLS[[#This Row],[DURATION BACKET]]="1 TO 2 HOURS",3,
     CALLS[[#This Row],[DURATION BACKET]]="&gt; 2 HOURS",4)</f>
        <v>3</v>
      </c>
      <c r="N748">
        <f>(CALLS[[#This Row],[Purchase Amount]]/ 1)</f>
        <v>66</v>
      </c>
    </row>
    <row r="749" spans="2:14" x14ac:dyDescent="0.25">
      <c r="B749" s="22" t="s">
        <v>771</v>
      </c>
      <c r="C749" s="4" t="s">
        <v>15</v>
      </c>
      <c r="D749" s="4">
        <v>79</v>
      </c>
      <c r="E749" s="5" t="s">
        <v>10</v>
      </c>
      <c r="F749" s="9">
        <v>45192</v>
      </c>
      <c r="G749" s="4">
        <v>215</v>
      </c>
      <c r="H749" s="23">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Row],[Duration]]&lt;=30,"10 TO 30 MINS",
     CALLS[[#This Row],[Duration]]&lt;=120,"1 TO 2 HOURS",
     TRUE,"&gt; 2 HOURS")</f>
        <v>1 TO 2 HOURS</v>
      </c>
      <c r="L749">
        <f>ROUND(CALLS[[#This Row],[Satisfaction Rating]],0)</f>
        <v>5</v>
      </c>
      <c r="M749" cm="1">
        <f t="array" ref="M749">_xlfn.IFS(CALLS[[#This Row],[DURATION BACKET]]="UNDER 10 MINS",1,
     CALLS[[#This Row],[DURATION BACKET]]="10 TO 30 MINS",2,
     CALLS[[#This Row],[DURATION BACKET]]="1 TO 2 HOURS",3,
     CALLS[[#This Row],[DURATION BACKET]]="&gt; 2 HOURS",4)</f>
        <v>3</v>
      </c>
      <c r="N749">
        <f>(CALLS[[#This Row],[Purchase Amount]]/ 1)</f>
        <v>215</v>
      </c>
    </row>
    <row r="750" spans="2:14" x14ac:dyDescent="0.25">
      <c r="B750" s="22" t="s">
        <v>772</v>
      </c>
      <c r="C750" s="4" t="s">
        <v>15</v>
      </c>
      <c r="D750" s="4">
        <v>45</v>
      </c>
      <c r="E750" s="5" t="s">
        <v>11</v>
      </c>
      <c r="F750" s="9">
        <v>45192</v>
      </c>
      <c r="G750" s="4">
        <v>92</v>
      </c>
      <c r="H750" s="23">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Row],[Duration]]&lt;=30,"10 TO 30 MINS",
     CALLS[[#This Row],[Duration]]&lt;=120,"1 TO 2 HOURS",
     TRUE,"&gt; 2 HOURS")</f>
        <v>1 TO 2 HOURS</v>
      </c>
      <c r="L750">
        <f>ROUND(CALLS[[#This Row],[Satisfaction Rating]],0)</f>
        <v>4</v>
      </c>
      <c r="M750" cm="1">
        <f t="array" ref="M750">_xlfn.IFS(CALLS[[#This Row],[DURATION BACKET]]="UNDER 10 MINS",1,
     CALLS[[#This Row],[DURATION BACKET]]="10 TO 30 MINS",2,
     CALLS[[#This Row],[DURATION BACKET]]="1 TO 2 HOURS",3,
     CALLS[[#This Row],[DURATION BACKET]]="&gt; 2 HOURS",4)</f>
        <v>3</v>
      </c>
      <c r="N750">
        <f>(CALLS[[#This Row],[Purchase Amount]]/ 1)</f>
        <v>92</v>
      </c>
    </row>
    <row r="751" spans="2:14" x14ac:dyDescent="0.25">
      <c r="B751" s="22" t="s">
        <v>773</v>
      </c>
      <c r="C751" s="4" t="s">
        <v>8</v>
      </c>
      <c r="D751" s="4">
        <v>96</v>
      </c>
      <c r="E751" s="5" t="s">
        <v>10</v>
      </c>
      <c r="F751" s="9">
        <v>45192</v>
      </c>
      <c r="G751" s="4">
        <v>80</v>
      </c>
      <c r="H751" s="23">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Row],[Duration]]&lt;=30,"10 TO 30 MINS",
     CALLS[[#This Row],[Duration]]&lt;=120,"1 TO 2 HOURS",
     TRUE,"&gt; 2 HOURS")</f>
        <v>1 TO 2 HOURS</v>
      </c>
      <c r="L751">
        <f>ROUND(CALLS[[#This Row],[Satisfaction Rating]],0)</f>
        <v>4</v>
      </c>
      <c r="M751" cm="1">
        <f t="array" ref="M751">_xlfn.IFS(CALLS[[#This Row],[DURATION BACKET]]="UNDER 10 MINS",1,
     CALLS[[#This Row],[DURATION BACKET]]="10 TO 30 MINS",2,
     CALLS[[#This Row],[DURATION BACKET]]="1 TO 2 HOURS",3,
     CALLS[[#This Row],[DURATION BACKET]]="&gt; 2 HOURS",4)</f>
        <v>3</v>
      </c>
      <c r="N751">
        <f>(CALLS[[#This Row],[Purchase Amount]]/ 1)</f>
        <v>80</v>
      </c>
    </row>
    <row r="752" spans="2:14" x14ac:dyDescent="0.25">
      <c r="B752" s="22" t="s">
        <v>774</v>
      </c>
      <c r="C752" s="4" t="s">
        <v>8</v>
      </c>
      <c r="D752" s="4">
        <v>81</v>
      </c>
      <c r="E752" s="5" t="s">
        <v>10</v>
      </c>
      <c r="F752" s="9">
        <v>45193</v>
      </c>
      <c r="G752" s="4">
        <v>123</v>
      </c>
      <c r="H752" s="23">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Row],[Duration]]&lt;=30,"10 TO 30 MINS",
     CALLS[[#This Row],[Duration]]&lt;=120,"1 TO 2 HOURS",
     TRUE,"&gt; 2 HOURS")</f>
        <v>1 TO 2 HOURS</v>
      </c>
      <c r="L752">
        <f>ROUND(CALLS[[#This Row],[Satisfaction Rating]],0)</f>
        <v>5</v>
      </c>
      <c r="M752" cm="1">
        <f t="array" ref="M752">_xlfn.IFS(CALLS[[#This Row],[DURATION BACKET]]="UNDER 10 MINS",1,
     CALLS[[#This Row],[DURATION BACKET]]="10 TO 30 MINS",2,
     CALLS[[#This Row],[DURATION BACKET]]="1 TO 2 HOURS",3,
     CALLS[[#This Row],[DURATION BACKET]]="&gt; 2 HOURS",4)</f>
        <v>3</v>
      </c>
      <c r="N752">
        <f>(CALLS[[#This Row],[Purchase Amount]]/ 1)</f>
        <v>123</v>
      </c>
    </row>
    <row r="753" spans="2:14" x14ac:dyDescent="0.25">
      <c r="B753" s="22" t="s">
        <v>775</v>
      </c>
      <c r="C753" s="4" t="s">
        <v>16</v>
      </c>
      <c r="D753" s="4">
        <v>95</v>
      </c>
      <c r="E753" s="5" t="s">
        <v>13</v>
      </c>
      <c r="F753" s="9">
        <v>45193</v>
      </c>
      <c r="G753" s="4">
        <v>23</v>
      </c>
      <c r="H753" s="2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Row],[Duration]]&lt;=30,"10 TO 30 MINS",
     CALLS[[#This Row],[Duration]]&lt;=120,"1 TO 2 HOURS",
     TRUE,"&gt; 2 HOURS")</f>
        <v>1 TO 2 HOURS</v>
      </c>
      <c r="L753">
        <f>ROUND(CALLS[[#This Row],[Satisfaction Rating]],0)</f>
        <v>2</v>
      </c>
      <c r="M753" cm="1">
        <f t="array" ref="M753">_xlfn.IFS(CALLS[[#This Row],[DURATION BACKET]]="UNDER 10 MINS",1,
     CALLS[[#This Row],[DURATION BACKET]]="10 TO 30 MINS",2,
     CALLS[[#This Row],[DURATION BACKET]]="1 TO 2 HOURS",3,
     CALLS[[#This Row],[DURATION BACKET]]="&gt; 2 HOURS",4)</f>
        <v>3</v>
      </c>
      <c r="N753">
        <f>(CALLS[[#This Row],[Purchase Amount]]/ 1)</f>
        <v>23</v>
      </c>
    </row>
    <row r="754" spans="2:14" x14ac:dyDescent="0.25">
      <c r="B754" s="22" t="s">
        <v>776</v>
      </c>
      <c r="C754" s="4" t="s">
        <v>19</v>
      </c>
      <c r="D754" s="4">
        <v>159</v>
      </c>
      <c r="E754" s="5" t="s">
        <v>9</v>
      </c>
      <c r="F754" s="9">
        <v>45193</v>
      </c>
      <c r="G754" s="4">
        <v>63</v>
      </c>
      <c r="H754" s="23">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Row],[Duration]]&lt;=30,"10 TO 30 MINS",
     CALLS[[#This Row],[Duration]]&lt;=120,"1 TO 2 HOURS",
     TRUE,"&gt; 2 HOURS")</f>
        <v>&gt; 2 HOURS</v>
      </c>
      <c r="L754">
        <f>ROUND(CALLS[[#This Row],[Satisfaction Rating]],0)</f>
        <v>4</v>
      </c>
      <c r="M754" cm="1">
        <f t="array" ref="M754">_xlfn.IFS(CALLS[[#This Row],[DURATION BACKET]]="UNDER 10 MINS",1,
     CALLS[[#This Row],[DURATION BACKET]]="10 TO 30 MINS",2,
     CALLS[[#This Row],[DURATION BACKET]]="1 TO 2 HOURS",3,
     CALLS[[#This Row],[DURATION BACKET]]="&gt; 2 HOURS",4)</f>
        <v>4</v>
      </c>
      <c r="N754">
        <f>(CALLS[[#This Row],[Purchase Amount]]/ 1)</f>
        <v>63</v>
      </c>
    </row>
    <row r="755" spans="2:14" x14ac:dyDescent="0.25">
      <c r="B755" s="22" t="s">
        <v>777</v>
      </c>
      <c r="C755" s="4" t="s">
        <v>5</v>
      </c>
      <c r="D755" s="4">
        <v>109</v>
      </c>
      <c r="E755" s="5" t="s">
        <v>6</v>
      </c>
      <c r="F755" s="9">
        <v>45193</v>
      </c>
      <c r="G755" s="4">
        <v>52</v>
      </c>
      <c r="H755" s="23">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Row],[Duration]]&lt;=30,"10 TO 30 MINS",
     CALLS[[#This Row],[Duration]]&lt;=120,"1 TO 2 HOURS",
     TRUE,"&gt; 2 HOURS")</f>
        <v>1 TO 2 HOURS</v>
      </c>
      <c r="L755">
        <f>ROUND(CALLS[[#This Row],[Satisfaction Rating]],0)</f>
        <v>4</v>
      </c>
      <c r="M755" cm="1">
        <f t="array" ref="M755">_xlfn.IFS(CALLS[[#This Row],[DURATION BACKET]]="UNDER 10 MINS",1,
     CALLS[[#This Row],[DURATION BACKET]]="10 TO 30 MINS",2,
     CALLS[[#This Row],[DURATION BACKET]]="1 TO 2 HOURS",3,
     CALLS[[#This Row],[DURATION BACKET]]="&gt; 2 HOURS",4)</f>
        <v>3</v>
      </c>
      <c r="N755">
        <f>(CALLS[[#This Row],[Purchase Amount]]/ 1)</f>
        <v>52</v>
      </c>
    </row>
    <row r="756" spans="2:14" x14ac:dyDescent="0.25">
      <c r="B756" s="22" t="s">
        <v>778</v>
      </c>
      <c r="C756" s="4" t="s">
        <v>15</v>
      </c>
      <c r="D756" s="4">
        <v>107</v>
      </c>
      <c r="E756" s="5" t="s">
        <v>6</v>
      </c>
      <c r="F756" s="9">
        <v>45193</v>
      </c>
      <c r="G756" s="4">
        <v>60</v>
      </c>
      <c r="H756" s="23">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Row],[Duration]]&lt;=30,"10 TO 30 MINS",
     CALLS[[#This Row],[Duration]]&lt;=120,"1 TO 2 HOURS",
     TRUE,"&gt; 2 HOURS")</f>
        <v>1 TO 2 HOURS</v>
      </c>
      <c r="L756">
        <f>ROUND(CALLS[[#This Row],[Satisfaction Rating]],0)</f>
        <v>4</v>
      </c>
      <c r="M756" cm="1">
        <f t="array" ref="M756">_xlfn.IFS(CALLS[[#This Row],[DURATION BACKET]]="UNDER 10 MINS",1,
     CALLS[[#This Row],[DURATION BACKET]]="10 TO 30 MINS",2,
     CALLS[[#This Row],[DURATION BACKET]]="1 TO 2 HOURS",3,
     CALLS[[#This Row],[DURATION BACKET]]="&gt; 2 HOURS",4)</f>
        <v>3</v>
      </c>
      <c r="N756">
        <f>(CALLS[[#This Row],[Purchase Amount]]/ 1)</f>
        <v>60</v>
      </c>
    </row>
    <row r="757" spans="2:14" x14ac:dyDescent="0.25">
      <c r="B757" s="22" t="s">
        <v>779</v>
      </c>
      <c r="C757" s="4" t="s">
        <v>8</v>
      </c>
      <c r="D757" s="4">
        <v>67</v>
      </c>
      <c r="E757" s="5" t="s">
        <v>11</v>
      </c>
      <c r="F757" s="9">
        <v>45194</v>
      </c>
      <c r="G757" s="4">
        <v>87</v>
      </c>
      <c r="H757" s="23">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Row],[Duration]]&lt;=30,"10 TO 30 MINS",
     CALLS[[#This Row],[Duration]]&lt;=120,"1 TO 2 HOURS",
     TRUE,"&gt; 2 HOURS")</f>
        <v>1 TO 2 HOURS</v>
      </c>
      <c r="L757">
        <f>ROUND(CALLS[[#This Row],[Satisfaction Rating]],0)</f>
        <v>4</v>
      </c>
      <c r="M757" cm="1">
        <f t="array" ref="M757">_xlfn.IFS(CALLS[[#This Row],[DURATION BACKET]]="UNDER 10 MINS",1,
     CALLS[[#This Row],[DURATION BACKET]]="10 TO 30 MINS",2,
     CALLS[[#This Row],[DURATION BACKET]]="1 TO 2 HOURS",3,
     CALLS[[#This Row],[DURATION BACKET]]="&gt; 2 HOURS",4)</f>
        <v>3</v>
      </c>
      <c r="N757">
        <f>(CALLS[[#This Row],[Purchase Amount]]/ 1)</f>
        <v>87</v>
      </c>
    </row>
    <row r="758" spans="2:14" x14ac:dyDescent="0.25">
      <c r="B758" s="22" t="s">
        <v>780</v>
      </c>
      <c r="C758" s="4" t="s">
        <v>24</v>
      </c>
      <c r="D758" s="4">
        <v>96</v>
      </c>
      <c r="E758" s="5" t="s">
        <v>10</v>
      </c>
      <c r="F758" s="9">
        <v>45195</v>
      </c>
      <c r="G758" s="4">
        <v>42</v>
      </c>
      <c r="H758" s="23">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Row],[Duration]]&lt;=30,"10 TO 30 MINS",
     CALLS[[#This Row],[Duration]]&lt;=120,"1 TO 2 HOURS",
     TRUE,"&gt; 2 HOURS")</f>
        <v>1 TO 2 HOURS</v>
      </c>
      <c r="L758">
        <f>ROUND(CALLS[[#This Row],[Satisfaction Rating]],0)</f>
        <v>5</v>
      </c>
      <c r="M758" cm="1">
        <f t="array" ref="M758">_xlfn.IFS(CALLS[[#This Row],[DURATION BACKET]]="UNDER 10 MINS",1,
     CALLS[[#This Row],[DURATION BACKET]]="10 TO 30 MINS",2,
     CALLS[[#This Row],[DURATION BACKET]]="1 TO 2 HOURS",3,
     CALLS[[#This Row],[DURATION BACKET]]="&gt; 2 HOURS",4)</f>
        <v>3</v>
      </c>
      <c r="N758">
        <f>(CALLS[[#This Row],[Purchase Amount]]/ 1)</f>
        <v>42</v>
      </c>
    </row>
    <row r="759" spans="2:14" x14ac:dyDescent="0.25">
      <c r="B759" s="22" t="s">
        <v>781</v>
      </c>
      <c r="C759" s="4" t="s">
        <v>7</v>
      </c>
      <c r="D759" s="4">
        <v>142</v>
      </c>
      <c r="E759" s="5" t="s">
        <v>9</v>
      </c>
      <c r="F759" s="9">
        <v>45196</v>
      </c>
      <c r="G759" s="4">
        <v>37</v>
      </c>
      <c r="H759" s="23">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Row],[Duration]]&lt;=30,"10 TO 30 MINS",
     CALLS[[#This Row],[Duration]]&lt;=120,"1 TO 2 HOURS",
     TRUE,"&gt; 2 HOURS")</f>
        <v>&gt; 2 HOURS</v>
      </c>
      <c r="L759">
        <f>ROUND(CALLS[[#This Row],[Satisfaction Rating]],0)</f>
        <v>4</v>
      </c>
      <c r="M759" cm="1">
        <f t="array" ref="M759">_xlfn.IFS(CALLS[[#This Row],[DURATION BACKET]]="UNDER 10 MINS",1,
     CALLS[[#This Row],[DURATION BACKET]]="10 TO 30 MINS",2,
     CALLS[[#This Row],[DURATION BACKET]]="1 TO 2 HOURS",3,
     CALLS[[#This Row],[DURATION BACKET]]="&gt; 2 HOURS",4)</f>
        <v>4</v>
      </c>
      <c r="N759">
        <f>(CALLS[[#This Row],[Purchase Amount]]/ 1)</f>
        <v>37</v>
      </c>
    </row>
    <row r="760" spans="2:14" x14ac:dyDescent="0.25">
      <c r="B760" s="22" t="s">
        <v>782</v>
      </c>
      <c r="C760" s="4" t="s">
        <v>7</v>
      </c>
      <c r="D760" s="4">
        <v>71</v>
      </c>
      <c r="E760" s="5" t="s">
        <v>13</v>
      </c>
      <c r="F760" s="9">
        <v>45196</v>
      </c>
      <c r="G760" s="4">
        <v>135</v>
      </c>
      <c r="H760" s="23">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Row],[Duration]]&lt;=30,"10 TO 30 MINS",
     CALLS[[#This Row],[Duration]]&lt;=120,"1 TO 2 HOURS",
     TRUE,"&gt; 2 HOURS")</f>
        <v>1 TO 2 HOURS</v>
      </c>
      <c r="L760">
        <f>ROUND(CALLS[[#This Row],[Satisfaction Rating]],0)</f>
        <v>4</v>
      </c>
      <c r="M760" cm="1">
        <f t="array" ref="M760">_xlfn.IFS(CALLS[[#This Row],[DURATION BACKET]]="UNDER 10 MINS",1,
     CALLS[[#This Row],[DURATION BACKET]]="10 TO 30 MINS",2,
     CALLS[[#This Row],[DURATION BACKET]]="1 TO 2 HOURS",3,
     CALLS[[#This Row],[DURATION BACKET]]="&gt; 2 HOURS",4)</f>
        <v>3</v>
      </c>
      <c r="N760">
        <f>(CALLS[[#This Row],[Purchase Amount]]/ 1)</f>
        <v>135</v>
      </c>
    </row>
    <row r="761" spans="2:14" x14ac:dyDescent="0.25">
      <c r="B761" s="22" t="s">
        <v>783</v>
      </c>
      <c r="C761" s="4" t="s">
        <v>24</v>
      </c>
      <c r="D761" s="4">
        <v>152</v>
      </c>
      <c r="E761" s="5" t="s">
        <v>13</v>
      </c>
      <c r="F761" s="9">
        <v>45196</v>
      </c>
      <c r="G761" s="4">
        <v>88</v>
      </c>
      <c r="H761" s="23">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Row],[Duration]]&lt;=30,"10 TO 30 MINS",
     CALLS[[#This Row],[Duration]]&lt;=120,"1 TO 2 HOURS",
     TRUE,"&gt; 2 HOURS")</f>
        <v>&gt; 2 HOURS</v>
      </c>
      <c r="L761">
        <f>ROUND(CALLS[[#This Row],[Satisfaction Rating]],0)</f>
        <v>5</v>
      </c>
      <c r="M761" cm="1">
        <f t="array" ref="M761">_xlfn.IFS(CALLS[[#This Row],[DURATION BACKET]]="UNDER 10 MINS",1,
     CALLS[[#This Row],[DURATION BACKET]]="10 TO 30 MINS",2,
     CALLS[[#This Row],[DURATION BACKET]]="1 TO 2 HOURS",3,
     CALLS[[#This Row],[DURATION BACKET]]="&gt; 2 HOURS",4)</f>
        <v>4</v>
      </c>
      <c r="N761">
        <f>(CALLS[[#This Row],[Purchase Amount]]/ 1)</f>
        <v>88</v>
      </c>
    </row>
    <row r="762" spans="2:14" x14ac:dyDescent="0.25">
      <c r="B762" s="22" t="s">
        <v>784</v>
      </c>
      <c r="C762" s="4" t="s">
        <v>17</v>
      </c>
      <c r="D762" s="4">
        <v>108</v>
      </c>
      <c r="E762" s="5" t="s">
        <v>9</v>
      </c>
      <c r="F762" s="9">
        <v>45196</v>
      </c>
      <c r="G762" s="4">
        <v>190</v>
      </c>
      <c r="H762" s="23">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Row],[Duration]]&lt;=30,"10 TO 30 MINS",
     CALLS[[#This Row],[Duration]]&lt;=120,"1 TO 2 HOURS",
     TRUE,"&gt; 2 HOURS")</f>
        <v>1 TO 2 HOURS</v>
      </c>
      <c r="L762">
        <f>ROUND(CALLS[[#This Row],[Satisfaction Rating]],0)</f>
        <v>3</v>
      </c>
      <c r="M762" cm="1">
        <f t="array" ref="M762">_xlfn.IFS(CALLS[[#This Row],[DURATION BACKET]]="UNDER 10 MINS",1,
     CALLS[[#This Row],[DURATION BACKET]]="10 TO 30 MINS",2,
     CALLS[[#This Row],[DURATION BACKET]]="1 TO 2 HOURS",3,
     CALLS[[#This Row],[DURATION BACKET]]="&gt; 2 HOURS",4)</f>
        <v>3</v>
      </c>
      <c r="N762">
        <f>(CALLS[[#This Row],[Purchase Amount]]/ 1)</f>
        <v>190</v>
      </c>
    </row>
    <row r="763" spans="2:14" x14ac:dyDescent="0.25">
      <c r="B763" s="22" t="s">
        <v>785</v>
      </c>
      <c r="C763" s="4" t="s">
        <v>17</v>
      </c>
      <c r="D763" s="4">
        <v>156</v>
      </c>
      <c r="E763" s="5" t="s">
        <v>13</v>
      </c>
      <c r="F763" s="9">
        <v>45196</v>
      </c>
      <c r="G763" s="4">
        <v>81</v>
      </c>
      <c r="H763" s="2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Row],[Duration]]&lt;=30,"10 TO 30 MINS",
     CALLS[[#This Row],[Duration]]&lt;=120,"1 TO 2 HOURS",
     TRUE,"&gt; 2 HOURS")</f>
        <v>&gt; 2 HOURS</v>
      </c>
      <c r="L763">
        <f>ROUND(CALLS[[#This Row],[Satisfaction Rating]],0)</f>
        <v>5</v>
      </c>
      <c r="M763" cm="1">
        <f t="array" ref="M763">_xlfn.IFS(CALLS[[#This Row],[DURATION BACKET]]="UNDER 10 MINS",1,
     CALLS[[#This Row],[DURATION BACKET]]="10 TO 30 MINS",2,
     CALLS[[#This Row],[DURATION BACKET]]="1 TO 2 HOURS",3,
     CALLS[[#This Row],[DURATION BACKET]]="&gt; 2 HOURS",4)</f>
        <v>4</v>
      </c>
      <c r="N763">
        <f>(CALLS[[#This Row],[Purchase Amount]]/ 1)</f>
        <v>81</v>
      </c>
    </row>
    <row r="764" spans="2:14" x14ac:dyDescent="0.25">
      <c r="B764" s="22" t="s">
        <v>786</v>
      </c>
      <c r="C764" s="4" t="s">
        <v>7</v>
      </c>
      <c r="D764" s="4">
        <v>126</v>
      </c>
      <c r="E764" s="5" t="s">
        <v>9</v>
      </c>
      <c r="F764" s="9">
        <v>45196</v>
      </c>
      <c r="G764" s="4">
        <v>44</v>
      </c>
      <c r="H764" s="23">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Row],[Duration]]&lt;=30,"10 TO 30 MINS",
     CALLS[[#This Row],[Duration]]&lt;=120,"1 TO 2 HOURS",
     TRUE,"&gt; 2 HOURS")</f>
        <v>&gt; 2 HOURS</v>
      </c>
      <c r="L764">
        <f>ROUND(CALLS[[#This Row],[Satisfaction Rating]],0)</f>
        <v>4</v>
      </c>
      <c r="M764" cm="1">
        <f t="array" ref="M764">_xlfn.IFS(CALLS[[#This Row],[DURATION BACKET]]="UNDER 10 MINS",1,
     CALLS[[#This Row],[DURATION BACKET]]="10 TO 30 MINS",2,
     CALLS[[#This Row],[DURATION BACKET]]="1 TO 2 HOURS",3,
     CALLS[[#This Row],[DURATION BACKET]]="&gt; 2 HOURS",4)</f>
        <v>4</v>
      </c>
      <c r="N764">
        <f>(CALLS[[#This Row],[Purchase Amount]]/ 1)</f>
        <v>44</v>
      </c>
    </row>
    <row r="765" spans="2:14" x14ac:dyDescent="0.25">
      <c r="B765" s="22" t="s">
        <v>787</v>
      </c>
      <c r="C765" s="4" t="s">
        <v>23</v>
      </c>
      <c r="D765" s="4">
        <v>135</v>
      </c>
      <c r="E765" s="5" t="s">
        <v>13</v>
      </c>
      <c r="F765" s="9">
        <v>45197</v>
      </c>
      <c r="G765" s="4">
        <v>92</v>
      </c>
      <c r="H765" s="23">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Row],[Duration]]&lt;=30,"10 TO 30 MINS",
     CALLS[[#This Row],[Duration]]&lt;=120,"1 TO 2 HOURS",
     TRUE,"&gt; 2 HOURS")</f>
        <v>&gt; 2 HOURS</v>
      </c>
      <c r="L765">
        <f>ROUND(CALLS[[#This Row],[Satisfaction Rating]],0)</f>
        <v>4</v>
      </c>
      <c r="M765" cm="1">
        <f t="array" ref="M765">_xlfn.IFS(CALLS[[#This Row],[DURATION BACKET]]="UNDER 10 MINS",1,
     CALLS[[#This Row],[DURATION BACKET]]="10 TO 30 MINS",2,
     CALLS[[#This Row],[DURATION BACKET]]="1 TO 2 HOURS",3,
     CALLS[[#This Row],[DURATION BACKET]]="&gt; 2 HOURS",4)</f>
        <v>4</v>
      </c>
      <c r="N765">
        <f>(CALLS[[#This Row],[Purchase Amount]]/ 1)</f>
        <v>92</v>
      </c>
    </row>
    <row r="766" spans="2:14" x14ac:dyDescent="0.25">
      <c r="B766" s="22" t="s">
        <v>788</v>
      </c>
      <c r="C766" s="4" t="s">
        <v>7</v>
      </c>
      <c r="D766" s="4">
        <v>110</v>
      </c>
      <c r="E766" s="5" t="s">
        <v>10</v>
      </c>
      <c r="F766" s="9">
        <v>45198</v>
      </c>
      <c r="G766" s="4">
        <v>90</v>
      </c>
      <c r="H766" s="23">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Row],[Duration]]&lt;=30,"10 TO 30 MINS",
     CALLS[[#This Row],[Duration]]&lt;=120,"1 TO 2 HOURS",
     TRUE,"&gt; 2 HOURS")</f>
        <v>1 TO 2 HOURS</v>
      </c>
      <c r="L766">
        <f>ROUND(CALLS[[#This Row],[Satisfaction Rating]],0)</f>
        <v>3</v>
      </c>
      <c r="M766" cm="1">
        <f t="array" ref="M766">_xlfn.IFS(CALLS[[#This Row],[DURATION BACKET]]="UNDER 10 MINS",1,
     CALLS[[#This Row],[DURATION BACKET]]="10 TO 30 MINS",2,
     CALLS[[#This Row],[DURATION BACKET]]="1 TO 2 HOURS",3,
     CALLS[[#This Row],[DURATION BACKET]]="&gt; 2 HOURS",4)</f>
        <v>3</v>
      </c>
      <c r="N766">
        <f>(CALLS[[#This Row],[Purchase Amount]]/ 1)</f>
        <v>90</v>
      </c>
    </row>
    <row r="767" spans="2:14" x14ac:dyDescent="0.25">
      <c r="B767" s="22" t="s">
        <v>789</v>
      </c>
      <c r="C767" s="4" t="s">
        <v>19</v>
      </c>
      <c r="D767" s="4">
        <v>64</v>
      </c>
      <c r="E767" s="5" t="s">
        <v>13</v>
      </c>
      <c r="F767" s="9">
        <v>45198</v>
      </c>
      <c r="G767" s="4">
        <v>112</v>
      </c>
      <c r="H767" s="23">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Row],[Duration]]&lt;=30,"10 TO 30 MINS",
     CALLS[[#This Row],[Duration]]&lt;=120,"1 TO 2 HOURS",
     TRUE,"&gt; 2 HOURS")</f>
        <v>1 TO 2 HOURS</v>
      </c>
      <c r="L767">
        <f>ROUND(CALLS[[#This Row],[Satisfaction Rating]],0)</f>
        <v>2</v>
      </c>
      <c r="M767" cm="1">
        <f t="array" ref="M767">_xlfn.IFS(CALLS[[#This Row],[DURATION BACKET]]="UNDER 10 MINS",1,
     CALLS[[#This Row],[DURATION BACKET]]="10 TO 30 MINS",2,
     CALLS[[#This Row],[DURATION BACKET]]="1 TO 2 HOURS",3,
     CALLS[[#This Row],[DURATION BACKET]]="&gt; 2 HOURS",4)</f>
        <v>3</v>
      </c>
      <c r="N767">
        <f>(CALLS[[#This Row],[Purchase Amount]]/ 1)</f>
        <v>112</v>
      </c>
    </row>
    <row r="768" spans="2:14" x14ac:dyDescent="0.25">
      <c r="B768" s="22" t="s">
        <v>790</v>
      </c>
      <c r="C768" s="4" t="s">
        <v>22</v>
      </c>
      <c r="D768" s="4">
        <v>127</v>
      </c>
      <c r="E768" s="5" t="s">
        <v>9</v>
      </c>
      <c r="F768" s="9">
        <v>45198</v>
      </c>
      <c r="G768" s="4">
        <v>112</v>
      </c>
      <c r="H768" s="23">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Row],[Duration]]&lt;=30,"10 TO 30 MINS",
     CALLS[[#This Row],[Duration]]&lt;=120,"1 TO 2 HOURS",
     TRUE,"&gt; 2 HOURS")</f>
        <v>&gt; 2 HOURS</v>
      </c>
      <c r="L768">
        <f>ROUND(CALLS[[#This Row],[Satisfaction Rating]],0)</f>
        <v>5</v>
      </c>
      <c r="M768" cm="1">
        <f t="array" ref="M768">_xlfn.IFS(CALLS[[#This Row],[DURATION BACKET]]="UNDER 10 MINS",1,
     CALLS[[#This Row],[DURATION BACKET]]="10 TO 30 MINS",2,
     CALLS[[#This Row],[DURATION BACKET]]="1 TO 2 HOURS",3,
     CALLS[[#This Row],[DURATION BACKET]]="&gt; 2 HOURS",4)</f>
        <v>4</v>
      </c>
      <c r="N768">
        <f>(CALLS[[#This Row],[Purchase Amount]]/ 1)</f>
        <v>112</v>
      </c>
    </row>
    <row r="769" spans="2:14" x14ac:dyDescent="0.25">
      <c r="B769" s="22" t="s">
        <v>791</v>
      </c>
      <c r="C769" s="4" t="s">
        <v>5</v>
      </c>
      <c r="D769" s="4">
        <v>124</v>
      </c>
      <c r="E769" s="5" t="s">
        <v>11</v>
      </c>
      <c r="F769" s="9">
        <v>45198</v>
      </c>
      <c r="G769" s="4">
        <v>48</v>
      </c>
      <c r="H769" s="23">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Row],[Duration]]&lt;=30,"10 TO 30 MINS",
     CALLS[[#This Row],[Duration]]&lt;=120,"1 TO 2 HOURS",
     TRUE,"&gt; 2 HOURS")</f>
        <v>&gt; 2 HOURS</v>
      </c>
      <c r="L769">
        <f>ROUND(CALLS[[#This Row],[Satisfaction Rating]],0)</f>
        <v>4</v>
      </c>
      <c r="M769" cm="1">
        <f t="array" ref="M769">_xlfn.IFS(CALLS[[#This Row],[DURATION BACKET]]="UNDER 10 MINS",1,
     CALLS[[#This Row],[DURATION BACKET]]="10 TO 30 MINS",2,
     CALLS[[#This Row],[DURATION BACKET]]="1 TO 2 HOURS",3,
     CALLS[[#This Row],[DURATION BACKET]]="&gt; 2 HOURS",4)</f>
        <v>4</v>
      </c>
      <c r="N769">
        <f>(CALLS[[#This Row],[Purchase Amount]]/ 1)</f>
        <v>48</v>
      </c>
    </row>
    <row r="770" spans="2:14" x14ac:dyDescent="0.25">
      <c r="B770" s="22" t="s">
        <v>792</v>
      </c>
      <c r="C770" s="4" t="s">
        <v>19</v>
      </c>
      <c r="D770" s="4">
        <v>125</v>
      </c>
      <c r="E770" s="5" t="s">
        <v>9</v>
      </c>
      <c r="F770" s="9">
        <v>45198</v>
      </c>
      <c r="G770" s="4">
        <v>116</v>
      </c>
      <c r="H770" s="23">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Row],[Duration]]&lt;=30,"10 TO 30 MINS",
     CALLS[[#This Row],[Duration]]&lt;=120,"1 TO 2 HOURS",
     TRUE,"&gt; 2 HOURS")</f>
        <v>&gt; 2 HOURS</v>
      </c>
      <c r="L770">
        <f>ROUND(CALLS[[#This Row],[Satisfaction Rating]],0)</f>
        <v>4</v>
      </c>
      <c r="M770" cm="1">
        <f t="array" ref="M770">_xlfn.IFS(CALLS[[#This Row],[DURATION BACKET]]="UNDER 10 MINS",1,
     CALLS[[#This Row],[DURATION BACKET]]="10 TO 30 MINS",2,
     CALLS[[#This Row],[DURATION BACKET]]="1 TO 2 HOURS",3,
     CALLS[[#This Row],[DURATION BACKET]]="&gt; 2 HOURS",4)</f>
        <v>4</v>
      </c>
      <c r="N770">
        <f>(CALLS[[#This Row],[Purchase Amount]]/ 1)</f>
        <v>116</v>
      </c>
    </row>
    <row r="771" spans="2:14" x14ac:dyDescent="0.25">
      <c r="B771" s="22" t="s">
        <v>793</v>
      </c>
      <c r="C771" s="4" t="s">
        <v>12</v>
      </c>
      <c r="D771" s="4">
        <v>70</v>
      </c>
      <c r="E771" s="5" t="s">
        <v>9</v>
      </c>
      <c r="F771" s="9">
        <v>45198</v>
      </c>
      <c r="G771" s="4">
        <v>29</v>
      </c>
      <c r="H771" s="23">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Row],[Duration]]&lt;=30,"10 TO 30 MINS",
     CALLS[[#This Row],[Duration]]&lt;=120,"1 TO 2 HOURS",
     TRUE,"&gt; 2 HOURS")</f>
        <v>1 TO 2 HOURS</v>
      </c>
      <c r="L771">
        <f>ROUND(CALLS[[#This Row],[Satisfaction Rating]],0)</f>
        <v>2</v>
      </c>
      <c r="M771" cm="1">
        <f t="array" ref="M771">_xlfn.IFS(CALLS[[#This Row],[DURATION BACKET]]="UNDER 10 MINS",1,
     CALLS[[#This Row],[DURATION BACKET]]="10 TO 30 MINS",2,
     CALLS[[#This Row],[DURATION BACKET]]="1 TO 2 HOURS",3,
     CALLS[[#This Row],[DURATION BACKET]]="&gt; 2 HOURS",4)</f>
        <v>3</v>
      </c>
      <c r="N771">
        <f>(CALLS[[#This Row],[Purchase Amount]]/ 1)</f>
        <v>29</v>
      </c>
    </row>
    <row r="772" spans="2:14" x14ac:dyDescent="0.25">
      <c r="B772" s="22" t="s">
        <v>794</v>
      </c>
      <c r="C772" s="4" t="s">
        <v>22</v>
      </c>
      <c r="D772" s="4">
        <v>93</v>
      </c>
      <c r="E772" s="5" t="s">
        <v>13</v>
      </c>
      <c r="F772" s="9">
        <v>45199</v>
      </c>
      <c r="G772" s="4">
        <v>170</v>
      </c>
      <c r="H772" s="23">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Row],[Duration]]&lt;=30,"10 TO 30 MINS",
     CALLS[[#This Row],[Duration]]&lt;=120,"1 TO 2 HOURS",
     TRUE,"&gt; 2 HOURS")</f>
        <v>1 TO 2 HOURS</v>
      </c>
      <c r="L772">
        <f>ROUND(CALLS[[#This Row],[Satisfaction Rating]],0)</f>
        <v>2</v>
      </c>
      <c r="M772" cm="1">
        <f t="array" ref="M772">_xlfn.IFS(CALLS[[#This Row],[DURATION BACKET]]="UNDER 10 MINS",1,
     CALLS[[#This Row],[DURATION BACKET]]="10 TO 30 MINS",2,
     CALLS[[#This Row],[DURATION BACKET]]="1 TO 2 HOURS",3,
     CALLS[[#This Row],[DURATION BACKET]]="&gt; 2 HOURS",4)</f>
        <v>3</v>
      </c>
      <c r="N772">
        <f>(CALLS[[#This Row],[Purchase Amount]]/ 1)</f>
        <v>170</v>
      </c>
    </row>
    <row r="773" spans="2:14" x14ac:dyDescent="0.25">
      <c r="B773" s="22" t="s">
        <v>795</v>
      </c>
      <c r="C773" s="4" t="s">
        <v>12</v>
      </c>
      <c r="D773" s="4">
        <v>120</v>
      </c>
      <c r="E773" s="5" t="s">
        <v>6</v>
      </c>
      <c r="F773" s="9">
        <v>45199</v>
      </c>
      <c r="G773" s="4">
        <v>68</v>
      </c>
      <c r="H773" s="2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Row],[Duration]]&lt;=30,"10 TO 30 MINS",
     CALLS[[#This Row],[Duration]]&lt;=120,"1 TO 2 HOURS",
     TRUE,"&gt; 2 HOURS")</f>
        <v>1 TO 2 HOURS</v>
      </c>
      <c r="L773">
        <f>ROUND(CALLS[[#This Row],[Satisfaction Rating]],0)</f>
        <v>3</v>
      </c>
      <c r="M773" cm="1">
        <f t="array" ref="M773">_xlfn.IFS(CALLS[[#This Row],[DURATION BACKET]]="UNDER 10 MINS",1,
     CALLS[[#This Row],[DURATION BACKET]]="10 TO 30 MINS",2,
     CALLS[[#This Row],[DURATION BACKET]]="1 TO 2 HOURS",3,
     CALLS[[#This Row],[DURATION BACKET]]="&gt; 2 HOURS",4)</f>
        <v>3</v>
      </c>
      <c r="N773">
        <f>(CALLS[[#This Row],[Purchase Amount]]/ 1)</f>
        <v>68</v>
      </c>
    </row>
    <row r="774" spans="2:14" x14ac:dyDescent="0.25">
      <c r="B774" s="22" t="s">
        <v>796</v>
      </c>
      <c r="C774" s="4" t="s">
        <v>8</v>
      </c>
      <c r="D774" s="4">
        <v>96</v>
      </c>
      <c r="E774" s="5" t="s">
        <v>10</v>
      </c>
      <c r="F774" s="9">
        <v>45199</v>
      </c>
      <c r="G774" s="4">
        <v>195</v>
      </c>
      <c r="H774" s="23">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Row],[Duration]]&lt;=30,"10 TO 30 MINS",
     CALLS[[#This Row],[Duration]]&lt;=120,"1 TO 2 HOURS",
     TRUE,"&gt; 2 HOURS")</f>
        <v>1 TO 2 HOURS</v>
      </c>
      <c r="L774">
        <f>ROUND(CALLS[[#This Row],[Satisfaction Rating]],0)</f>
        <v>3</v>
      </c>
      <c r="M774" cm="1">
        <f t="array" ref="M774">_xlfn.IFS(CALLS[[#This Row],[DURATION BACKET]]="UNDER 10 MINS",1,
     CALLS[[#This Row],[DURATION BACKET]]="10 TO 30 MINS",2,
     CALLS[[#This Row],[DURATION BACKET]]="1 TO 2 HOURS",3,
     CALLS[[#This Row],[DURATION BACKET]]="&gt; 2 HOURS",4)</f>
        <v>3</v>
      </c>
      <c r="N774">
        <f>(CALLS[[#This Row],[Purchase Amount]]/ 1)</f>
        <v>195</v>
      </c>
    </row>
    <row r="775" spans="2:14" x14ac:dyDescent="0.25">
      <c r="B775" s="22" t="s">
        <v>797</v>
      </c>
      <c r="C775" s="4" t="s">
        <v>21</v>
      </c>
      <c r="D775" s="4">
        <v>67</v>
      </c>
      <c r="E775" s="5" t="s">
        <v>10</v>
      </c>
      <c r="F775" s="9">
        <v>45199</v>
      </c>
      <c r="G775" s="4">
        <v>96</v>
      </c>
      <c r="H775" s="23">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Row],[Duration]]&lt;=30,"10 TO 30 MINS",
     CALLS[[#This Row],[Duration]]&lt;=120,"1 TO 2 HOURS",
     TRUE,"&gt; 2 HOURS")</f>
        <v>1 TO 2 HOURS</v>
      </c>
      <c r="L775">
        <f>ROUND(CALLS[[#This Row],[Satisfaction Rating]],0)</f>
        <v>4</v>
      </c>
      <c r="M775" cm="1">
        <f t="array" ref="M775">_xlfn.IFS(CALLS[[#This Row],[DURATION BACKET]]="UNDER 10 MINS",1,
     CALLS[[#This Row],[DURATION BACKET]]="10 TO 30 MINS",2,
     CALLS[[#This Row],[DURATION BACKET]]="1 TO 2 HOURS",3,
     CALLS[[#This Row],[DURATION BACKET]]="&gt; 2 HOURS",4)</f>
        <v>3</v>
      </c>
      <c r="N775">
        <f>(CALLS[[#This Row],[Purchase Amount]]/ 1)</f>
        <v>96</v>
      </c>
    </row>
    <row r="776" spans="2:14" x14ac:dyDescent="0.25">
      <c r="B776" s="22" t="s">
        <v>798</v>
      </c>
      <c r="C776" s="4" t="s">
        <v>19</v>
      </c>
      <c r="D776" s="4">
        <v>119</v>
      </c>
      <c r="E776" s="5" t="s">
        <v>10</v>
      </c>
      <c r="F776" s="9">
        <v>45199</v>
      </c>
      <c r="G776" s="4">
        <v>96</v>
      </c>
      <c r="H776" s="23">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Row],[Duration]]&lt;=30,"10 TO 30 MINS",
     CALLS[[#This Row],[Duration]]&lt;=120,"1 TO 2 HOURS",
     TRUE,"&gt; 2 HOURS")</f>
        <v>1 TO 2 HOURS</v>
      </c>
      <c r="L776">
        <f>ROUND(CALLS[[#This Row],[Satisfaction Rating]],0)</f>
        <v>3</v>
      </c>
      <c r="M776" cm="1">
        <f t="array" ref="M776">_xlfn.IFS(CALLS[[#This Row],[DURATION BACKET]]="UNDER 10 MINS",1,
     CALLS[[#This Row],[DURATION BACKET]]="10 TO 30 MINS",2,
     CALLS[[#This Row],[DURATION BACKET]]="1 TO 2 HOURS",3,
     CALLS[[#This Row],[DURATION BACKET]]="&gt; 2 HOURS",4)</f>
        <v>3</v>
      </c>
      <c r="N776">
        <f>(CALLS[[#This Row],[Purchase Amount]]/ 1)</f>
        <v>96</v>
      </c>
    </row>
    <row r="777" spans="2:14" x14ac:dyDescent="0.25">
      <c r="B777" s="22" t="s">
        <v>799</v>
      </c>
      <c r="C777" s="4" t="s">
        <v>5</v>
      </c>
      <c r="D777" s="4">
        <v>61</v>
      </c>
      <c r="E777" s="5" t="s">
        <v>11</v>
      </c>
      <c r="F777" s="9">
        <v>45199</v>
      </c>
      <c r="G777" s="4">
        <v>117</v>
      </c>
      <c r="H777" s="23">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Row],[Duration]]&lt;=30,"10 TO 30 MINS",
     CALLS[[#This Row],[Duration]]&lt;=120,"1 TO 2 HOURS",
     TRUE,"&gt; 2 HOURS")</f>
        <v>1 TO 2 HOURS</v>
      </c>
      <c r="L777">
        <f>ROUND(CALLS[[#This Row],[Satisfaction Rating]],0)</f>
        <v>4</v>
      </c>
      <c r="M777" cm="1">
        <f t="array" ref="M777">_xlfn.IFS(CALLS[[#This Row],[DURATION BACKET]]="UNDER 10 MINS",1,
     CALLS[[#This Row],[DURATION BACKET]]="10 TO 30 MINS",2,
     CALLS[[#This Row],[DURATION BACKET]]="1 TO 2 HOURS",3,
     CALLS[[#This Row],[DURATION BACKET]]="&gt; 2 HOURS",4)</f>
        <v>3</v>
      </c>
      <c r="N777">
        <f>(CALLS[[#This Row],[Purchase Amount]]/ 1)</f>
        <v>117</v>
      </c>
    </row>
    <row r="778" spans="2:14" x14ac:dyDescent="0.25">
      <c r="B778" s="22" t="s">
        <v>800</v>
      </c>
      <c r="C778" s="4" t="s">
        <v>8</v>
      </c>
      <c r="D778" s="4">
        <v>29</v>
      </c>
      <c r="E778" s="5" t="s">
        <v>13</v>
      </c>
      <c r="F778" s="9">
        <v>45199</v>
      </c>
      <c r="G778" s="4">
        <v>80</v>
      </c>
      <c r="H778" s="23">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Row],[Duration]]&lt;=30,"10 TO 30 MINS",
     CALLS[[#This Row],[Duration]]&lt;=120,"1 TO 2 HOURS",
     TRUE,"&gt; 2 HOURS")</f>
        <v>10 TO 30 MINS</v>
      </c>
      <c r="L778">
        <f>ROUND(CALLS[[#This Row],[Satisfaction Rating]],0)</f>
        <v>5</v>
      </c>
      <c r="M778" cm="1">
        <f t="array" ref="M778">_xlfn.IFS(CALLS[[#This Row],[DURATION BACKET]]="UNDER 10 MINS",1,
     CALLS[[#This Row],[DURATION BACKET]]="10 TO 30 MINS",2,
     CALLS[[#This Row],[DURATION BACKET]]="1 TO 2 HOURS",3,
     CALLS[[#This Row],[DURATION BACKET]]="&gt; 2 HOURS",4)</f>
        <v>2</v>
      </c>
      <c r="N778">
        <f>(CALLS[[#This Row],[Purchase Amount]]/ 1)</f>
        <v>80</v>
      </c>
    </row>
    <row r="779" spans="2:14" x14ac:dyDescent="0.25">
      <c r="B779" s="22" t="s">
        <v>801</v>
      </c>
      <c r="C779" s="4" t="s">
        <v>24</v>
      </c>
      <c r="D779" s="4">
        <v>134</v>
      </c>
      <c r="E779" s="5" t="s">
        <v>6</v>
      </c>
      <c r="F779" s="9">
        <v>45199</v>
      </c>
      <c r="G779" s="4">
        <v>117</v>
      </c>
      <c r="H779" s="23">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Row],[Duration]]&lt;=30,"10 TO 30 MINS",
     CALLS[[#This Row],[Duration]]&lt;=120,"1 TO 2 HOURS",
     TRUE,"&gt; 2 HOURS")</f>
        <v>&gt; 2 HOURS</v>
      </c>
      <c r="L779">
        <f>ROUND(CALLS[[#This Row],[Satisfaction Rating]],0)</f>
        <v>4</v>
      </c>
      <c r="M779" cm="1">
        <f t="array" ref="M779">_xlfn.IFS(CALLS[[#This Row],[DURATION BACKET]]="UNDER 10 MINS",1,
     CALLS[[#This Row],[DURATION BACKET]]="10 TO 30 MINS",2,
     CALLS[[#This Row],[DURATION BACKET]]="1 TO 2 HOURS",3,
     CALLS[[#This Row],[DURATION BACKET]]="&gt; 2 HOURS",4)</f>
        <v>4</v>
      </c>
      <c r="N779">
        <f>(CALLS[[#This Row],[Purchase Amount]]/ 1)</f>
        <v>117</v>
      </c>
    </row>
    <row r="780" spans="2:14" x14ac:dyDescent="0.25">
      <c r="B780" s="22" t="s">
        <v>802</v>
      </c>
      <c r="C780" s="4" t="s">
        <v>7</v>
      </c>
      <c r="D780" s="4">
        <v>113</v>
      </c>
      <c r="E780" s="5" t="s">
        <v>10</v>
      </c>
      <c r="F780" s="9">
        <v>45200</v>
      </c>
      <c r="G780" s="4">
        <v>40</v>
      </c>
      <c r="H780" s="23">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Row],[Duration]]&lt;=30,"10 TO 30 MINS",
     CALLS[[#This Row],[Duration]]&lt;=120,"1 TO 2 HOURS",
     TRUE,"&gt; 2 HOURS")</f>
        <v>1 TO 2 HOURS</v>
      </c>
      <c r="L780">
        <f>ROUND(CALLS[[#This Row],[Satisfaction Rating]],0)</f>
        <v>3</v>
      </c>
      <c r="M780" cm="1">
        <f t="array" ref="M780">_xlfn.IFS(CALLS[[#This Row],[DURATION BACKET]]="UNDER 10 MINS",1,
     CALLS[[#This Row],[DURATION BACKET]]="10 TO 30 MINS",2,
     CALLS[[#This Row],[DURATION BACKET]]="1 TO 2 HOURS",3,
     CALLS[[#This Row],[DURATION BACKET]]="&gt; 2 HOURS",4)</f>
        <v>3</v>
      </c>
      <c r="N780">
        <f>(CALLS[[#This Row],[Purchase Amount]]/ 1)</f>
        <v>40</v>
      </c>
    </row>
    <row r="781" spans="2:14" x14ac:dyDescent="0.25">
      <c r="B781" s="22" t="s">
        <v>803</v>
      </c>
      <c r="C781" s="4" t="s">
        <v>17</v>
      </c>
      <c r="D781" s="4">
        <v>12</v>
      </c>
      <c r="E781" s="5" t="s">
        <v>6</v>
      </c>
      <c r="F781" s="9">
        <v>45200</v>
      </c>
      <c r="G781" s="4">
        <v>117</v>
      </c>
      <c r="H781" s="23">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Row],[Duration]]&lt;=30,"10 TO 30 MINS",
     CALLS[[#This Row],[Duration]]&lt;=120,"1 TO 2 HOURS",
     TRUE,"&gt; 2 HOURS")</f>
        <v>10 TO 30 MINS</v>
      </c>
      <c r="L781">
        <f>ROUND(CALLS[[#This Row],[Satisfaction Rating]],0)</f>
        <v>5</v>
      </c>
      <c r="M781" cm="1">
        <f t="array" ref="M781">_xlfn.IFS(CALLS[[#This Row],[DURATION BACKET]]="UNDER 10 MINS",1,
     CALLS[[#This Row],[DURATION BACKET]]="10 TO 30 MINS",2,
     CALLS[[#This Row],[DURATION BACKET]]="1 TO 2 HOURS",3,
     CALLS[[#This Row],[DURATION BACKET]]="&gt; 2 HOURS",4)</f>
        <v>2</v>
      </c>
      <c r="N781">
        <f>(CALLS[[#This Row],[Purchase Amount]]/ 1)</f>
        <v>117</v>
      </c>
    </row>
    <row r="782" spans="2:14" x14ac:dyDescent="0.25">
      <c r="B782" s="22" t="s">
        <v>804</v>
      </c>
      <c r="C782" s="4" t="s">
        <v>14</v>
      </c>
      <c r="D782" s="4">
        <v>78</v>
      </c>
      <c r="E782" s="5" t="s">
        <v>13</v>
      </c>
      <c r="F782" s="9">
        <v>45200</v>
      </c>
      <c r="G782" s="4">
        <v>135</v>
      </c>
      <c r="H782" s="23">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Row],[Duration]]&lt;=30,"10 TO 30 MINS",
     CALLS[[#This Row],[Duration]]&lt;=120,"1 TO 2 HOURS",
     TRUE,"&gt; 2 HOURS")</f>
        <v>1 TO 2 HOURS</v>
      </c>
      <c r="L782">
        <f>ROUND(CALLS[[#This Row],[Satisfaction Rating]],0)</f>
        <v>4</v>
      </c>
      <c r="M782" cm="1">
        <f t="array" ref="M782">_xlfn.IFS(CALLS[[#This Row],[DURATION BACKET]]="UNDER 10 MINS",1,
     CALLS[[#This Row],[DURATION BACKET]]="10 TO 30 MINS",2,
     CALLS[[#This Row],[DURATION BACKET]]="1 TO 2 HOURS",3,
     CALLS[[#This Row],[DURATION BACKET]]="&gt; 2 HOURS",4)</f>
        <v>3</v>
      </c>
      <c r="N782">
        <f>(CALLS[[#This Row],[Purchase Amount]]/ 1)</f>
        <v>135</v>
      </c>
    </row>
    <row r="783" spans="2:14" x14ac:dyDescent="0.25">
      <c r="B783" s="22" t="s">
        <v>805</v>
      </c>
      <c r="C783" s="4" t="s">
        <v>19</v>
      </c>
      <c r="D783" s="4">
        <v>82</v>
      </c>
      <c r="E783" s="5" t="s">
        <v>9</v>
      </c>
      <c r="F783" s="9">
        <v>45200</v>
      </c>
      <c r="G783" s="4">
        <v>99</v>
      </c>
      <c r="H783" s="2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Row],[Duration]]&lt;=30,"10 TO 30 MINS",
     CALLS[[#This Row],[Duration]]&lt;=120,"1 TO 2 HOURS",
     TRUE,"&gt; 2 HOURS")</f>
        <v>1 TO 2 HOURS</v>
      </c>
      <c r="L783">
        <f>ROUND(CALLS[[#This Row],[Satisfaction Rating]],0)</f>
        <v>4</v>
      </c>
      <c r="M783" cm="1">
        <f t="array" ref="M783">_xlfn.IFS(CALLS[[#This Row],[DURATION BACKET]]="UNDER 10 MINS",1,
     CALLS[[#This Row],[DURATION BACKET]]="10 TO 30 MINS",2,
     CALLS[[#This Row],[DURATION BACKET]]="1 TO 2 HOURS",3,
     CALLS[[#This Row],[DURATION BACKET]]="&gt; 2 HOURS",4)</f>
        <v>3</v>
      </c>
      <c r="N783">
        <f>(CALLS[[#This Row],[Purchase Amount]]/ 1)</f>
        <v>99</v>
      </c>
    </row>
    <row r="784" spans="2:14" x14ac:dyDescent="0.25">
      <c r="B784" s="22" t="s">
        <v>806</v>
      </c>
      <c r="C784" s="4" t="s">
        <v>18</v>
      </c>
      <c r="D784" s="4">
        <v>149</v>
      </c>
      <c r="E784" s="5" t="s">
        <v>11</v>
      </c>
      <c r="F784" s="9">
        <v>45200</v>
      </c>
      <c r="G784" s="4">
        <v>130</v>
      </c>
      <c r="H784" s="23">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Row],[Duration]]&lt;=30,"10 TO 30 MINS",
     CALLS[[#This Row],[Duration]]&lt;=120,"1 TO 2 HOURS",
     TRUE,"&gt; 2 HOURS")</f>
        <v>&gt; 2 HOURS</v>
      </c>
      <c r="L784">
        <f>ROUND(CALLS[[#This Row],[Satisfaction Rating]],0)</f>
        <v>3</v>
      </c>
      <c r="M784" cm="1">
        <f t="array" ref="M784">_xlfn.IFS(CALLS[[#This Row],[DURATION BACKET]]="UNDER 10 MINS",1,
     CALLS[[#This Row],[DURATION BACKET]]="10 TO 30 MINS",2,
     CALLS[[#This Row],[DURATION BACKET]]="1 TO 2 HOURS",3,
     CALLS[[#This Row],[DURATION BACKET]]="&gt; 2 HOURS",4)</f>
        <v>4</v>
      </c>
      <c r="N784">
        <f>(CALLS[[#This Row],[Purchase Amount]]/ 1)</f>
        <v>130</v>
      </c>
    </row>
    <row r="785" spans="2:14" x14ac:dyDescent="0.25">
      <c r="B785" s="22" t="s">
        <v>807</v>
      </c>
      <c r="C785" s="4" t="s">
        <v>15</v>
      </c>
      <c r="D785" s="4">
        <v>56</v>
      </c>
      <c r="E785" s="5" t="s">
        <v>6</v>
      </c>
      <c r="F785" s="9">
        <v>45200</v>
      </c>
      <c r="G785" s="4">
        <v>96</v>
      </c>
      <c r="H785" s="23">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Row],[Duration]]&lt;=30,"10 TO 30 MINS",
     CALLS[[#This Row],[Duration]]&lt;=120,"1 TO 2 HOURS",
     TRUE,"&gt; 2 HOURS")</f>
        <v>1 TO 2 HOURS</v>
      </c>
      <c r="L785">
        <f>ROUND(CALLS[[#This Row],[Satisfaction Rating]],0)</f>
        <v>5</v>
      </c>
      <c r="M785" cm="1">
        <f t="array" ref="M785">_xlfn.IFS(CALLS[[#This Row],[DURATION BACKET]]="UNDER 10 MINS",1,
     CALLS[[#This Row],[DURATION BACKET]]="10 TO 30 MINS",2,
     CALLS[[#This Row],[DURATION BACKET]]="1 TO 2 HOURS",3,
     CALLS[[#This Row],[DURATION BACKET]]="&gt; 2 HOURS",4)</f>
        <v>3</v>
      </c>
      <c r="N785">
        <f>(CALLS[[#This Row],[Purchase Amount]]/ 1)</f>
        <v>96</v>
      </c>
    </row>
    <row r="786" spans="2:14" x14ac:dyDescent="0.25">
      <c r="B786" s="22" t="s">
        <v>808</v>
      </c>
      <c r="C786" s="4" t="s">
        <v>8</v>
      </c>
      <c r="D786" s="4">
        <v>80</v>
      </c>
      <c r="E786" s="5" t="s">
        <v>11</v>
      </c>
      <c r="F786" s="9">
        <v>45200</v>
      </c>
      <c r="G786" s="4">
        <v>128</v>
      </c>
      <c r="H786" s="23">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Row],[Duration]]&lt;=30,"10 TO 30 MINS",
     CALLS[[#This Row],[Duration]]&lt;=120,"1 TO 2 HOURS",
     TRUE,"&gt; 2 HOURS")</f>
        <v>1 TO 2 HOURS</v>
      </c>
      <c r="L786">
        <f>ROUND(CALLS[[#This Row],[Satisfaction Rating]],0)</f>
        <v>4</v>
      </c>
      <c r="M786" cm="1">
        <f t="array" ref="M786">_xlfn.IFS(CALLS[[#This Row],[DURATION BACKET]]="UNDER 10 MINS",1,
     CALLS[[#This Row],[DURATION BACKET]]="10 TO 30 MINS",2,
     CALLS[[#This Row],[DURATION BACKET]]="1 TO 2 HOURS",3,
     CALLS[[#This Row],[DURATION BACKET]]="&gt; 2 HOURS",4)</f>
        <v>3</v>
      </c>
      <c r="N786">
        <f>(CALLS[[#This Row],[Purchase Amount]]/ 1)</f>
        <v>128</v>
      </c>
    </row>
    <row r="787" spans="2:14" x14ac:dyDescent="0.25">
      <c r="B787" s="22" t="s">
        <v>809</v>
      </c>
      <c r="C787" s="4" t="s">
        <v>5</v>
      </c>
      <c r="D787" s="4">
        <v>131</v>
      </c>
      <c r="E787" s="5" t="s">
        <v>10</v>
      </c>
      <c r="F787" s="9">
        <v>45200</v>
      </c>
      <c r="G787" s="4">
        <v>69</v>
      </c>
      <c r="H787" s="23">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Row],[Duration]]&lt;=30,"10 TO 30 MINS",
     CALLS[[#This Row],[Duration]]&lt;=120,"1 TO 2 HOURS",
     TRUE,"&gt; 2 HOURS")</f>
        <v>&gt; 2 HOURS</v>
      </c>
      <c r="L787">
        <f>ROUND(CALLS[[#This Row],[Satisfaction Rating]],0)</f>
        <v>5</v>
      </c>
      <c r="M787" cm="1">
        <f t="array" ref="M787">_xlfn.IFS(CALLS[[#This Row],[DURATION BACKET]]="UNDER 10 MINS",1,
     CALLS[[#This Row],[DURATION BACKET]]="10 TO 30 MINS",2,
     CALLS[[#This Row],[DURATION BACKET]]="1 TO 2 HOURS",3,
     CALLS[[#This Row],[DURATION BACKET]]="&gt; 2 HOURS",4)</f>
        <v>4</v>
      </c>
      <c r="N787">
        <f>(CALLS[[#This Row],[Purchase Amount]]/ 1)</f>
        <v>69</v>
      </c>
    </row>
    <row r="788" spans="2:14" x14ac:dyDescent="0.25">
      <c r="B788" s="22" t="s">
        <v>810</v>
      </c>
      <c r="C788" s="4" t="s">
        <v>5</v>
      </c>
      <c r="D788" s="4">
        <v>109</v>
      </c>
      <c r="E788" s="5" t="s">
        <v>10</v>
      </c>
      <c r="F788" s="9">
        <v>45200</v>
      </c>
      <c r="G788" s="4">
        <v>44</v>
      </c>
      <c r="H788" s="23">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Row],[Duration]]&lt;=30,"10 TO 30 MINS",
     CALLS[[#This Row],[Duration]]&lt;=120,"1 TO 2 HOURS",
     TRUE,"&gt; 2 HOURS")</f>
        <v>1 TO 2 HOURS</v>
      </c>
      <c r="L788">
        <f>ROUND(CALLS[[#This Row],[Satisfaction Rating]],0)</f>
        <v>5</v>
      </c>
      <c r="M788" cm="1">
        <f t="array" ref="M788">_xlfn.IFS(CALLS[[#This Row],[DURATION BACKET]]="UNDER 10 MINS",1,
     CALLS[[#This Row],[DURATION BACKET]]="10 TO 30 MINS",2,
     CALLS[[#This Row],[DURATION BACKET]]="1 TO 2 HOURS",3,
     CALLS[[#This Row],[DURATION BACKET]]="&gt; 2 HOURS",4)</f>
        <v>3</v>
      </c>
      <c r="N788">
        <f>(CALLS[[#This Row],[Purchase Amount]]/ 1)</f>
        <v>44</v>
      </c>
    </row>
    <row r="789" spans="2:14" x14ac:dyDescent="0.25">
      <c r="B789" s="22" t="s">
        <v>811</v>
      </c>
      <c r="C789" s="4" t="s">
        <v>15</v>
      </c>
      <c r="D789" s="4">
        <v>142</v>
      </c>
      <c r="E789" s="5" t="s">
        <v>10</v>
      </c>
      <c r="F789" s="9">
        <v>45200</v>
      </c>
      <c r="G789" s="4">
        <v>44</v>
      </c>
      <c r="H789" s="23">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Row],[Duration]]&lt;=30,"10 TO 30 MINS",
     CALLS[[#This Row],[Duration]]&lt;=120,"1 TO 2 HOURS",
     TRUE,"&gt; 2 HOURS")</f>
        <v>&gt; 2 HOURS</v>
      </c>
      <c r="L789">
        <f>ROUND(CALLS[[#This Row],[Satisfaction Rating]],0)</f>
        <v>5</v>
      </c>
      <c r="M789" cm="1">
        <f t="array" ref="M789">_xlfn.IFS(CALLS[[#This Row],[DURATION BACKET]]="UNDER 10 MINS",1,
     CALLS[[#This Row],[DURATION BACKET]]="10 TO 30 MINS",2,
     CALLS[[#This Row],[DURATION BACKET]]="1 TO 2 HOURS",3,
     CALLS[[#This Row],[DURATION BACKET]]="&gt; 2 HOURS",4)</f>
        <v>4</v>
      </c>
      <c r="N789">
        <f>(CALLS[[#This Row],[Purchase Amount]]/ 1)</f>
        <v>44</v>
      </c>
    </row>
    <row r="790" spans="2:14" x14ac:dyDescent="0.25">
      <c r="B790" s="22" t="s">
        <v>812</v>
      </c>
      <c r="C790" s="4" t="s">
        <v>22</v>
      </c>
      <c r="D790" s="4">
        <v>114</v>
      </c>
      <c r="E790" s="5" t="s">
        <v>6</v>
      </c>
      <c r="F790" s="9">
        <v>45201</v>
      </c>
      <c r="G790" s="4">
        <v>135</v>
      </c>
      <c r="H790" s="23">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Row],[Duration]]&lt;=30,"10 TO 30 MINS",
     CALLS[[#This Row],[Duration]]&lt;=120,"1 TO 2 HOURS",
     TRUE,"&gt; 2 HOURS")</f>
        <v>1 TO 2 HOURS</v>
      </c>
      <c r="L790">
        <f>ROUND(CALLS[[#This Row],[Satisfaction Rating]],0)</f>
        <v>2</v>
      </c>
      <c r="M790" cm="1">
        <f t="array" ref="M790">_xlfn.IFS(CALLS[[#This Row],[DURATION BACKET]]="UNDER 10 MINS",1,
     CALLS[[#This Row],[DURATION BACKET]]="10 TO 30 MINS",2,
     CALLS[[#This Row],[DURATION BACKET]]="1 TO 2 HOURS",3,
     CALLS[[#This Row],[DURATION BACKET]]="&gt; 2 HOURS",4)</f>
        <v>3</v>
      </c>
      <c r="N790">
        <f>(CALLS[[#This Row],[Purchase Amount]]/ 1)</f>
        <v>135</v>
      </c>
    </row>
    <row r="791" spans="2:14" x14ac:dyDescent="0.25">
      <c r="B791" s="22" t="s">
        <v>813</v>
      </c>
      <c r="C791" s="4" t="s">
        <v>21</v>
      </c>
      <c r="D791" s="4">
        <v>93</v>
      </c>
      <c r="E791" s="5" t="s">
        <v>11</v>
      </c>
      <c r="F791" s="9">
        <v>45201</v>
      </c>
      <c r="G791" s="4">
        <v>45</v>
      </c>
      <c r="H791" s="23">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Row],[Duration]]&lt;=30,"10 TO 30 MINS",
     CALLS[[#This Row],[Duration]]&lt;=120,"1 TO 2 HOURS",
     TRUE,"&gt; 2 HOURS")</f>
        <v>1 TO 2 HOURS</v>
      </c>
      <c r="L791">
        <f>ROUND(CALLS[[#This Row],[Satisfaction Rating]],0)</f>
        <v>4</v>
      </c>
      <c r="M791" cm="1">
        <f t="array" ref="M791">_xlfn.IFS(CALLS[[#This Row],[DURATION BACKET]]="UNDER 10 MINS",1,
     CALLS[[#This Row],[DURATION BACKET]]="10 TO 30 MINS",2,
     CALLS[[#This Row],[DURATION BACKET]]="1 TO 2 HOURS",3,
     CALLS[[#This Row],[DURATION BACKET]]="&gt; 2 HOURS",4)</f>
        <v>3</v>
      </c>
      <c r="N791">
        <f>(CALLS[[#This Row],[Purchase Amount]]/ 1)</f>
        <v>45</v>
      </c>
    </row>
    <row r="792" spans="2:14" x14ac:dyDescent="0.25">
      <c r="B792" s="22" t="s">
        <v>814</v>
      </c>
      <c r="C792" s="4" t="s">
        <v>17</v>
      </c>
      <c r="D792" s="4">
        <v>43</v>
      </c>
      <c r="E792" s="5" t="s">
        <v>11</v>
      </c>
      <c r="F792" s="9">
        <v>45201</v>
      </c>
      <c r="G792" s="4">
        <v>87</v>
      </c>
      <c r="H792" s="23">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Row],[Duration]]&lt;=30,"10 TO 30 MINS",
     CALLS[[#This Row],[Duration]]&lt;=120,"1 TO 2 HOURS",
     TRUE,"&gt; 2 HOURS")</f>
        <v>1 TO 2 HOURS</v>
      </c>
      <c r="L792">
        <f>ROUND(CALLS[[#This Row],[Satisfaction Rating]],0)</f>
        <v>3</v>
      </c>
      <c r="M792" cm="1">
        <f t="array" ref="M792">_xlfn.IFS(CALLS[[#This Row],[DURATION BACKET]]="UNDER 10 MINS",1,
     CALLS[[#This Row],[DURATION BACKET]]="10 TO 30 MINS",2,
     CALLS[[#This Row],[DURATION BACKET]]="1 TO 2 HOURS",3,
     CALLS[[#This Row],[DURATION BACKET]]="&gt; 2 HOURS",4)</f>
        <v>3</v>
      </c>
      <c r="N792">
        <f>(CALLS[[#This Row],[Purchase Amount]]/ 1)</f>
        <v>87</v>
      </c>
    </row>
    <row r="793" spans="2:14" x14ac:dyDescent="0.25">
      <c r="B793" s="22" t="s">
        <v>815</v>
      </c>
      <c r="C793" s="4" t="s">
        <v>24</v>
      </c>
      <c r="D793" s="4">
        <v>78</v>
      </c>
      <c r="E793" s="5" t="s">
        <v>13</v>
      </c>
      <c r="F793" s="9">
        <v>45202</v>
      </c>
      <c r="G793" s="4">
        <v>84</v>
      </c>
      <c r="H793" s="2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Row],[Duration]]&lt;=30,"10 TO 30 MINS",
     CALLS[[#This Row],[Duration]]&lt;=120,"1 TO 2 HOURS",
     TRUE,"&gt; 2 HOURS")</f>
        <v>1 TO 2 HOURS</v>
      </c>
      <c r="L793">
        <f>ROUND(CALLS[[#This Row],[Satisfaction Rating]],0)</f>
        <v>5</v>
      </c>
      <c r="M793" cm="1">
        <f t="array" ref="M793">_xlfn.IFS(CALLS[[#This Row],[DURATION BACKET]]="UNDER 10 MINS",1,
     CALLS[[#This Row],[DURATION BACKET]]="10 TO 30 MINS",2,
     CALLS[[#This Row],[DURATION BACKET]]="1 TO 2 HOURS",3,
     CALLS[[#This Row],[DURATION BACKET]]="&gt; 2 HOURS",4)</f>
        <v>3</v>
      </c>
      <c r="N793">
        <f>(CALLS[[#This Row],[Purchase Amount]]/ 1)</f>
        <v>84</v>
      </c>
    </row>
    <row r="794" spans="2:14" x14ac:dyDescent="0.25">
      <c r="B794" s="22" t="s">
        <v>816</v>
      </c>
      <c r="C794" s="4" t="s">
        <v>22</v>
      </c>
      <c r="D794" s="4">
        <v>89</v>
      </c>
      <c r="E794" s="5" t="s">
        <v>10</v>
      </c>
      <c r="F794" s="9">
        <v>45202</v>
      </c>
      <c r="G794" s="4">
        <v>81</v>
      </c>
      <c r="H794" s="23">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Row],[Duration]]&lt;=30,"10 TO 30 MINS",
     CALLS[[#This Row],[Duration]]&lt;=120,"1 TO 2 HOURS",
     TRUE,"&gt; 2 HOURS")</f>
        <v>1 TO 2 HOURS</v>
      </c>
      <c r="L794">
        <f>ROUND(CALLS[[#This Row],[Satisfaction Rating]],0)</f>
        <v>4</v>
      </c>
      <c r="M794" cm="1">
        <f t="array" ref="M794">_xlfn.IFS(CALLS[[#This Row],[DURATION BACKET]]="UNDER 10 MINS",1,
     CALLS[[#This Row],[DURATION BACKET]]="10 TO 30 MINS",2,
     CALLS[[#This Row],[DURATION BACKET]]="1 TO 2 HOURS",3,
     CALLS[[#This Row],[DURATION BACKET]]="&gt; 2 HOURS",4)</f>
        <v>3</v>
      </c>
      <c r="N794">
        <f>(CALLS[[#This Row],[Purchase Amount]]/ 1)</f>
        <v>81</v>
      </c>
    </row>
    <row r="795" spans="2:14" x14ac:dyDescent="0.25">
      <c r="B795" s="22" t="s">
        <v>817</v>
      </c>
      <c r="C795" s="4" t="s">
        <v>15</v>
      </c>
      <c r="D795" s="4">
        <v>82</v>
      </c>
      <c r="E795" s="5" t="s">
        <v>9</v>
      </c>
      <c r="F795" s="9">
        <v>45202</v>
      </c>
      <c r="G795" s="4">
        <v>130</v>
      </c>
      <c r="H795" s="23">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Row],[Duration]]&lt;=30,"10 TO 30 MINS",
     CALLS[[#This Row],[Duration]]&lt;=120,"1 TO 2 HOURS",
     TRUE,"&gt; 2 HOURS")</f>
        <v>1 TO 2 HOURS</v>
      </c>
      <c r="L795">
        <f>ROUND(CALLS[[#This Row],[Satisfaction Rating]],0)</f>
        <v>4</v>
      </c>
      <c r="M795" cm="1">
        <f t="array" ref="M795">_xlfn.IFS(CALLS[[#This Row],[DURATION BACKET]]="UNDER 10 MINS",1,
     CALLS[[#This Row],[DURATION BACKET]]="10 TO 30 MINS",2,
     CALLS[[#This Row],[DURATION BACKET]]="1 TO 2 HOURS",3,
     CALLS[[#This Row],[DURATION BACKET]]="&gt; 2 HOURS",4)</f>
        <v>3</v>
      </c>
      <c r="N795">
        <f>(CALLS[[#This Row],[Purchase Amount]]/ 1)</f>
        <v>130</v>
      </c>
    </row>
    <row r="796" spans="2:14" x14ac:dyDescent="0.25">
      <c r="B796" s="22" t="s">
        <v>818</v>
      </c>
      <c r="C796" s="4" t="s">
        <v>8</v>
      </c>
      <c r="D796" s="4">
        <v>86</v>
      </c>
      <c r="E796" s="5" t="s">
        <v>10</v>
      </c>
      <c r="F796" s="9">
        <v>45203</v>
      </c>
      <c r="G796" s="4">
        <v>92</v>
      </c>
      <c r="H796" s="23">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Row],[Duration]]&lt;=30,"10 TO 30 MINS",
     CALLS[[#This Row],[Duration]]&lt;=120,"1 TO 2 HOURS",
     TRUE,"&gt; 2 HOURS")</f>
        <v>1 TO 2 HOURS</v>
      </c>
      <c r="L796">
        <f>ROUND(CALLS[[#This Row],[Satisfaction Rating]],0)</f>
        <v>2</v>
      </c>
      <c r="M796" cm="1">
        <f t="array" ref="M796">_xlfn.IFS(CALLS[[#This Row],[DURATION BACKET]]="UNDER 10 MINS",1,
     CALLS[[#This Row],[DURATION BACKET]]="10 TO 30 MINS",2,
     CALLS[[#This Row],[DURATION BACKET]]="1 TO 2 HOURS",3,
     CALLS[[#This Row],[DURATION BACKET]]="&gt; 2 HOURS",4)</f>
        <v>3</v>
      </c>
      <c r="N796">
        <f>(CALLS[[#This Row],[Purchase Amount]]/ 1)</f>
        <v>92</v>
      </c>
    </row>
    <row r="797" spans="2:14" x14ac:dyDescent="0.25">
      <c r="B797" s="22" t="s">
        <v>819</v>
      </c>
      <c r="C797" s="4" t="s">
        <v>16</v>
      </c>
      <c r="D797" s="4">
        <v>57</v>
      </c>
      <c r="E797" s="5" t="s">
        <v>13</v>
      </c>
      <c r="F797" s="9">
        <v>45203</v>
      </c>
      <c r="G797" s="4">
        <v>48</v>
      </c>
      <c r="H797" s="23">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Row],[Duration]]&lt;=30,"10 TO 30 MINS",
     CALLS[[#This Row],[Duration]]&lt;=120,"1 TO 2 HOURS",
     TRUE,"&gt; 2 HOURS")</f>
        <v>1 TO 2 HOURS</v>
      </c>
      <c r="L797">
        <f>ROUND(CALLS[[#This Row],[Satisfaction Rating]],0)</f>
        <v>5</v>
      </c>
      <c r="M797" cm="1">
        <f t="array" ref="M797">_xlfn.IFS(CALLS[[#This Row],[DURATION BACKET]]="UNDER 10 MINS",1,
     CALLS[[#This Row],[DURATION BACKET]]="10 TO 30 MINS",2,
     CALLS[[#This Row],[DURATION BACKET]]="1 TO 2 HOURS",3,
     CALLS[[#This Row],[DURATION BACKET]]="&gt; 2 HOURS",4)</f>
        <v>3</v>
      </c>
      <c r="N797">
        <f>(CALLS[[#This Row],[Purchase Amount]]/ 1)</f>
        <v>48</v>
      </c>
    </row>
    <row r="798" spans="2:14" x14ac:dyDescent="0.25">
      <c r="B798" s="22" t="s">
        <v>820</v>
      </c>
      <c r="C798" s="4" t="s">
        <v>21</v>
      </c>
      <c r="D798" s="4">
        <v>103</v>
      </c>
      <c r="E798" s="5" t="s">
        <v>6</v>
      </c>
      <c r="F798" s="9">
        <v>45203</v>
      </c>
      <c r="G798" s="4">
        <v>160</v>
      </c>
      <c r="H798" s="23">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Row],[Duration]]&lt;=30,"10 TO 30 MINS",
     CALLS[[#This Row],[Duration]]&lt;=120,"1 TO 2 HOURS",
     TRUE,"&gt; 2 HOURS")</f>
        <v>1 TO 2 HOURS</v>
      </c>
      <c r="L798">
        <f>ROUND(CALLS[[#This Row],[Satisfaction Rating]],0)</f>
        <v>5</v>
      </c>
      <c r="M798" cm="1">
        <f t="array" ref="M798">_xlfn.IFS(CALLS[[#This Row],[DURATION BACKET]]="UNDER 10 MINS",1,
     CALLS[[#This Row],[DURATION BACKET]]="10 TO 30 MINS",2,
     CALLS[[#This Row],[DURATION BACKET]]="1 TO 2 HOURS",3,
     CALLS[[#This Row],[DURATION BACKET]]="&gt; 2 HOURS",4)</f>
        <v>3</v>
      </c>
      <c r="N798">
        <f>(CALLS[[#This Row],[Purchase Amount]]/ 1)</f>
        <v>160</v>
      </c>
    </row>
    <row r="799" spans="2:14" x14ac:dyDescent="0.25">
      <c r="B799" s="22" t="s">
        <v>821</v>
      </c>
      <c r="C799" s="4" t="s">
        <v>14</v>
      </c>
      <c r="D799" s="4">
        <v>138</v>
      </c>
      <c r="E799" s="5" t="s">
        <v>13</v>
      </c>
      <c r="F799" s="9">
        <v>45204</v>
      </c>
      <c r="G799" s="4">
        <v>155</v>
      </c>
      <c r="H799" s="23">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Row],[Duration]]&lt;=30,"10 TO 30 MINS",
     CALLS[[#This Row],[Duration]]&lt;=120,"1 TO 2 HOURS",
     TRUE,"&gt; 2 HOURS")</f>
        <v>&gt; 2 HOURS</v>
      </c>
      <c r="L799">
        <f>ROUND(CALLS[[#This Row],[Satisfaction Rating]],0)</f>
        <v>3</v>
      </c>
      <c r="M799" cm="1">
        <f t="array" ref="M799">_xlfn.IFS(CALLS[[#This Row],[DURATION BACKET]]="UNDER 10 MINS",1,
     CALLS[[#This Row],[DURATION BACKET]]="10 TO 30 MINS",2,
     CALLS[[#This Row],[DURATION BACKET]]="1 TO 2 HOURS",3,
     CALLS[[#This Row],[DURATION BACKET]]="&gt; 2 HOURS",4)</f>
        <v>4</v>
      </c>
      <c r="N799">
        <f>(CALLS[[#This Row],[Purchase Amount]]/ 1)</f>
        <v>155</v>
      </c>
    </row>
    <row r="800" spans="2:14" x14ac:dyDescent="0.25">
      <c r="B800" s="22" t="s">
        <v>822</v>
      </c>
      <c r="C800" s="4" t="s">
        <v>18</v>
      </c>
      <c r="D800" s="4">
        <v>88</v>
      </c>
      <c r="E800" s="5" t="s">
        <v>9</v>
      </c>
      <c r="F800" s="9">
        <v>45204</v>
      </c>
      <c r="G800" s="4">
        <v>100</v>
      </c>
      <c r="H800" s="23">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Row],[Duration]]&lt;=30,"10 TO 30 MINS",
     CALLS[[#This Row],[Duration]]&lt;=120,"1 TO 2 HOURS",
     TRUE,"&gt; 2 HOURS")</f>
        <v>1 TO 2 HOURS</v>
      </c>
      <c r="L800">
        <f>ROUND(CALLS[[#This Row],[Satisfaction Rating]],0)</f>
        <v>5</v>
      </c>
      <c r="M800" cm="1">
        <f t="array" ref="M800">_xlfn.IFS(CALLS[[#This Row],[DURATION BACKET]]="UNDER 10 MINS",1,
     CALLS[[#This Row],[DURATION BACKET]]="10 TO 30 MINS",2,
     CALLS[[#This Row],[DURATION BACKET]]="1 TO 2 HOURS",3,
     CALLS[[#This Row],[DURATION BACKET]]="&gt; 2 HOURS",4)</f>
        <v>3</v>
      </c>
      <c r="N800">
        <f>(CALLS[[#This Row],[Purchase Amount]]/ 1)</f>
        <v>100</v>
      </c>
    </row>
    <row r="801" spans="2:14" x14ac:dyDescent="0.25">
      <c r="B801" s="22" t="s">
        <v>823</v>
      </c>
      <c r="C801" s="4" t="s">
        <v>22</v>
      </c>
      <c r="D801" s="4">
        <v>118</v>
      </c>
      <c r="E801" s="5" t="s">
        <v>11</v>
      </c>
      <c r="F801" s="9">
        <v>45204</v>
      </c>
      <c r="G801" s="4">
        <v>56</v>
      </c>
      <c r="H801" s="23">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Row],[Duration]]&lt;=30,"10 TO 30 MINS",
     CALLS[[#This Row],[Duration]]&lt;=120,"1 TO 2 HOURS",
     TRUE,"&gt; 2 HOURS")</f>
        <v>1 TO 2 HOURS</v>
      </c>
      <c r="L801">
        <f>ROUND(CALLS[[#This Row],[Satisfaction Rating]],0)</f>
        <v>4</v>
      </c>
      <c r="M801" cm="1">
        <f t="array" ref="M801">_xlfn.IFS(CALLS[[#This Row],[DURATION BACKET]]="UNDER 10 MINS",1,
     CALLS[[#This Row],[DURATION BACKET]]="10 TO 30 MINS",2,
     CALLS[[#This Row],[DURATION BACKET]]="1 TO 2 HOURS",3,
     CALLS[[#This Row],[DURATION BACKET]]="&gt; 2 HOURS",4)</f>
        <v>3</v>
      </c>
      <c r="N801">
        <f>(CALLS[[#This Row],[Purchase Amount]]/ 1)</f>
        <v>56</v>
      </c>
    </row>
    <row r="802" spans="2:14" x14ac:dyDescent="0.25">
      <c r="B802" s="22" t="s">
        <v>824</v>
      </c>
      <c r="C802" s="4" t="s">
        <v>8</v>
      </c>
      <c r="D802" s="4">
        <v>4</v>
      </c>
      <c r="E802" s="5" t="s">
        <v>10</v>
      </c>
      <c r="F802" s="9">
        <v>45204</v>
      </c>
      <c r="G802" s="4">
        <v>170</v>
      </c>
      <c r="H802" s="23">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Row],[Duration]]&lt;=30,"10 TO 30 MINS",
     CALLS[[#This Row],[Duration]]&lt;=120,"1 TO 2 HOURS",
     TRUE,"&gt; 2 HOURS")</f>
        <v>UNDER 10 MINS</v>
      </c>
      <c r="L802">
        <f>ROUND(CALLS[[#This Row],[Satisfaction Rating]],0)</f>
        <v>4</v>
      </c>
      <c r="M802" cm="1">
        <f t="array" ref="M802">_xlfn.IFS(CALLS[[#This Row],[DURATION BACKET]]="UNDER 10 MINS",1,
     CALLS[[#This Row],[DURATION BACKET]]="10 TO 30 MINS",2,
     CALLS[[#This Row],[DURATION BACKET]]="1 TO 2 HOURS",3,
     CALLS[[#This Row],[DURATION BACKET]]="&gt; 2 HOURS",4)</f>
        <v>1</v>
      </c>
      <c r="N802">
        <f>(CALLS[[#This Row],[Purchase Amount]]/ 1)</f>
        <v>170</v>
      </c>
    </row>
    <row r="803" spans="2:14" x14ac:dyDescent="0.25">
      <c r="B803" s="22" t="s">
        <v>825</v>
      </c>
      <c r="C803" s="4" t="s">
        <v>17</v>
      </c>
      <c r="D803" s="4">
        <v>78</v>
      </c>
      <c r="E803" s="5" t="s">
        <v>6</v>
      </c>
      <c r="F803" s="9">
        <v>45205</v>
      </c>
      <c r="G803" s="4">
        <v>74</v>
      </c>
      <c r="H803" s="2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Row],[Duration]]&lt;=30,"10 TO 30 MINS",
     CALLS[[#This Row],[Duration]]&lt;=120,"1 TO 2 HOURS",
     TRUE,"&gt; 2 HOURS")</f>
        <v>1 TO 2 HOURS</v>
      </c>
      <c r="L803">
        <f>ROUND(CALLS[[#This Row],[Satisfaction Rating]],0)</f>
        <v>4</v>
      </c>
      <c r="M803" cm="1">
        <f t="array" ref="M803">_xlfn.IFS(CALLS[[#This Row],[DURATION BACKET]]="UNDER 10 MINS",1,
     CALLS[[#This Row],[DURATION BACKET]]="10 TO 30 MINS",2,
     CALLS[[#This Row],[DURATION BACKET]]="1 TO 2 HOURS",3,
     CALLS[[#This Row],[DURATION BACKET]]="&gt; 2 HOURS",4)</f>
        <v>3</v>
      </c>
      <c r="N803">
        <f>(CALLS[[#This Row],[Purchase Amount]]/ 1)</f>
        <v>74</v>
      </c>
    </row>
    <row r="804" spans="2:14" x14ac:dyDescent="0.25">
      <c r="B804" s="22" t="s">
        <v>826</v>
      </c>
      <c r="C804" s="4" t="s">
        <v>7</v>
      </c>
      <c r="D804" s="4">
        <v>69</v>
      </c>
      <c r="E804" s="5" t="s">
        <v>10</v>
      </c>
      <c r="F804" s="9">
        <v>45205</v>
      </c>
      <c r="G804" s="4">
        <v>99</v>
      </c>
      <c r="H804" s="23">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Row],[Duration]]&lt;=30,"10 TO 30 MINS",
     CALLS[[#This Row],[Duration]]&lt;=120,"1 TO 2 HOURS",
     TRUE,"&gt; 2 HOURS")</f>
        <v>1 TO 2 HOURS</v>
      </c>
      <c r="L804">
        <f>ROUND(CALLS[[#This Row],[Satisfaction Rating]],0)</f>
        <v>3</v>
      </c>
      <c r="M804" cm="1">
        <f t="array" ref="M804">_xlfn.IFS(CALLS[[#This Row],[DURATION BACKET]]="UNDER 10 MINS",1,
     CALLS[[#This Row],[DURATION BACKET]]="10 TO 30 MINS",2,
     CALLS[[#This Row],[DURATION BACKET]]="1 TO 2 HOURS",3,
     CALLS[[#This Row],[DURATION BACKET]]="&gt; 2 HOURS",4)</f>
        <v>3</v>
      </c>
      <c r="N804">
        <f>(CALLS[[#This Row],[Purchase Amount]]/ 1)</f>
        <v>99</v>
      </c>
    </row>
    <row r="805" spans="2:14" x14ac:dyDescent="0.25">
      <c r="B805" s="22" t="s">
        <v>827</v>
      </c>
      <c r="C805" s="4" t="s">
        <v>15</v>
      </c>
      <c r="D805" s="4">
        <v>90</v>
      </c>
      <c r="E805" s="5" t="s">
        <v>13</v>
      </c>
      <c r="F805" s="9">
        <v>45205</v>
      </c>
      <c r="G805" s="4">
        <v>84</v>
      </c>
      <c r="H805" s="23">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Row],[Duration]]&lt;=30,"10 TO 30 MINS",
     CALLS[[#This Row],[Duration]]&lt;=120,"1 TO 2 HOURS",
     TRUE,"&gt; 2 HOURS")</f>
        <v>1 TO 2 HOURS</v>
      </c>
      <c r="L805">
        <f>ROUND(CALLS[[#This Row],[Satisfaction Rating]],0)</f>
        <v>4</v>
      </c>
      <c r="M805" cm="1">
        <f t="array" ref="M805">_xlfn.IFS(CALLS[[#This Row],[DURATION BACKET]]="UNDER 10 MINS",1,
     CALLS[[#This Row],[DURATION BACKET]]="10 TO 30 MINS",2,
     CALLS[[#This Row],[DURATION BACKET]]="1 TO 2 HOURS",3,
     CALLS[[#This Row],[DURATION BACKET]]="&gt; 2 HOURS",4)</f>
        <v>3</v>
      </c>
      <c r="N805">
        <f>(CALLS[[#This Row],[Purchase Amount]]/ 1)</f>
        <v>84</v>
      </c>
    </row>
    <row r="806" spans="2:14" x14ac:dyDescent="0.25">
      <c r="B806" s="22" t="s">
        <v>828</v>
      </c>
      <c r="C806" s="4" t="s">
        <v>7</v>
      </c>
      <c r="D806" s="4">
        <v>134</v>
      </c>
      <c r="E806" s="5" t="s">
        <v>10</v>
      </c>
      <c r="F806" s="9">
        <v>45205</v>
      </c>
      <c r="G806" s="4">
        <v>35</v>
      </c>
      <c r="H806" s="23">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Row],[Duration]]&lt;=30,"10 TO 30 MINS",
     CALLS[[#This Row],[Duration]]&lt;=120,"1 TO 2 HOURS",
     TRUE,"&gt; 2 HOURS")</f>
        <v>&gt; 2 HOURS</v>
      </c>
      <c r="L806">
        <f>ROUND(CALLS[[#This Row],[Satisfaction Rating]],0)</f>
        <v>3</v>
      </c>
      <c r="M806" cm="1">
        <f t="array" ref="M806">_xlfn.IFS(CALLS[[#This Row],[DURATION BACKET]]="UNDER 10 MINS",1,
     CALLS[[#This Row],[DURATION BACKET]]="10 TO 30 MINS",2,
     CALLS[[#This Row],[DURATION BACKET]]="1 TO 2 HOURS",3,
     CALLS[[#This Row],[DURATION BACKET]]="&gt; 2 HOURS",4)</f>
        <v>4</v>
      </c>
      <c r="N806">
        <f>(CALLS[[#This Row],[Purchase Amount]]/ 1)</f>
        <v>35</v>
      </c>
    </row>
    <row r="807" spans="2:14" x14ac:dyDescent="0.25">
      <c r="B807" s="22" t="s">
        <v>829</v>
      </c>
      <c r="C807" s="4" t="s">
        <v>12</v>
      </c>
      <c r="D807" s="4">
        <v>65</v>
      </c>
      <c r="E807" s="5" t="s">
        <v>11</v>
      </c>
      <c r="F807" s="9">
        <v>45205</v>
      </c>
      <c r="G807" s="4">
        <v>150</v>
      </c>
      <c r="H807" s="23">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Row],[Duration]]&lt;=30,"10 TO 30 MINS",
     CALLS[[#This Row],[Duration]]&lt;=120,"1 TO 2 HOURS",
     TRUE,"&gt; 2 HOURS")</f>
        <v>1 TO 2 HOURS</v>
      </c>
      <c r="L807">
        <f>ROUND(CALLS[[#This Row],[Satisfaction Rating]],0)</f>
        <v>5</v>
      </c>
      <c r="M807" cm="1">
        <f t="array" ref="M807">_xlfn.IFS(CALLS[[#This Row],[DURATION BACKET]]="UNDER 10 MINS",1,
     CALLS[[#This Row],[DURATION BACKET]]="10 TO 30 MINS",2,
     CALLS[[#This Row],[DURATION BACKET]]="1 TO 2 HOURS",3,
     CALLS[[#This Row],[DURATION BACKET]]="&gt; 2 HOURS",4)</f>
        <v>3</v>
      </c>
      <c r="N807">
        <f>(CALLS[[#This Row],[Purchase Amount]]/ 1)</f>
        <v>150</v>
      </c>
    </row>
    <row r="808" spans="2:14" x14ac:dyDescent="0.25">
      <c r="B808" s="22" t="s">
        <v>830</v>
      </c>
      <c r="C808" s="4" t="s">
        <v>23</v>
      </c>
      <c r="D808" s="4">
        <v>54</v>
      </c>
      <c r="E808" s="5" t="s">
        <v>6</v>
      </c>
      <c r="F808" s="9">
        <v>45206</v>
      </c>
      <c r="G808" s="4">
        <v>176</v>
      </c>
      <c r="H808" s="23">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Row],[Duration]]&lt;=30,"10 TO 30 MINS",
     CALLS[[#This Row],[Duration]]&lt;=120,"1 TO 2 HOURS",
     TRUE,"&gt; 2 HOURS")</f>
        <v>1 TO 2 HOURS</v>
      </c>
      <c r="L808">
        <f>ROUND(CALLS[[#This Row],[Satisfaction Rating]],0)</f>
        <v>4</v>
      </c>
      <c r="M808" cm="1">
        <f t="array" ref="M808">_xlfn.IFS(CALLS[[#This Row],[DURATION BACKET]]="UNDER 10 MINS",1,
     CALLS[[#This Row],[DURATION BACKET]]="10 TO 30 MINS",2,
     CALLS[[#This Row],[DURATION BACKET]]="1 TO 2 HOURS",3,
     CALLS[[#This Row],[DURATION BACKET]]="&gt; 2 HOURS",4)</f>
        <v>3</v>
      </c>
      <c r="N808">
        <f>(CALLS[[#This Row],[Purchase Amount]]/ 1)</f>
        <v>176</v>
      </c>
    </row>
    <row r="809" spans="2:14" x14ac:dyDescent="0.25">
      <c r="B809" s="22" t="s">
        <v>831</v>
      </c>
      <c r="C809" s="4" t="s">
        <v>23</v>
      </c>
      <c r="D809" s="4">
        <v>90</v>
      </c>
      <c r="E809" s="5" t="s">
        <v>6</v>
      </c>
      <c r="F809" s="9">
        <v>45206</v>
      </c>
      <c r="G809" s="4">
        <v>84</v>
      </c>
      <c r="H809" s="23">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Row],[Duration]]&lt;=30,"10 TO 30 MINS",
     CALLS[[#This Row],[Duration]]&lt;=120,"1 TO 2 HOURS",
     TRUE,"&gt; 2 HOURS")</f>
        <v>1 TO 2 HOURS</v>
      </c>
      <c r="L809">
        <f>ROUND(CALLS[[#This Row],[Satisfaction Rating]],0)</f>
        <v>4</v>
      </c>
      <c r="M809" cm="1">
        <f t="array" ref="M809">_xlfn.IFS(CALLS[[#This Row],[DURATION BACKET]]="UNDER 10 MINS",1,
     CALLS[[#This Row],[DURATION BACKET]]="10 TO 30 MINS",2,
     CALLS[[#This Row],[DURATION BACKET]]="1 TO 2 HOURS",3,
     CALLS[[#This Row],[DURATION BACKET]]="&gt; 2 HOURS",4)</f>
        <v>3</v>
      </c>
      <c r="N809">
        <f>(CALLS[[#This Row],[Purchase Amount]]/ 1)</f>
        <v>84</v>
      </c>
    </row>
    <row r="810" spans="2:14" x14ac:dyDescent="0.25">
      <c r="B810" s="22" t="s">
        <v>832</v>
      </c>
      <c r="C810" s="4" t="s">
        <v>15</v>
      </c>
      <c r="D810" s="4">
        <v>66</v>
      </c>
      <c r="E810" s="5" t="s">
        <v>6</v>
      </c>
      <c r="F810" s="9">
        <v>45206</v>
      </c>
      <c r="G810" s="4">
        <v>136</v>
      </c>
      <c r="H810" s="23">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Row],[Duration]]&lt;=30,"10 TO 30 MINS",
     CALLS[[#This Row],[Duration]]&lt;=120,"1 TO 2 HOURS",
     TRUE,"&gt; 2 HOURS")</f>
        <v>1 TO 2 HOURS</v>
      </c>
      <c r="L810">
        <f>ROUND(CALLS[[#This Row],[Satisfaction Rating]],0)</f>
        <v>5</v>
      </c>
      <c r="M810" cm="1">
        <f t="array" ref="M810">_xlfn.IFS(CALLS[[#This Row],[DURATION BACKET]]="UNDER 10 MINS",1,
     CALLS[[#This Row],[DURATION BACKET]]="10 TO 30 MINS",2,
     CALLS[[#This Row],[DURATION BACKET]]="1 TO 2 HOURS",3,
     CALLS[[#This Row],[DURATION BACKET]]="&gt; 2 HOURS",4)</f>
        <v>3</v>
      </c>
      <c r="N810">
        <f>(CALLS[[#This Row],[Purchase Amount]]/ 1)</f>
        <v>136</v>
      </c>
    </row>
    <row r="811" spans="2:14" x14ac:dyDescent="0.25">
      <c r="B811" s="22" t="s">
        <v>833</v>
      </c>
      <c r="C811" s="4" t="s">
        <v>8</v>
      </c>
      <c r="D811" s="4">
        <v>150</v>
      </c>
      <c r="E811" s="5" t="s">
        <v>6</v>
      </c>
      <c r="F811" s="9">
        <v>45207</v>
      </c>
      <c r="G811" s="4">
        <v>70</v>
      </c>
      <c r="H811" s="23">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Row],[Duration]]&lt;=30,"10 TO 30 MINS",
     CALLS[[#This Row],[Duration]]&lt;=120,"1 TO 2 HOURS",
     TRUE,"&gt; 2 HOURS")</f>
        <v>&gt; 2 HOURS</v>
      </c>
      <c r="L811">
        <f>ROUND(CALLS[[#This Row],[Satisfaction Rating]],0)</f>
        <v>4</v>
      </c>
      <c r="M811" cm="1">
        <f t="array" ref="M811">_xlfn.IFS(CALLS[[#This Row],[DURATION BACKET]]="UNDER 10 MINS",1,
     CALLS[[#This Row],[DURATION BACKET]]="10 TO 30 MINS",2,
     CALLS[[#This Row],[DURATION BACKET]]="1 TO 2 HOURS",3,
     CALLS[[#This Row],[DURATION BACKET]]="&gt; 2 HOURS",4)</f>
        <v>4</v>
      </c>
      <c r="N811">
        <f>(CALLS[[#This Row],[Purchase Amount]]/ 1)</f>
        <v>70</v>
      </c>
    </row>
    <row r="812" spans="2:14" x14ac:dyDescent="0.25">
      <c r="B812" s="22" t="s">
        <v>834</v>
      </c>
      <c r="C812" s="4" t="s">
        <v>24</v>
      </c>
      <c r="D812" s="4">
        <v>18</v>
      </c>
      <c r="E812" s="5" t="s">
        <v>11</v>
      </c>
      <c r="F812" s="9">
        <v>45207</v>
      </c>
      <c r="G812" s="4">
        <v>96</v>
      </c>
      <c r="H812" s="23">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Row],[Duration]]&lt;=30,"10 TO 30 MINS",
     CALLS[[#This Row],[Duration]]&lt;=120,"1 TO 2 HOURS",
     TRUE,"&gt; 2 HOURS")</f>
        <v>10 TO 30 MINS</v>
      </c>
      <c r="L812">
        <f>ROUND(CALLS[[#This Row],[Satisfaction Rating]],0)</f>
        <v>5</v>
      </c>
      <c r="M812" cm="1">
        <f t="array" ref="M812">_xlfn.IFS(CALLS[[#This Row],[DURATION BACKET]]="UNDER 10 MINS",1,
     CALLS[[#This Row],[DURATION BACKET]]="10 TO 30 MINS",2,
     CALLS[[#This Row],[DURATION BACKET]]="1 TO 2 HOURS",3,
     CALLS[[#This Row],[DURATION BACKET]]="&gt; 2 HOURS",4)</f>
        <v>2</v>
      </c>
      <c r="N812">
        <f>(CALLS[[#This Row],[Purchase Amount]]/ 1)</f>
        <v>96</v>
      </c>
    </row>
    <row r="813" spans="2:14" x14ac:dyDescent="0.25">
      <c r="B813" s="22" t="s">
        <v>835</v>
      </c>
      <c r="C813" s="4" t="s">
        <v>23</v>
      </c>
      <c r="D813" s="4">
        <v>87</v>
      </c>
      <c r="E813" s="5" t="s">
        <v>11</v>
      </c>
      <c r="F813" s="9">
        <v>45207</v>
      </c>
      <c r="G813" s="4">
        <v>23</v>
      </c>
      <c r="H813" s="2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Row],[Duration]]&lt;=30,"10 TO 30 MINS",
     CALLS[[#This Row],[Duration]]&lt;=120,"1 TO 2 HOURS",
     TRUE,"&gt; 2 HOURS")</f>
        <v>1 TO 2 HOURS</v>
      </c>
      <c r="L813">
        <f>ROUND(CALLS[[#This Row],[Satisfaction Rating]],0)</f>
        <v>4</v>
      </c>
      <c r="M813" cm="1">
        <f t="array" ref="M813">_xlfn.IFS(CALLS[[#This Row],[DURATION BACKET]]="UNDER 10 MINS",1,
     CALLS[[#This Row],[DURATION BACKET]]="10 TO 30 MINS",2,
     CALLS[[#This Row],[DURATION BACKET]]="1 TO 2 HOURS",3,
     CALLS[[#This Row],[DURATION BACKET]]="&gt; 2 HOURS",4)</f>
        <v>3</v>
      </c>
      <c r="N813">
        <f>(CALLS[[#This Row],[Purchase Amount]]/ 1)</f>
        <v>23</v>
      </c>
    </row>
    <row r="814" spans="2:14" x14ac:dyDescent="0.25">
      <c r="B814" s="22" t="s">
        <v>836</v>
      </c>
      <c r="C814" s="4" t="s">
        <v>14</v>
      </c>
      <c r="D814" s="4">
        <v>94</v>
      </c>
      <c r="E814" s="5" t="s">
        <v>6</v>
      </c>
      <c r="F814" s="9">
        <v>45208</v>
      </c>
      <c r="G814" s="4">
        <v>120</v>
      </c>
      <c r="H814" s="23">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Row],[Duration]]&lt;=30,"10 TO 30 MINS",
     CALLS[[#This Row],[Duration]]&lt;=120,"1 TO 2 HOURS",
     TRUE,"&gt; 2 HOURS")</f>
        <v>1 TO 2 HOURS</v>
      </c>
      <c r="L814">
        <f>ROUND(CALLS[[#This Row],[Satisfaction Rating]],0)</f>
        <v>3</v>
      </c>
      <c r="M814" cm="1">
        <f t="array" ref="M814">_xlfn.IFS(CALLS[[#This Row],[DURATION BACKET]]="UNDER 10 MINS",1,
     CALLS[[#This Row],[DURATION BACKET]]="10 TO 30 MINS",2,
     CALLS[[#This Row],[DURATION BACKET]]="1 TO 2 HOURS",3,
     CALLS[[#This Row],[DURATION BACKET]]="&gt; 2 HOURS",4)</f>
        <v>3</v>
      </c>
      <c r="N814">
        <f>(CALLS[[#This Row],[Purchase Amount]]/ 1)</f>
        <v>120</v>
      </c>
    </row>
    <row r="815" spans="2:14" x14ac:dyDescent="0.25">
      <c r="B815" s="22" t="s">
        <v>837</v>
      </c>
      <c r="C815" s="4" t="s">
        <v>16</v>
      </c>
      <c r="D815" s="4">
        <v>56</v>
      </c>
      <c r="E815" s="5" t="s">
        <v>6</v>
      </c>
      <c r="F815" s="9">
        <v>45208</v>
      </c>
      <c r="G815" s="4">
        <v>205</v>
      </c>
      <c r="H815" s="23">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Row],[Duration]]&lt;=30,"10 TO 30 MINS",
     CALLS[[#This Row],[Duration]]&lt;=120,"1 TO 2 HOURS",
     TRUE,"&gt; 2 HOURS")</f>
        <v>1 TO 2 HOURS</v>
      </c>
      <c r="L815">
        <f>ROUND(CALLS[[#This Row],[Satisfaction Rating]],0)</f>
        <v>3</v>
      </c>
      <c r="M815" cm="1">
        <f t="array" ref="M815">_xlfn.IFS(CALLS[[#This Row],[DURATION BACKET]]="UNDER 10 MINS",1,
     CALLS[[#This Row],[DURATION BACKET]]="10 TO 30 MINS",2,
     CALLS[[#This Row],[DURATION BACKET]]="1 TO 2 HOURS",3,
     CALLS[[#This Row],[DURATION BACKET]]="&gt; 2 HOURS",4)</f>
        <v>3</v>
      </c>
      <c r="N815">
        <f>(CALLS[[#This Row],[Purchase Amount]]/ 1)</f>
        <v>205</v>
      </c>
    </row>
    <row r="816" spans="2:14" x14ac:dyDescent="0.25">
      <c r="B816" s="22" t="s">
        <v>838</v>
      </c>
      <c r="C816" s="4" t="s">
        <v>22</v>
      </c>
      <c r="D816" s="4">
        <v>41</v>
      </c>
      <c r="E816" s="5" t="s">
        <v>9</v>
      </c>
      <c r="F816" s="9">
        <v>45209</v>
      </c>
      <c r="G816" s="4">
        <v>42</v>
      </c>
      <c r="H816" s="23">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Row],[Duration]]&lt;=30,"10 TO 30 MINS",
     CALLS[[#This Row],[Duration]]&lt;=120,"1 TO 2 HOURS",
     TRUE,"&gt; 2 HOURS")</f>
        <v>1 TO 2 HOURS</v>
      </c>
      <c r="L816">
        <f>ROUND(CALLS[[#This Row],[Satisfaction Rating]],0)</f>
        <v>4</v>
      </c>
      <c r="M816" cm="1">
        <f t="array" ref="M816">_xlfn.IFS(CALLS[[#This Row],[DURATION BACKET]]="UNDER 10 MINS",1,
     CALLS[[#This Row],[DURATION BACKET]]="10 TO 30 MINS",2,
     CALLS[[#This Row],[DURATION BACKET]]="1 TO 2 HOURS",3,
     CALLS[[#This Row],[DURATION BACKET]]="&gt; 2 HOURS",4)</f>
        <v>3</v>
      </c>
      <c r="N816">
        <f>(CALLS[[#This Row],[Purchase Amount]]/ 1)</f>
        <v>42</v>
      </c>
    </row>
    <row r="817" spans="2:14" x14ac:dyDescent="0.25">
      <c r="B817" s="22" t="s">
        <v>839</v>
      </c>
      <c r="C817" s="4" t="s">
        <v>8</v>
      </c>
      <c r="D817" s="4">
        <v>119</v>
      </c>
      <c r="E817" s="5" t="s">
        <v>13</v>
      </c>
      <c r="F817" s="9">
        <v>45209</v>
      </c>
      <c r="G817" s="4">
        <v>111</v>
      </c>
      <c r="H817" s="23">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Row],[Duration]]&lt;=30,"10 TO 30 MINS",
     CALLS[[#This Row],[Duration]]&lt;=120,"1 TO 2 HOURS",
     TRUE,"&gt; 2 HOURS")</f>
        <v>1 TO 2 HOURS</v>
      </c>
      <c r="L817">
        <f>ROUND(CALLS[[#This Row],[Satisfaction Rating]],0)</f>
        <v>4</v>
      </c>
      <c r="M817" cm="1">
        <f t="array" ref="M817">_xlfn.IFS(CALLS[[#This Row],[DURATION BACKET]]="UNDER 10 MINS",1,
     CALLS[[#This Row],[DURATION BACKET]]="10 TO 30 MINS",2,
     CALLS[[#This Row],[DURATION BACKET]]="1 TO 2 HOURS",3,
     CALLS[[#This Row],[DURATION BACKET]]="&gt; 2 HOURS",4)</f>
        <v>3</v>
      </c>
      <c r="N817">
        <f>(CALLS[[#This Row],[Purchase Amount]]/ 1)</f>
        <v>111</v>
      </c>
    </row>
    <row r="818" spans="2:14" x14ac:dyDescent="0.25">
      <c r="B818" s="22" t="s">
        <v>840</v>
      </c>
      <c r="C818" s="4" t="s">
        <v>21</v>
      </c>
      <c r="D818" s="4">
        <v>108</v>
      </c>
      <c r="E818" s="5" t="s">
        <v>6</v>
      </c>
      <c r="F818" s="9">
        <v>45209</v>
      </c>
      <c r="G818" s="4">
        <v>68</v>
      </c>
      <c r="H818" s="23">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Row],[Duration]]&lt;=30,"10 TO 30 MINS",
     CALLS[[#This Row],[Duration]]&lt;=120,"1 TO 2 HOURS",
     TRUE,"&gt; 2 HOURS")</f>
        <v>1 TO 2 HOURS</v>
      </c>
      <c r="L818">
        <f>ROUND(CALLS[[#This Row],[Satisfaction Rating]],0)</f>
        <v>3</v>
      </c>
      <c r="M818" cm="1">
        <f t="array" ref="M818">_xlfn.IFS(CALLS[[#This Row],[DURATION BACKET]]="UNDER 10 MINS",1,
     CALLS[[#This Row],[DURATION BACKET]]="10 TO 30 MINS",2,
     CALLS[[#This Row],[DURATION BACKET]]="1 TO 2 HOURS",3,
     CALLS[[#This Row],[DURATION BACKET]]="&gt; 2 HOURS",4)</f>
        <v>3</v>
      </c>
      <c r="N818">
        <f>(CALLS[[#This Row],[Purchase Amount]]/ 1)</f>
        <v>68</v>
      </c>
    </row>
    <row r="819" spans="2:14" x14ac:dyDescent="0.25">
      <c r="B819" s="22" t="s">
        <v>841</v>
      </c>
      <c r="C819" s="4" t="s">
        <v>17</v>
      </c>
      <c r="D819" s="4">
        <v>63</v>
      </c>
      <c r="E819" s="5" t="s">
        <v>10</v>
      </c>
      <c r="F819" s="9">
        <v>45209</v>
      </c>
      <c r="G819" s="4">
        <v>172</v>
      </c>
      <c r="H819" s="23">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Row],[Duration]]&lt;=30,"10 TO 30 MINS",
     CALLS[[#This Row],[Duration]]&lt;=120,"1 TO 2 HOURS",
     TRUE,"&gt; 2 HOURS")</f>
        <v>1 TO 2 HOURS</v>
      </c>
      <c r="L819">
        <f>ROUND(CALLS[[#This Row],[Satisfaction Rating]],0)</f>
        <v>5</v>
      </c>
      <c r="M819" cm="1">
        <f t="array" ref="M819">_xlfn.IFS(CALLS[[#This Row],[DURATION BACKET]]="UNDER 10 MINS",1,
     CALLS[[#This Row],[DURATION BACKET]]="10 TO 30 MINS",2,
     CALLS[[#This Row],[DURATION BACKET]]="1 TO 2 HOURS",3,
     CALLS[[#This Row],[DURATION BACKET]]="&gt; 2 HOURS",4)</f>
        <v>3</v>
      </c>
      <c r="N819">
        <f>(CALLS[[#This Row],[Purchase Amount]]/ 1)</f>
        <v>172</v>
      </c>
    </row>
    <row r="820" spans="2:14" x14ac:dyDescent="0.25">
      <c r="B820" s="22" t="s">
        <v>842</v>
      </c>
      <c r="C820" s="4" t="s">
        <v>19</v>
      </c>
      <c r="D820" s="4">
        <v>59</v>
      </c>
      <c r="E820" s="5" t="s">
        <v>6</v>
      </c>
      <c r="F820" s="9">
        <v>45209</v>
      </c>
      <c r="G820" s="4">
        <v>152</v>
      </c>
      <c r="H820" s="23">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Row],[Duration]]&lt;=30,"10 TO 30 MINS",
     CALLS[[#This Row],[Duration]]&lt;=120,"1 TO 2 HOURS",
     TRUE,"&gt; 2 HOURS")</f>
        <v>1 TO 2 HOURS</v>
      </c>
      <c r="L820">
        <f>ROUND(CALLS[[#This Row],[Satisfaction Rating]],0)</f>
        <v>5</v>
      </c>
      <c r="M820" cm="1">
        <f t="array" ref="M820">_xlfn.IFS(CALLS[[#This Row],[DURATION BACKET]]="UNDER 10 MINS",1,
     CALLS[[#This Row],[DURATION BACKET]]="10 TO 30 MINS",2,
     CALLS[[#This Row],[DURATION BACKET]]="1 TO 2 HOURS",3,
     CALLS[[#This Row],[DURATION BACKET]]="&gt; 2 HOURS",4)</f>
        <v>3</v>
      </c>
      <c r="N820">
        <f>(CALLS[[#This Row],[Purchase Amount]]/ 1)</f>
        <v>152</v>
      </c>
    </row>
    <row r="821" spans="2:14" x14ac:dyDescent="0.25">
      <c r="B821" s="22" t="s">
        <v>843</v>
      </c>
      <c r="C821" s="4" t="s">
        <v>19</v>
      </c>
      <c r="D821" s="4">
        <v>90</v>
      </c>
      <c r="E821" s="5" t="s">
        <v>9</v>
      </c>
      <c r="F821" s="9">
        <v>45209</v>
      </c>
      <c r="G821" s="4">
        <v>48</v>
      </c>
      <c r="H821" s="23">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Row],[Duration]]&lt;=30,"10 TO 30 MINS",
     CALLS[[#This Row],[Duration]]&lt;=120,"1 TO 2 HOURS",
     TRUE,"&gt; 2 HOURS")</f>
        <v>1 TO 2 HOURS</v>
      </c>
      <c r="L821">
        <f>ROUND(CALLS[[#This Row],[Satisfaction Rating]],0)</f>
        <v>5</v>
      </c>
      <c r="M821" cm="1">
        <f t="array" ref="M821">_xlfn.IFS(CALLS[[#This Row],[DURATION BACKET]]="UNDER 10 MINS",1,
     CALLS[[#This Row],[DURATION BACKET]]="10 TO 30 MINS",2,
     CALLS[[#This Row],[DURATION BACKET]]="1 TO 2 HOURS",3,
     CALLS[[#This Row],[DURATION BACKET]]="&gt; 2 HOURS",4)</f>
        <v>3</v>
      </c>
      <c r="N821">
        <f>(CALLS[[#This Row],[Purchase Amount]]/ 1)</f>
        <v>48</v>
      </c>
    </row>
    <row r="822" spans="2:14" x14ac:dyDescent="0.25">
      <c r="B822" s="22" t="s">
        <v>844</v>
      </c>
      <c r="C822" s="4" t="s">
        <v>18</v>
      </c>
      <c r="D822" s="4">
        <v>55</v>
      </c>
      <c r="E822" s="5" t="s">
        <v>9</v>
      </c>
      <c r="F822" s="9">
        <v>45209</v>
      </c>
      <c r="G822" s="4">
        <v>25</v>
      </c>
      <c r="H822" s="23">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Row],[Duration]]&lt;=30,"10 TO 30 MINS",
     CALLS[[#This Row],[Duration]]&lt;=120,"1 TO 2 HOURS",
     TRUE,"&gt; 2 HOURS")</f>
        <v>1 TO 2 HOURS</v>
      </c>
      <c r="L822">
        <f>ROUND(CALLS[[#This Row],[Satisfaction Rating]],0)</f>
        <v>5</v>
      </c>
      <c r="M822" cm="1">
        <f t="array" ref="M822">_xlfn.IFS(CALLS[[#This Row],[DURATION BACKET]]="UNDER 10 MINS",1,
     CALLS[[#This Row],[DURATION BACKET]]="10 TO 30 MINS",2,
     CALLS[[#This Row],[DURATION BACKET]]="1 TO 2 HOURS",3,
     CALLS[[#This Row],[DURATION BACKET]]="&gt; 2 HOURS",4)</f>
        <v>3</v>
      </c>
      <c r="N822">
        <f>(CALLS[[#This Row],[Purchase Amount]]/ 1)</f>
        <v>25</v>
      </c>
    </row>
    <row r="823" spans="2:14" x14ac:dyDescent="0.25">
      <c r="B823" s="22" t="s">
        <v>845</v>
      </c>
      <c r="C823" s="4" t="s">
        <v>21</v>
      </c>
      <c r="D823" s="4">
        <v>84</v>
      </c>
      <c r="E823" s="5" t="s">
        <v>13</v>
      </c>
      <c r="F823" s="9">
        <v>45210</v>
      </c>
      <c r="G823" s="4">
        <v>54</v>
      </c>
      <c r="H823" s="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Row],[Duration]]&lt;=30,"10 TO 30 MINS",
     CALLS[[#This Row],[Duration]]&lt;=120,"1 TO 2 HOURS",
     TRUE,"&gt; 2 HOURS")</f>
        <v>1 TO 2 HOURS</v>
      </c>
      <c r="L823">
        <f>ROUND(CALLS[[#This Row],[Satisfaction Rating]],0)</f>
        <v>3</v>
      </c>
      <c r="M823" cm="1">
        <f t="array" ref="M823">_xlfn.IFS(CALLS[[#This Row],[DURATION BACKET]]="UNDER 10 MINS",1,
     CALLS[[#This Row],[DURATION BACKET]]="10 TO 30 MINS",2,
     CALLS[[#This Row],[DURATION BACKET]]="1 TO 2 HOURS",3,
     CALLS[[#This Row],[DURATION BACKET]]="&gt; 2 HOURS",4)</f>
        <v>3</v>
      </c>
      <c r="N823">
        <f>(CALLS[[#This Row],[Purchase Amount]]/ 1)</f>
        <v>54</v>
      </c>
    </row>
    <row r="824" spans="2:14" x14ac:dyDescent="0.25">
      <c r="B824" s="22" t="s">
        <v>846</v>
      </c>
      <c r="C824" s="4" t="s">
        <v>21</v>
      </c>
      <c r="D824" s="4">
        <v>150</v>
      </c>
      <c r="E824" s="5" t="s">
        <v>11</v>
      </c>
      <c r="F824" s="9">
        <v>45210</v>
      </c>
      <c r="G824" s="4">
        <v>108</v>
      </c>
      <c r="H824" s="23">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Row],[Duration]]&lt;=30,"10 TO 30 MINS",
     CALLS[[#This Row],[Duration]]&lt;=120,"1 TO 2 HOURS",
     TRUE,"&gt; 2 HOURS")</f>
        <v>&gt; 2 HOURS</v>
      </c>
      <c r="L824">
        <f>ROUND(CALLS[[#This Row],[Satisfaction Rating]],0)</f>
        <v>5</v>
      </c>
      <c r="M824" cm="1">
        <f t="array" ref="M824">_xlfn.IFS(CALLS[[#This Row],[DURATION BACKET]]="UNDER 10 MINS",1,
     CALLS[[#This Row],[DURATION BACKET]]="10 TO 30 MINS",2,
     CALLS[[#This Row],[DURATION BACKET]]="1 TO 2 HOURS",3,
     CALLS[[#This Row],[DURATION BACKET]]="&gt; 2 HOURS",4)</f>
        <v>4</v>
      </c>
      <c r="N824">
        <f>(CALLS[[#This Row],[Purchase Amount]]/ 1)</f>
        <v>108</v>
      </c>
    </row>
    <row r="825" spans="2:14" x14ac:dyDescent="0.25">
      <c r="B825" s="22" t="s">
        <v>847</v>
      </c>
      <c r="C825" s="4" t="s">
        <v>5</v>
      </c>
      <c r="D825" s="4">
        <v>69</v>
      </c>
      <c r="E825" s="5" t="s">
        <v>6</v>
      </c>
      <c r="F825" s="9">
        <v>45210</v>
      </c>
      <c r="G825" s="4">
        <v>36</v>
      </c>
      <c r="H825" s="23">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Row],[Duration]]&lt;=30,"10 TO 30 MINS",
     CALLS[[#This Row],[Duration]]&lt;=120,"1 TO 2 HOURS",
     TRUE,"&gt; 2 HOURS")</f>
        <v>1 TO 2 HOURS</v>
      </c>
      <c r="L825">
        <f>ROUND(CALLS[[#This Row],[Satisfaction Rating]],0)</f>
        <v>5</v>
      </c>
      <c r="M825" cm="1">
        <f t="array" ref="M825">_xlfn.IFS(CALLS[[#This Row],[DURATION BACKET]]="UNDER 10 MINS",1,
     CALLS[[#This Row],[DURATION BACKET]]="10 TO 30 MINS",2,
     CALLS[[#This Row],[DURATION BACKET]]="1 TO 2 HOURS",3,
     CALLS[[#This Row],[DURATION BACKET]]="&gt; 2 HOURS",4)</f>
        <v>3</v>
      </c>
      <c r="N825">
        <f>(CALLS[[#This Row],[Purchase Amount]]/ 1)</f>
        <v>36</v>
      </c>
    </row>
    <row r="826" spans="2:14" x14ac:dyDescent="0.25">
      <c r="B826" s="22" t="s">
        <v>848</v>
      </c>
      <c r="C826" s="4" t="s">
        <v>20</v>
      </c>
      <c r="D826" s="4">
        <v>120</v>
      </c>
      <c r="E826" s="5" t="s">
        <v>9</v>
      </c>
      <c r="F826" s="9">
        <v>45211</v>
      </c>
      <c r="G826" s="4">
        <v>140</v>
      </c>
      <c r="H826" s="23">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Row],[Duration]]&lt;=30,"10 TO 30 MINS",
     CALLS[[#This Row],[Duration]]&lt;=120,"1 TO 2 HOURS",
     TRUE,"&gt; 2 HOURS")</f>
        <v>1 TO 2 HOURS</v>
      </c>
      <c r="L826">
        <f>ROUND(CALLS[[#This Row],[Satisfaction Rating]],0)</f>
        <v>5</v>
      </c>
      <c r="M826" cm="1">
        <f t="array" ref="M826">_xlfn.IFS(CALLS[[#This Row],[DURATION BACKET]]="UNDER 10 MINS",1,
     CALLS[[#This Row],[DURATION BACKET]]="10 TO 30 MINS",2,
     CALLS[[#This Row],[DURATION BACKET]]="1 TO 2 HOURS",3,
     CALLS[[#This Row],[DURATION BACKET]]="&gt; 2 HOURS",4)</f>
        <v>3</v>
      </c>
      <c r="N826">
        <f>(CALLS[[#This Row],[Purchase Amount]]/ 1)</f>
        <v>140</v>
      </c>
    </row>
    <row r="827" spans="2:14" x14ac:dyDescent="0.25">
      <c r="B827" s="22" t="s">
        <v>849</v>
      </c>
      <c r="C827" s="4" t="s">
        <v>23</v>
      </c>
      <c r="D827" s="4">
        <v>126</v>
      </c>
      <c r="E827" s="5" t="s">
        <v>13</v>
      </c>
      <c r="F827" s="9">
        <v>45211</v>
      </c>
      <c r="G827" s="4">
        <v>50</v>
      </c>
      <c r="H827" s="23">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Row],[Duration]]&lt;=30,"10 TO 30 MINS",
     CALLS[[#This Row],[Duration]]&lt;=120,"1 TO 2 HOURS",
     TRUE,"&gt; 2 HOURS")</f>
        <v>&gt; 2 HOURS</v>
      </c>
      <c r="L827">
        <f>ROUND(CALLS[[#This Row],[Satisfaction Rating]],0)</f>
        <v>5</v>
      </c>
      <c r="M827" cm="1">
        <f t="array" ref="M827">_xlfn.IFS(CALLS[[#This Row],[DURATION BACKET]]="UNDER 10 MINS",1,
     CALLS[[#This Row],[DURATION BACKET]]="10 TO 30 MINS",2,
     CALLS[[#This Row],[DURATION BACKET]]="1 TO 2 HOURS",3,
     CALLS[[#This Row],[DURATION BACKET]]="&gt; 2 HOURS",4)</f>
        <v>4</v>
      </c>
      <c r="N827">
        <f>(CALLS[[#This Row],[Purchase Amount]]/ 1)</f>
        <v>50</v>
      </c>
    </row>
    <row r="828" spans="2:14" x14ac:dyDescent="0.25">
      <c r="B828" s="22" t="s">
        <v>850</v>
      </c>
      <c r="C828" s="4" t="s">
        <v>5</v>
      </c>
      <c r="D828" s="4">
        <v>120</v>
      </c>
      <c r="E828" s="5" t="s">
        <v>10</v>
      </c>
      <c r="F828" s="9">
        <v>45211</v>
      </c>
      <c r="G828" s="4">
        <v>195</v>
      </c>
      <c r="H828" s="23">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Row],[Duration]]&lt;=30,"10 TO 30 MINS",
     CALLS[[#This Row],[Duration]]&lt;=120,"1 TO 2 HOURS",
     TRUE,"&gt; 2 HOURS")</f>
        <v>1 TO 2 HOURS</v>
      </c>
      <c r="L828">
        <f>ROUND(CALLS[[#This Row],[Satisfaction Rating]],0)</f>
        <v>4</v>
      </c>
      <c r="M828" cm="1">
        <f t="array" ref="M828">_xlfn.IFS(CALLS[[#This Row],[DURATION BACKET]]="UNDER 10 MINS",1,
     CALLS[[#This Row],[DURATION BACKET]]="10 TO 30 MINS",2,
     CALLS[[#This Row],[DURATION BACKET]]="1 TO 2 HOURS",3,
     CALLS[[#This Row],[DURATION BACKET]]="&gt; 2 HOURS",4)</f>
        <v>3</v>
      </c>
      <c r="N828">
        <f>(CALLS[[#This Row],[Purchase Amount]]/ 1)</f>
        <v>195</v>
      </c>
    </row>
    <row r="829" spans="2:14" x14ac:dyDescent="0.25">
      <c r="B829" s="22" t="s">
        <v>851</v>
      </c>
      <c r="C829" s="4" t="s">
        <v>23</v>
      </c>
      <c r="D829" s="4">
        <v>139</v>
      </c>
      <c r="E829" s="5" t="s">
        <v>9</v>
      </c>
      <c r="F829" s="9">
        <v>45212</v>
      </c>
      <c r="G829" s="4">
        <v>48</v>
      </c>
      <c r="H829" s="23">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Row],[Duration]]&lt;=30,"10 TO 30 MINS",
     CALLS[[#This Row],[Duration]]&lt;=120,"1 TO 2 HOURS",
     TRUE,"&gt; 2 HOURS")</f>
        <v>&gt; 2 HOURS</v>
      </c>
      <c r="L829">
        <f>ROUND(CALLS[[#This Row],[Satisfaction Rating]],0)</f>
        <v>5</v>
      </c>
      <c r="M829" cm="1">
        <f t="array" ref="M829">_xlfn.IFS(CALLS[[#This Row],[DURATION BACKET]]="UNDER 10 MINS",1,
     CALLS[[#This Row],[DURATION BACKET]]="10 TO 30 MINS",2,
     CALLS[[#This Row],[DURATION BACKET]]="1 TO 2 HOURS",3,
     CALLS[[#This Row],[DURATION BACKET]]="&gt; 2 HOURS",4)</f>
        <v>4</v>
      </c>
      <c r="N829">
        <f>(CALLS[[#This Row],[Purchase Amount]]/ 1)</f>
        <v>48</v>
      </c>
    </row>
    <row r="830" spans="2:14" x14ac:dyDescent="0.25">
      <c r="B830" s="22" t="s">
        <v>852</v>
      </c>
      <c r="C830" s="4" t="s">
        <v>18</v>
      </c>
      <c r="D830" s="4">
        <v>124</v>
      </c>
      <c r="E830" s="5" t="s">
        <v>6</v>
      </c>
      <c r="F830" s="9">
        <v>45213</v>
      </c>
      <c r="G830" s="4">
        <v>29</v>
      </c>
      <c r="H830" s="23">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Row],[Duration]]&lt;=30,"10 TO 30 MINS",
     CALLS[[#This Row],[Duration]]&lt;=120,"1 TO 2 HOURS",
     TRUE,"&gt; 2 HOURS")</f>
        <v>&gt; 2 HOURS</v>
      </c>
      <c r="L830">
        <f>ROUND(CALLS[[#This Row],[Satisfaction Rating]],0)</f>
        <v>5</v>
      </c>
      <c r="M830" cm="1">
        <f t="array" ref="M830">_xlfn.IFS(CALLS[[#This Row],[DURATION BACKET]]="UNDER 10 MINS",1,
     CALLS[[#This Row],[DURATION BACKET]]="10 TO 30 MINS",2,
     CALLS[[#This Row],[DURATION BACKET]]="1 TO 2 HOURS",3,
     CALLS[[#This Row],[DURATION BACKET]]="&gt; 2 HOURS",4)</f>
        <v>4</v>
      </c>
      <c r="N830">
        <f>(CALLS[[#This Row],[Purchase Amount]]/ 1)</f>
        <v>29</v>
      </c>
    </row>
    <row r="831" spans="2:14" x14ac:dyDescent="0.25">
      <c r="B831" s="22" t="s">
        <v>853</v>
      </c>
      <c r="C831" s="4" t="s">
        <v>20</v>
      </c>
      <c r="D831" s="4">
        <v>108</v>
      </c>
      <c r="E831" s="5" t="s">
        <v>10</v>
      </c>
      <c r="F831" s="9">
        <v>45213</v>
      </c>
      <c r="G831" s="4">
        <v>44</v>
      </c>
      <c r="H831" s="23">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Row],[Duration]]&lt;=30,"10 TO 30 MINS",
     CALLS[[#This Row],[Duration]]&lt;=120,"1 TO 2 HOURS",
     TRUE,"&gt; 2 HOURS")</f>
        <v>1 TO 2 HOURS</v>
      </c>
      <c r="L831">
        <f>ROUND(CALLS[[#This Row],[Satisfaction Rating]],0)</f>
        <v>5</v>
      </c>
      <c r="M831" cm="1">
        <f t="array" ref="M831">_xlfn.IFS(CALLS[[#This Row],[DURATION BACKET]]="UNDER 10 MINS",1,
     CALLS[[#This Row],[DURATION BACKET]]="10 TO 30 MINS",2,
     CALLS[[#This Row],[DURATION BACKET]]="1 TO 2 HOURS",3,
     CALLS[[#This Row],[DURATION BACKET]]="&gt; 2 HOURS",4)</f>
        <v>3</v>
      </c>
      <c r="N831">
        <f>(CALLS[[#This Row],[Purchase Amount]]/ 1)</f>
        <v>44</v>
      </c>
    </row>
    <row r="832" spans="2:14" x14ac:dyDescent="0.25">
      <c r="B832" s="22" t="s">
        <v>854</v>
      </c>
      <c r="C832" s="4" t="s">
        <v>12</v>
      </c>
      <c r="D832" s="4">
        <v>132</v>
      </c>
      <c r="E832" s="5" t="s">
        <v>11</v>
      </c>
      <c r="F832" s="9">
        <v>45213</v>
      </c>
      <c r="G832" s="4">
        <v>140</v>
      </c>
      <c r="H832" s="23">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Row],[Duration]]&lt;=30,"10 TO 30 MINS",
     CALLS[[#This Row],[Duration]]&lt;=120,"1 TO 2 HOURS",
     TRUE,"&gt; 2 HOURS")</f>
        <v>&gt; 2 HOURS</v>
      </c>
      <c r="L832">
        <f>ROUND(CALLS[[#This Row],[Satisfaction Rating]],0)</f>
        <v>4</v>
      </c>
      <c r="M832" cm="1">
        <f t="array" ref="M832">_xlfn.IFS(CALLS[[#This Row],[DURATION BACKET]]="UNDER 10 MINS",1,
     CALLS[[#This Row],[DURATION BACKET]]="10 TO 30 MINS",2,
     CALLS[[#This Row],[DURATION BACKET]]="1 TO 2 HOURS",3,
     CALLS[[#This Row],[DURATION BACKET]]="&gt; 2 HOURS",4)</f>
        <v>4</v>
      </c>
      <c r="N832">
        <f>(CALLS[[#This Row],[Purchase Amount]]/ 1)</f>
        <v>140</v>
      </c>
    </row>
    <row r="833" spans="2:14" x14ac:dyDescent="0.25">
      <c r="B833" s="22" t="s">
        <v>855</v>
      </c>
      <c r="C833" s="4" t="s">
        <v>17</v>
      </c>
      <c r="D833" s="4">
        <v>67</v>
      </c>
      <c r="E833" s="5" t="s">
        <v>11</v>
      </c>
      <c r="F833" s="9">
        <v>45213</v>
      </c>
      <c r="G833" s="4">
        <v>105</v>
      </c>
      <c r="H833" s="2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Row],[Duration]]&lt;=30,"10 TO 30 MINS",
     CALLS[[#This Row],[Duration]]&lt;=120,"1 TO 2 HOURS",
     TRUE,"&gt; 2 HOURS")</f>
        <v>1 TO 2 HOURS</v>
      </c>
      <c r="L833">
        <f>ROUND(CALLS[[#This Row],[Satisfaction Rating]],0)</f>
        <v>4</v>
      </c>
      <c r="M833" cm="1">
        <f t="array" ref="M833">_xlfn.IFS(CALLS[[#This Row],[DURATION BACKET]]="UNDER 10 MINS",1,
     CALLS[[#This Row],[DURATION BACKET]]="10 TO 30 MINS",2,
     CALLS[[#This Row],[DURATION BACKET]]="1 TO 2 HOURS",3,
     CALLS[[#This Row],[DURATION BACKET]]="&gt; 2 HOURS",4)</f>
        <v>3</v>
      </c>
      <c r="N833">
        <f>(CALLS[[#This Row],[Purchase Amount]]/ 1)</f>
        <v>105</v>
      </c>
    </row>
    <row r="834" spans="2:14" x14ac:dyDescent="0.25">
      <c r="B834" s="22" t="s">
        <v>856</v>
      </c>
      <c r="C834" s="4" t="s">
        <v>15</v>
      </c>
      <c r="D834" s="4">
        <v>125</v>
      </c>
      <c r="E834" s="5" t="s">
        <v>11</v>
      </c>
      <c r="F834" s="9">
        <v>45213</v>
      </c>
      <c r="G834" s="4">
        <v>82</v>
      </c>
      <c r="H834" s="23">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Row],[Duration]]&lt;=30,"10 TO 30 MINS",
     CALLS[[#This Row],[Duration]]&lt;=120,"1 TO 2 HOURS",
     TRUE,"&gt; 2 HOURS")</f>
        <v>&gt; 2 HOURS</v>
      </c>
      <c r="L834">
        <f>ROUND(CALLS[[#This Row],[Satisfaction Rating]],0)</f>
        <v>5</v>
      </c>
      <c r="M834" cm="1">
        <f t="array" ref="M834">_xlfn.IFS(CALLS[[#This Row],[DURATION BACKET]]="UNDER 10 MINS",1,
     CALLS[[#This Row],[DURATION BACKET]]="10 TO 30 MINS",2,
     CALLS[[#This Row],[DURATION BACKET]]="1 TO 2 HOURS",3,
     CALLS[[#This Row],[DURATION BACKET]]="&gt; 2 HOURS",4)</f>
        <v>4</v>
      </c>
      <c r="N834">
        <f>(CALLS[[#This Row],[Purchase Amount]]/ 1)</f>
        <v>82</v>
      </c>
    </row>
    <row r="835" spans="2:14" x14ac:dyDescent="0.25">
      <c r="B835" s="22" t="s">
        <v>857</v>
      </c>
      <c r="C835" s="4" t="s">
        <v>20</v>
      </c>
      <c r="D835" s="4">
        <v>23</v>
      </c>
      <c r="E835" s="5" t="s">
        <v>10</v>
      </c>
      <c r="F835" s="9">
        <v>45213</v>
      </c>
      <c r="G835" s="4">
        <v>24</v>
      </c>
      <c r="H835" s="23">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Row],[Duration]]&lt;=30,"10 TO 30 MINS",
     CALLS[[#This Row],[Duration]]&lt;=120,"1 TO 2 HOURS",
     TRUE,"&gt; 2 HOURS")</f>
        <v>10 TO 30 MINS</v>
      </c>
      <c r="L835">
        <f>ROUND(CALLS[[#This Row],[Satisfaction Rating]],0)</f>
        <v>3</v>
      </c>
      <c r="M835" cm="1">
        <f t="array" ref="M835">_xlfn.IFS(CALLS[[#This Row],[DURATION BACKET]]="UNDER 10 MINS",1,
     CALLS[[#This Row],[DURATION BACKET]]="10 TO 30 MINS",2,
     CALLS[[#This Row],[DURATION BACKET]]="1 TO 2 HOURS",3,
     CALLS[[#This Row],[DURATION BACKET]]="&gt; 2 HOURS",4)</f>
        <v>2</v>
      </c>
      <c r="N835">
        <f>(CALLS[[#This Row],[Purchase Amount]]/ 1)</f>
        <v>24</v>
      </c>
    </row>
    <row r="836" spans="2:14" x14ac:dyDescent="0.25">
      <c r="B836" s="22" t="s">
        <v>858</v>
      </c>
      <c r="C836" s="4" t="s">
        <v>8</v>
      </c>
      <c r="D836" s="4">
        <v>131</v>
      </c>
      <c r="E836" s="5" t="s">
        <v>6</v>
      </c>
      <c r="F836" s="9">
        <v>45214</v>
      </c>
      <c r="G836" s="4">
        <v>205</v>
      </c>
      <c r="H836" s="23">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Row],[Duration]]&lt;=30,"10 TO 30 MINS",
     CALLS[[#This Row],[Duration]]&lt;=120,"1 TO 2 HOURS",
     TRUE,"&gt; 2 HOURS")</f>
        <v>&gt; 2 HOURS</v>
      </c>
      <c r="L836">
        <f>ROUND(CALLS[[#This Row],[Satisfaction Rating]],0)</f>
        <v>5</v>
      </c>
      <c r="M836" cm="1">
        <f t="array" ref="M836">_xlfn.IFS(CALLS[[#This Row],[DURATION BACKET]]="UNDER 10 MINS",1,
     CALLS[[#This Row],[DURATION BACKET]]="10 TO 30 MINS",2,
     CALLS[[#This Row],[DURATION BACKET]]="1 TO 2 HOURS",3,
     CALLS[[#This Row],[DURATION BACKET]]="&gt; 2 HOURS",4)</f>
        <v>4</v>
      </c>
      <c r="N836">
        <f>(CALLS[[#This Row],[Purchase Amount]]/ 1)</f>
        <v>205</v>
      </c>
    </row>
    <row r="837" spans="2:14" x14ac:dyDescent="0.25">
      <c r="B837" s="22" t="s">
        <v>859</v>
      </c>
      <c r="C837" s="4" t="s">
        <v>12</v>
      </c>
      <c r="D837" s="4">
        <v>56</v>
      </c>
      <c r="E837" s="5" t="s">
        <v>9</v>
      </c>
      <c r="F837" s="9">
        <v>45214</v>
      </c>
      <c r="G837" s="4">
        <v>225</v>
      </c>
      <c r="H837" s="23">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Row],[Duration]]&lt;=30,"10 TO 30 MINS",
     CALLS[[#This Row],[Duration]]&lt;=120,"1 TO 2 HOURS",
     TRUE,"&gt; 2 HOURS")</f>
        <v>1 TO 2 HOURS</v>
      </c>
      <c r="L837">
        <f>ROUND(CALLS[[#This Row],[Satisfaction Rating]],0)</f>
        <v>5</v>
      </c>
      <c r="M837" cm="1">
        <f t="array" ref="M837">_xlfn.IFS(CALLS[[#This Row],[DURATION BACKET]]="UNDER 10 MINS",1,
     CALLS[[#This Row],[DURATION BACKET]]="10 TO 30 MINS",2,
     CALLS[[#This Row],[DURATION BACKET]]="1 TO 2 HOURS",3,
     CALLS[[#This Row],[DURATION BACKET]]="&gt; 2 HOURS",4)</f>
        <v>3</v>
      </c>
      <c r="N837">
        <f>(CALLS[[#This Row],[Purchase Amount]]/ 1)</f>
        <v>225</v>
      </c>
    </row>
    <row r="838" spans="2:14" x14ac:dyDescent="0.25">
      <c r="B838" s="22" t="s">
        <v>860</v>
      </c>
      <c r="C838" s="4" t="s">
        <v>8</v>
      </c>
      <c r="D838" s="4">
        <v>70</v>
      </c>
      <c r="E838" s="5" t="s">
        <v>6</v>
      </c>
      <c r="F838" s="9">
        <v>45214</v>
      </c>
      <c r="G838" s="4">
        <v>50</v>
      </c>
      <c r="H838" s="23">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Row],[Duration]]&lt;=30,"10 TO 30 MINS",
     CALLS[[#This Row],[Duration]]&lt;=120,"1 TO 2 HOURS",
     TRUE,"&gt; 2 HOURS")</f>
        <v>1 TO 2 HOURS</v>
      </c>
      <c r="L838">
        <f>ROUND(CALLS[[#This Row],[Satisfaction Rating]],0)</f>
        <v>3</v>
      </c>
      <c r="M838" cm="1">
        <f t="array" ref="M838">_xlfn.IFS(CALLS[[#This Row],[DURATION BACKET]]="UNDER 10 MINS",1,
     CALLS[[#This Row],[DURATION BACKET]]="10 TO 30 MINS",2,
     CALLS[[#This Row],[DURATION BACKET]]="1 TO 2 HOURS",3,
     CALLS[[#This Row],[DURATION BACKET]]="&gt; 2 HOURS",4)</f>
        <v>3</v>
      </c>
      <c r="N838">
        <f>(CALLS[[#This Row],[Purchase Amount]]/ 1)</f>
        <v>50</v>
      </c>
    </row>
    <row r="839" spans="2:14" x14ac:dyDescent="0.25">
      <c r="B839" s="22" t="s">
        <v>861</v>
      </c>
      <c r="C839" s="4" t="s">
        <v>8</v>
      </c>
      <c r="D839" s="4">
        <v>55</v>
      </c>
      <c r="E839" s="5" t="s">
        <v>11</v>
      </c>
      <c r="F839" s="9">
        <v>45214</v>
      </c>
      <c r="G839" s="4">
        <v>80</v>
      </c>
      <c r="H839" s="23">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Row],[Duration]]&lt;=30,"10 TO 30 MINS",
     CALLS[[#This Row],[Duration]]&lt;=120,"1 TO 2 HOURS",
     TRUE,"&gt; 2 HOURS")</f>
        <v>1 TO 2 HOURS</v>
      </c>
      <c r="L839">
        <f>ROUND(CALLS[[#This Row],[Satisfaction Rating]],0)</f>
        <v>4</v>
      </c>
      <c r="M839" cm="1">
        <f t="array" ref="M839">_xlfn.IFS(CALLS[[#This Row],[DURATION BACKET]]="UNDER 10 MINS",1,
     CALLS[[#This Row],[DURATION BACKET]]="10 TO 30 MINS",2,
     CALLS[[#This Row],[DURATION BACKET]]="1 TO 2 HOURS",3,
     CALLS[[#This Row],[DURATION BACKET]]="&gt; 2 HOURS",4)</f>
        <v>3</v>
      </c>
      <c r="N839">
        <f>(CALLS[[#This Row],[Purchase Amount]]/ 1)</f>
        <v>80</v>
      </c>
    </row>
    <row r="840" spans="2:14" x14ac:dyDescent="0.25">
      <c r="B840" s="22" t="s">
        <v>862</v>
      </c>
      <c r="C840" s="4" t="s">
        <v>15</v>
      </c>
      <c r="D840" s="4">
        <v>77</v>
      </c>
      <c r="E840" s="5" t="s">
        <v>9</v>
      </c>
      <c r="F840" s="9">
        <v>45214</v>
      </c>
      <c r="G840" s="4">
        <v>78</v>
      </c>
      <c r="H840" s="23">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Row],[Duration]]&lt;=30,"10 TO 30 MINS",
     CALLS[[#This Row],[Duration]]&lt;=120,"1 TO 2 HOURS",
     TRUE,"&gt; 2 HOURS")</f>
        <v>1 TO 2 HOURS</v>
      </c>
      <c r="L840">
        <f>ROUND(CALLS[[#This Row],[Satisfaction Rating]],0)</f>
        <v>4</v>
      </c>
      <c r="M840" cm="1">
        <f t="array" ref="M840">_xlfn.IFS(CALLS[[#This Row],[DURATION BACKET]]="UNDER 10 MINS",1,
     CALLS[[#This Row],[DURATION BACKET]]="10 TO 30 MINS",2,
     CALLS[[#This Row],[DURATION BACKET]]="1 TO 2 HOURS",3,
     CALLS[[#This Row],[DURATION BACKET]]="&gt; 2 HOURS",4)</f>
        <v>3</v>
      </c>
      <c r="N840">
        <f>(CALLS[[#This Row],[Purchase Amount]]/ 1)</f>
        <v>78</v>
      </c>
    </row>
    <row r="841" spans="2:14" x14ac:dyDescent="0.25">
      <c r="B841" s="22" t="s">
        <v>863</v>
      </c>
      <c r="C841" s="4" t="s">
        <v>21</v>
      </c>
      <c r="D841" s="4">
        <v>133</v>
      </c>
      <c r="E841" s="5" t="s">
        <v>6</v>
      </c>
      <c r="F841" s="9">
        <v>45215</v>
      </c>
      <c r="G841" s="4">
        <v>40</v>
      </c>
      <c r="H841" s="23">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Row],[Duration]]&lt;=30,"10 TO 30 MINS",
     CALLS[[#This Row],[Duration]]&lt;=120,"1 TO 2 HOURS",
     TRUE,"&gt; 2 HOURS")</f>
        <v>&gt; 2 HOURS</v>
      </c>
      <c r="L841">
        <f>ROUND(CALLS[[#This Row],[Satisfaction Rating]],0)</f>
        <v>4</v>
      </c>
      <c r="M841" cm="1">
        <f t="array" ref="M841">_xlfn.IFS(CALLS[[#This Row],[DURATION BACKET]]="UNDER 10 MINS",1,
     CALLS[[#This Row],[DURATION BACKET]]="10 TO 30 MINS",2,
     CALLS[[#This Row],[DURATION BACKET]]="1 TO 2 HOURS",3,
     CALLS[[#This Row],[DURATION BACKET]]="&gt; 2 HOURS",4)</f>
        <v>4</v>
      </c>
      <c r="N841">
        <f>(CALLS[[#This Row],[Purchase Amount]]/ 1)</f>
        <v>40</v>
      </c>
    </row>
    <row r="842" spans="2:14" x14ac:dyDescent="0.25">
      <c r="B842" s="22" t="s">
        <v>864</v>
      </c>
      <c r="C842" s="4" t="s">
        <v>15</v>
      </c>
      <c r="D842" s="4">
        <v>77</v>
      </c>
      <c r="E842" s="5" t="s">
        <v>9</v>
      </c>
      <c r="F842" s="9">
        <v>45215</v>
      </c>
      <c r="G842" s="4">
        <v>176</v>
      </c>
      <c r="H842" s="23">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Row],[Duration]]&lt;=30,"10 TO 30 MINS",
     CALLS[[#This Row],[Duration]]&lt;=120,"1 TO 2 HOURS",
     TRUE,"&gt; 2 HOURS")</f>
        <v>1 TO 2 HOURS</v>
      </c>
      <c r="L842">
        <f>ROUND(CALLS[[#This Row],[Satisfaction Rating]],0)</f>
        <v>2</v>
      </c>
      <c r="M842" cm="1">
        <f t="array" ref="M842">_xlfn.IFS(CALLS[[#This Row],[DURATION BACKET]]="UNDER 10 MINS",1,
     CALLS[[#This Row],[DURATION BACKET]]="10 TO 30 MINS",2,
     CALLS[[#This Row],[DURATION BACKET]]="1 TO 2 HOURS",3,
     CALLS[[#This Row],[DURATION BACKET]]="&gt; 2 HOURS",4)</f>
        <v>3</v>
      </c>
      <c r="N842">
        <f>(CALLS[[#This Row],[Purchase Amount]]/ 1)</f>
        <v>176</v>
      </c>
    </row>
    <row r="843" spans="2:14" x14ac:dyDescent="0.25">
      <c r="B843" s="22" t="s">
        <v>865</v>
      </c>
      <c r="C843" s="4" t="s">
        <v>19</v>
      </c>
      <c r="D843" s="4">
        <v>103</v>
      </c>
      <c r="E843" s="5" t="s">
        <v>6</v>
      </c>
      <c r="F843" s="9">
        <v>45215</v>
      </c>
      <c r="G843" s="4">
        <v>78</v>
      </c>
      <c r="H843" s="2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Row],[Duration]]&lt;=30,"10 TO 30 MINS",
     CALLS[[#This Row],[Duration]]&lt;=120,"1 TO 2 HOURS",
     TRUE,"&gt; 2 HOURS")</f>
        <v>1 TO 2 HOURS</v>
      </c>
      <c r="L843">
        <f>ROUND(CALLS[[#This Row],[Satisfaction Rating]],0)</f>
        <v>3</v>
      </c>
      <c r="M843" cm="1">
        <f t="array" ref="M843">_xlfn.IFS(CALLS[[#This Row],[DURATION BACKET]]="UNDER 10 MINS",1,
     CALLS[[#This Row],[DURATION BACKET]]="10 TO 30 MINS",2,
     CALLS[[#This Row],[DURATION BACKET]]="1 TO 2 HOURS",3,
     CALLS[[#This Row],[DURATION BACKET]]="&gt; 2 HOURS",4)</f>
        <v>3</v>
      </c>
      <c r="N843">
        <f>(CALLS[[#This Row],[Purchase Amount]]/ 1)</f>
        <v>78</v>
      </c>
    </row>
    <row r="844" spans="2:14" x14ac:dyDescent="0.25">
      <c r="B844" s="22" t="s">
        <v>866</v>
      </c>
      <c r="C844" s="4" t="s">
        <v>5</v>
      </c>
      <c r="D844" s="4">
        <v>32</v>
      </c>
      <c r="E844" s="5" t="s">
        <v>9</v>
      </c>
      <c r="F844" s="9">
        <v>45215</v>
      </c>
      <c r="G844" s="4">
        <v>42</v>
      </c>
      <c r="H844" s="23">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Row],[Duration]]&lt;=30,"10 TO 30 MINS",
     CALLS[[#This Row],[Duration]]&lt;=120,"1 TO 2 HOURS",
     TRUE,"&gt; 2 HOURS")</f>
        <v>1 TO 2 HOURS</v>
      </c>
      <c r="L844">
        <f>ROUND(CALLS[[#This Row],[Satisfaction Rating]],0)</f>
        <v>4</v>
      </c>
      <c r="M844" cm="1">
        <f t="array" ref="M844">_xlfn.IFS(CALLS[[#This Row],[DURATION BACKET]]="UNDER 10 MINS",1,
     CALLS[[#This Row],[DURATION BACKET]]="10 TO 30 MINS",2,
     CALLS[[#This Row],[DURATION BACKET]]="1 TO 2 HOURS",3,
     CALLS[[#This Row],[DURATION BACKET]]="&gt; 2 HOURS",4)</f>
        <v>3</v>
      </c>
      <c r="N844">
        <f>(CALLS[[#This Row],[Purchase Amount]]/ 1)</f>
        <v>42</v>
      </c>
    </row>
    <row r="845" spans="2:14" x14ac:dyDescent="0.25">
      <c r="B845" s="22" t="s">
        <v>867</v>
      </c>
      <c r="C845" s="4" t="s">
        <v>21</v>
      </c>
      <c r="D845" s="4">
        <v>30</v>
      </c>
      <c r="E845" s="5" t="s">
        <v>6</v>
      </c>
      <c r="F845" s="9">
        <v>45215</v>
      </c>
      <c r="G845" s="4">
        <v>38</v>
      </c>
      <c r="H845" s="23">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Row],[Duration]]&lt;=30,"10 TO 30 MINS",
     CALLS[[#This Row],[Duration]]&lt;=120,"1 TO 2 HOURS",
     TRUE,"&gt; 2 HOURS")</f>
        <v>10 TO 30 MINS</v>
      </c>
      <c r="L845">
        <f>ROUND(CALLS[[#This Row],[Satisfaction Rating]],0)</f>
        <v>4</v>
      </c>
      <c r="M845" cm="1">
        <f t="array" ref="M845">_xlfn.IFS(CALLS[[#This Row],[DURATION BACKET]]="UNDER 10 MINS",1,
     CALLS[[#This Row],[DURATION BACKET]]="10 TO 30 MINS",2,
     CALLS[[#This Row],[DURATION BACKET]]="1 TO 2 HOURS",3,
     CALLS[[#This Row],[DURATION BACKET]]="&gt; 2 HOURS",4)</f>
        <v>2</v>
      </c>
      <c r="N845">
        <f>(CALLS[[#This Row],[Purchase Amount]]/ 1)</f>
        <v>38</v>
      </c>
    </row>
    <row r="846" spans="2:14" x14ac:dyDescent="0.25">
      <c r="B846" s="22" t="s">
        <v>868</v>
      </c>
      <c r="C846" s="4" t="s">
        <v>23</v>
      </c>
      <c r="D846" s="4">
        <v>87</v>
      </c>
      <c r="E846" s="5" t="s">
        <v>13</v>
      </c>
      <c r="F846" s="9">
        <v>45215</v>
      </c>
      <c r="G846" s="4">
        <v>27</v>
      </c>
      <c r="H846" s="23">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Row],[Duration]]&lt;=30,"10 TO 30 MINS",
     CALLS[[#This Row],[Duration]]&lt;=120,"1 TO 2 HOURS",
     TRUE,"&gt; 2 HOURS")</f>
        <v>1 TO 2 HOURS</v>
      </c>
      <c r="L846">
        <f>ROUND(CALLS[[#This Row],[Satisfaction Rating]],0)</f>
        <v>4</v>
      </c>
      <c r="M846" cm="1">
        <f t="array" ref="M846">_xlfn.IFS(CALLS[[#This Row],[DURATION BACKET]]="UNDER 10 MINS",1,
     CALLS[[#This Row],[DURATION BACKET]]="10 TO 30 MINS",2,
     CALLS[[#This Row],[DURATION BACKET]]="1 TO 2 HOURS",3,
     CALLS[[#This Row],[DURATION BACKET]]="&gt; 2 HOURS",4)</f>
        <v>3</v>
      </c>
      <c r="N846">
        <f>(CALLS[[#This Row],[Purchase Amount]]/ 1)</f>
        <v>27</v>
      </c>
    </row>
    <row r="847" spans="2:14" x14ac:dyDescent="0.25">
      <c r="B847" s="22" t="s">
        <v>869</v>
      </c>
      <c r="C847" s="4" t="s">
        <v>15</v>
      </c>
      <c r="D847" s="4">
        <v>137</v>
      </c>
      <c r="E847" s="5" t="s">
        <v>10</v>
      </c>
      <c r="F847" s="9">
        <v>45216</v>
      </c>
      <c r="G847" s="4">
        <v>45</v>
      </c>
      <c r="H847" s="23">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Row],[Duration]]&lt;=30,"10 TO 30 MINS",
     CALLS[[#This Row],[Duration]]&lt;=120,"1 TO 2 HOURS",
     TRUE,"&gt; 2 HOURS")</f>
        <v>&gt; 2 HOURS</v>
      </c>
      <c r="L847">
        <f>ROUND(CALLS[[#This Row],[Satisfaction Rating]],0)</f>
        <v>4</v>
      </c>
      <c r="M847" cm="1">
        <f t="array" ref="M847">_xlfn.IFS(CALLS[[#This Row],[DURATION BACKET]]="UNDER 10 MINS",1,
     CALLS[[#This Row],[DURATION BACKET]]="10 TO 30 MINS",2,
     CALLS[[#This Row],[DURATION BACKET]]="1 TO 2 HOURS",3,
     CALLS[[#This Row],[DURATION BACKET]]="&gt; 2 HOURS",4)</f>
        <v>4</v>
      </c>
      <c r="N847">
        <f>(CALLS[[#This Row],[Purchase Amount]]/ 1)</f>
        <v>45</v>
      </c>
    </row>
    <row r="848" spans="2:14" x14ac:dyDescent="0.25">
      <c r="B848" s="22" t="s">
        <v>870</v>
      </c>
      <c r="C848" s="4" t="s">
        <v>14</v>
      </c>
      <c r="D848" s="4">
        <v>96</v>
      </c>
      <c r="E848" s="5" t="s">
        <v>6</v>
      </c>
      <c r="F848" s="9">
        <v>45216</v>
      </c>
      <c r="G848" s="4">
        <v>215</v>
      </c>
      <c r="H848" s="23">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Row],[Duration]]&lt;=30,"10 TO 30 MINS",
     CALLS[[#This Row],[Duration]]&lt;=120,"1 TO 2 HOURS",
     TRUE,"&gt; 2 HOURS")</f>
        <v>1 TO 2 HOURS</v>
      </c>
      <c r="L848">
        <f>ROUND(CALLS[[#This Row],[Satisfaction Rating]],0)</f>
        <v>4</v>
      </c>
      <c r="M848" cm="1">
        <f t="array" ref="M848">_xlfn.IFS(CALLS[[#This Row],[DURATION BACKET]]="UNDER 10 MINS",1,
     CALLS[[#This Row],[DURATION BACKET]]="10 TO 30 MINS",2,
     CALLS[[#This Row],[DURATION BACKET]]="1 TO 2 HOURS",3,
     CALLS[[#This Row],[DURATION BACKET]]="&gt; 2 HOURS",4)</f>
        <v>3</v>
      </c>
      <c r="N848">
        <f>(CALLS[[#This Row],[Purchase Amount]]/ 1)</f>
        <v>215</v>
      </c>
    </row>
    <row r="849" spans="2:14" x14ac:dyDescent="0.25">
      <c r="B849" s="22" t="s">
        <v>871</v>
      </c>
      <c r="C849" s="4" t="s">
        <v>18</v>
      </c>
      <c r="D849" s="4">
        <v>155</v>
      </c>
      <c r="E849" s="5" t="s">
        <v>6</v>
      </c>
      <c r="F849" s="9">
        <v>45217</v>
      </c>
      <c r="G849" s="4">
        <v>72</v>
      </c>
      <c r="H849" s="23">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Row],[Duration]]&lt;=30,"10 TO 30 MINS",
     CALLS[[#This Row],[Duration]]&lt;=120,"1 TO 2 HOURS",
     TRUE,"&gt; 2 HOURS")</f>
        <v>&gt; 2 HOURS</v>
      </c>
      <c r="L849">
        <f>ROUND(CALLS[[#This Row],[Satisfaction Rating]],0)</f>
        <v>5</v>
      </c>
      <c r="M849" cm="1">
        <f t="array" ref="M849">_xlfn.IFS(CALLS[[#This Row],[DURATION BACKET]]="UNDER 10 MINS",1,
     CALLS[[#This Row],[DURATION BACKET]]="10 TO 30 MINS",2,
     CALLS[[#This Row],[DURATION BACKET]]="1 TO 2 HOURS",3,
     CALLS[[#This Row],[DURATION BACKET]]="&gt; 2 HOURS",4)</f>
        <v>4</v>
      </c>
      <c r="N849">
        <f>(CALLS[[#This Row],[Purchase Amount]]/ 1)</f>
        <v>72</v>
      </c>
    </row>
    <row r="850" spans="2:14" x14ac:dyDescent="0.25">
      <c r="B850" s="22" t="s">
        <v>872</v>
      </c>
      <c r="C850" s="4" t="s">
        <v>21</v>
      </c>
      <c r="D850" s="4">
        <v>173</v>
      </c>
      <c r="E850" s="5" t="s">
        <v>11</v>
      </c>
      <c r="F850" s="9">
        <v>45217</v>
      </c>
      <c r="G850" s="4">
        <v>160</v>
      </c>
      <c r="H850" s="23">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Row],[Duration]]&lt;=30,"10 TO 30 MINS",
     CALLS[[#This Row],[Duration]]&lt;=120,"1 TO 2 HOURS",
     TRUE,"&gt; 2 HOURS")</f>
        <v>&gt; 2 HOURS</v>
      </c>
      <c r="L850">
        <f>ROUND(CALLS[[#This Row],[Satisfaction Rating]],0)</f>
        <v>3</v>
      </c>
      <c r="M850" cm="1">
        <f t="array" ref="M850">_xlfn.IFS(CALLS[[#This Row],[DURATION BACKET]]="UNDER 10 MINS",1,
     CALLS[[#This Row],[DURATION BACKET]]="10 TO 30 MINS",2,
     CALLS[[#This Row],[DURATION BACKET]]="1 TO 2 HOURS",3,
     CALLS[[#This Row],[DURATION BACKET]]="&gt; 2 HOURS",4)</f>
        <v>4</v>
      </c>
      <c r="N850">
        <f>(CALLS[[#This Row],[Purchase Amount]]/ 1)</f>
        <v>160</v>
      </c>
    </row>
    <row r="851" spans="2:14" x14ac:dyDescent="0.25">
      <c r="B851" s="22" t="s">
        <v>873</v>
      </c>
      <c r="C851" s="4" t="s">
        <v>18</v>
      </c>
      <c r="D851" s="4">
        <v>127</v>
      </c>
      <c r="E851" s="5" t="s">
        <v>6</v>
      </c>
      <c r="F851" s="9">
        <v>45217</v>
      </c>
      <c r="G851" s="4">
        <v>165</v>
      </c>
      <c r="H851" s="23">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Row],[Duration]]&lt;=30,"10 TO 30 MINS",
     CALLS[[#This Row],[Duration]]&lt;=120,"1 TO 2 HOURS",
     TRUE,"&gt; 2 HOURS")</f>
        <v>&gt; 2 HOURS</v>
      </c>
      <c r="L851">
        <f>ROUND(CALLS[[#This Row],[Satisfaction Rating]],0)</f>
        <v>3</v>
      </c>
      <c r="M851" cm="1">
        <f t="array" ref="M851">_xlfn.IFS(CALLS[[#This Row],[DURATION BACKET]]="UNDER 10 MINS",1,
     CALLS[[#This Row],[DURATION BACKET]]="10 TO 30 MINS",2,
     CALLS[[#This Row],[DURATION BACKET]]="1 TO 2 HOURS",3,
     CALLS[[#This Row],[DURATION BACKET]]="&gt; 2 HOURS",4)</f>
        <v>4</v>
      </c>
      <c r="N851">
        <f>(CALLS[[#This Row],[Purchase Amount]]/ 1)</f>
        <v>165</v>
      </c>
    </row>
    <row r="852" spans="2:14" x14ac:dyDescent="0.25">
      <c r="B852" s="22" t="s">
        <v>874</v>
      </c>
      <c r="C852" s="4" t="s">
        <v>12</v>
      </c>
      <c r="D852" s="4">
        <v>117</v>
      </c>
      <c r="E852" s="5" t="s">
        <v>11</v>
      </c>
      <c r="F852" s="9">
        <v>45217</v>
      </c>
      <c r="G852" s="4">
        <v>120</v>
      </c>
      <c r="H852" s="23">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Row],[Duration]]&lt;=30,"10 TO 30 MINS",
     CALLS[[#This Row],[Duration]]&lt;=120,"1 TO 2 HOURS",
     TRUE,"&gt; 2 HOURS")</f>
        <v>1 TO 2 HOURS</v>
      </c>
      <c r="L852">
        <f>ROUND(CALLS[[#This Row],[Satisfaction Rating]],0)</f>
        <v>3</v>
      </c>
      <c r="M852" cm="1">
        <f t="array" ref="M852">_xlfn.IFS(CALLS[[#This Row],[DURATION BACKET]]="UNDER 10 MINS",1,
     CALLS[[#This Row],[DURATION BACKET]]="10 TO 30 MINS",2,
     CALLS[[#This Row],[DURATION BACKET]]="1 TO 2 HOURS",3,
     CALLS[[#This Row],[DURATION BACKET]]="&gt; 2 HOURS",4)</f>
        <v>3</v>
      </c>
      <c r="N852">
        <f>(CALLS[[#This Row],[Purchase Amount]]/ 1)</f>
        <v>120</v>
      </c>
    </row>
    <row r="853" spans="2:14" x14ac:dyDescent="0.25">
      <c r="B853" s="22" t="s">
        <v>875</v>
      </c>
      <c r="C853" s="4" t="s">
        <v>20</v>
      </c>
      <c r="D853" s="4">
        <v>133</v>
      </c>
      <c r="E853" s="5" t="s">
        <v>9</v>
      </c>
      <c r="F853" s="9">
        <v>45217</v>
      </c>
      <c r="G853" s="4">
        <v>117</v>
      </c>
      <c r="H853" s="2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Row],[Duration]]&lt;=30,"10 TO 30 MINS",
     CALLS[[#This Row],[Duration]]&lt;=120,"1 TO 2 HOURS",
     TRUE,"&gt; 2 HOURS")</f>
        <v>&gt; 2 HOURS</v>
      </c>
      <c r="L853">
        <f>ROUND(CALLS[[#This Row],[Satisfaction Rating]],0)</f>
        <v>5</v>
      </c>
      <c r="M853" cm="1">
        <f t="array" ref="M853">_xlfn.IFS(CALLS[[#This Row],[DURATION BACKET]]="UNDER 10 MINS",1,
     CALLS[[#This Row],[DURATION BACKET]]="10 TO 30 MINS",2,
     CALLS[[#This Row],[DURATION BACKET]]="1 TO 2 HOURS",3,
     CALLS[[#This Row],[DURATION BACKET]]="&gt; 2 HOURS",4)</f>
        <v>4</v>
      </c>
      <c r="N853">
        <f>(CALLS[[#This Row],[Purchase Amount]]/ 1)</f>
        <v>117</v>
      </c>
    </row>
    <row r="854" spans="2:14" x14ac:dyDescent="0.25">
      <c r="B854" s="22" t="s">
        <v>876</v>
      </c>
      <c r="C854" s="4" t="s">
        <v>24</v>
      </c>
      <c r="D854" s="4">
        <v>166</v>
      </c>
      <c r="E854" s="5" t="s">
        <v>13</v>
      </c>
      <c r="F854" s="9">
        <v>45218</v>
      </c>
      <c r="G854" s="4">
        <v>29</v>
      </c>
      <c r="H854" s="23">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Row],[Duration]]&lt;=30,"10 TO 30 MINS",
     CALLS[[#This Row],[Duration]]&lt;=120,"1 TO 2 HOURS",
     TRUE,"&gt; 2 HOURS")</f>
        <v>&gt; 2 HOURS</v>
      </c>
      <c r="L854">
        <f>ROUND(CALLS[[#This Row],[Satisfaction Rating]],0)</f>
        <v>4</v>
      </c>
      <c r="M854" cm="1">
        <f t="array" ref="M854">_xlfn.IFS(CALLS[[#This Row],[DURATION BACKET]]="UNDER 10 MINS",1,
     CALLS[[#This Row],[DURATION BACKET]]="10 TO 30 MINS",2,
     CALLS[[#This Row],[DURATION BACKET]]="1 TO 2 HOURS",3,
     CALLS[[#This Row],[DURATION BACKET]]="&gt; 2 HOURS",4)</f>
        <v>4</v>
      </c>
      <c r="N854">
        <f>(CALLS[[#This Row],[Purchase Amount]]/ 1)</f>
        <v>29</v>
      </c>
    </row>
    <row r="855" spans="2:14" x14ac:dyDescent="0.25">
      <c r="B855" s="22" t="s">
        <v>877</v>
      </c>
      <c r="C855" s="4" t="s">
        <v>20</v>
      </c>
      <c r="D855" s="4">
        <v>50</v>
      </c>
      <c r="E855" s="5" t="s">
        <v>11</v>
      </c>
      <c r="F855" s="9">
        <v>45218</v>
      </c>
      <c r="G855" s="4">
        <v>64</v>
      </c>
      <c r="H855" s="23">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Row],[Duration]]&lt;=30,"10 TO 30 MINS",
     CALLS[[#This Row],[Duration]]&lt;=120,"1 TO 2 HOURS",
     TRUE,"&gt; 2 HOURS")</f>
        <v>1 TO 2 HOURS</v>
      </c>
      <c r="L855">
        <f>ROUND(CALLS[[#This Row],[Satisfaction Rating]],0)</f>
        <v>5</v>
      </c>
      <c r="M855" cm="1">
        <f t="array" ref="M855">_xlfn.IFS(CALLS[[#This Row],[DURATION BACKET]]="UNDER 10 MINS",1,
     CALLS[[#This Row],[DURATION BACKET]]="10 TO 30 MINS",2,
     CALLS[[#This Row],[DURATION BACKET]]="1 TO 2 HOURS",3,
     CALLS[[#This Row],[DURATION BACKET]]="&gt; 2 HOURS",4)</f>
        <v>3</v>
      </c>
      <c r="N855">
        <f>(CALLS[[#This Row],[Purchase Amount]]/ 1)</f>
        <v>64</v>
      </c>
    </row>
    <row r="856" spans="2:14" x14ac:dyDescent="0.25">
      <c r="B856" s="22" t="s">
        <v>878</v>
      </c>
      <c r="C856" s="4" t="s">
        <v>19</v>
      </c>
      <c r="D856" s="4">
        <v>43</v>
      </c>
      <c r="E856" s="5" t="s">
        <v>9</v>
      </c>
      <c r="F856" s="9">
        <v>45218</v>
      </c>
      <c r="G856" s="4">
        <v>84</v>
      </c>
      <c r="H856" s="23">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Row],[Duration]]&lt;=30,"10 TO 30 MINS",
     CALLS[[#This Row],[Duration]]&lt;=120,"1 TO 2 HOURS",
     TRUE,"&gt; 2 HOURS")</f>
        <v>1 TO 2 HOURS</v>
      </c>
      <c r="L856">
        <f>ROUND(CALLS[[#This Row],[Satisfaction Rating]],0)</f>
        <v>4</v>
      </c>
      <c r="M856" cm="1">
        <f t="array" ref="M856">_xlfn.IFS(CALLS[[#This Row],[DURATION BACKET]]="UNDER 10 MINS",1,
     CALLS[[#This Row],[DURATION BACKET]]="10 TO 30 MINS",2,
     CALLS[[#This Row],[DURATION BACKET]]="1 TO 2 HOURS",3,
     CALLS[[#This Row],[DURATION BACKET]]="&gt; 2 HOURS",4)</f>
        <v>3</v>
      </c>
      <c r="N856">
        <f>(CALLS[[#This Row],[Purchase Amount]]/ 1)</f>
        <v>84</v>
      </c>
    </row>
    <row r="857" spans="2:14" x14ac:dyDescent="0.25">
      <c r="B857" s="22" t="s">
        <v>879</v>
      </c>
      <c r="C857" s="4" t="s">
        <v>14</v>
      </c>
      <c r="D857" s="4">
        <v>124</v>
      </c>
      <c r="E857" s="5" t="s">
        <v>6</v>
      </c>
      <c r="F857" s="9">
        <v>45218</v>
      </c>
      <c r="G857" s="4">
        <v>42</v>
      </c>
      <c r="H857" s="23">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Row],[Duration]]&lt;=30,"10 TO 30 MINS",
     CALLS[[#This Row],[Duration]]&lt;=120,"1 TO 2 HOURS",
     TRUE,"&gt; 2 HOURS")</f>
        <v>&gt; 2 HOURS</v>
      </c>
      <c r="L857">
        <f>ROUND(CALLS[[#This Row],[Satisfaction Rating]],0)</f>
        <v>4</v>
      </c>
      <c r="M857" cm="1">
        <f t="array" ref="M857">_xlfn.IFS(CALLS[[#This Row],[DURATION BACKET]]="UNDER 10 MINS",1,
     CALLS[[#This Row],[DURATION BACKET]]="10 TO 30 MINS",2,
     CALLS[[#This Row],[DURATION BACKET]]="1 TO 2 HOURS",3,
     CALLS[[#This Row],[DURATION BACKET]]="&gt; 2 HOURS",4)</f>
        <v>4</v>
      </c>
      <c r="N857">
        <f>(CALLS[[#This Row],[Purchase Amount]]/ 1)</f>
        <v>42</v>
      </c>
    </row>
    <row r="858" spans="2:14" x14ac:dyDescent="0.25">
      <c r="B858" s="22" t="s">
        <v>880</v>
      </c>
      <c r="C858" s="4" t="s">
        <v>21</v>
      </c>
      <c r="D858" s="4">
        <v>94</v>
      </c>
      <c r="E858" s="5" t="s">
        <v>6</v>
      </c>
      <c r="F858" s="9">
        <v>45218</v>
      </c>
      <c r="G858" s="4">
        <v>120</v>
      </c>
      <c r="H858" s="23">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Row],[Duration]]&lt;=30,"10 TO 30 MINS",
     CALLS[[#This Row],[Duration]]&lt;=120,"1 TO 2 HOURS",
     TRUE,"&gt; 2 HOURS")</f>
        <v>1 TO 2 HOURS</v>
      </c>
      <c r="L858">
        <f>ROUND(CALLS[[#This Row],[Satisfaction Rating]],0)</f>
        <v>4</v>
      </c>
      <c r="M858" cm="1">
        <f t="array" ref="M858">_xlfn.IFS(CALLS[[#This Row],[DURATION BACKET]]="UNDER 10 MINS",1,
     CALLS[[#This Row],[DURATION BACKET]]="10 TO 30 MINS",2,
     CALLS[[#This Row],[DURATION BACKET]]="1 TO 2 HOURS",3,
     CALLS[[#This Row],[DURATION BACKET]]="&gt; 2 HOURS",4)</f>
        <v>3</v>
      </c>
      <c r="N858">
        <f>(CALLS[[#This Row],[Purchase Amount]]/ 1)</f>
        <v>120</v>
      </c>
    </row>
    <row r="859" spans="2:14" x14ac:dyDescent="0.25">
      <c r="B859" s="22" t="s">
        <v>881</v>
      </c>
      <c r="C859" s="4" t="s">
        <v>19</v>
      </c>
      <c r="D859" s="4">
        <v>126</v>
      </c>
      <c r="E859" s="5" t="s">
        <v>13</v>
      </c>
      <c r="F859" s="9">
        <v>45219</v>
      </c>
      <c r="G859" s="4">
        <v>80</v>
      </c>
      <c r="H859" s="23">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Row],[Duration]]&lt;=30,"10 TO 30 MINS",
     CALLS[[#This Row],[Duration]]&lt;=120,"1 TO 2 HOURS",
     TRUE,"&gt; 2 HOURS")</f>
        <v>&gt; 2 HOURS</v>
      </c>
      <c r="L859">
        <f>ROUND(CALLS[[#This Row],[Satisfaction Rating]],0)</f>
        <v>5</v>
      </c>
      <c r="M859" cm="1">
        <f t="array" ref="M859">_xlfn.IFS(CALLS[[#This Row],[DURATION BACKET]]="UNDER 10 MINS",1,
     CALLS[[#This Row],[DURATION BACKET]]="10 TO 30 MINS",2,
     CALLS[[#This Row],[DURATION BACKET]]="1 TO 2 HOURS",3,
     CALLS[[#This Row],[DURATION BACKET]]="&gt; 2 HOURS",4)</f>
        <v>4</v>
      </c>
      <c r="N859">
        <f>(CALLS[[#This Row],[Purchase Amount]]/ 1)</f>
        <v>80</v>
      </c>
    </row>
    <row r="860" spans="2:14" x14ac:dyDescent="0.25">
      <c r="B860" s="22" t="s">
        <v>882</v>
      </c>
      <c r="C860" s="4" t="s">
        <v>24</v>
      </c>
      <c r="D860" s="4">
        <v>105</v>
      </c>
      <c r="E860" s="5" t="s">
        <v>11</v>
      </c>
      <c r="F860" s="9">
        <v>45219</v>
      </c>
      <c r="G860" s="4">
        <v>185</v>
      </c>
      <c r="H860" s="23">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Row],[Duration]]&lt;=30,"10 TO 30 MINS",
     CALLS[[#This Row],[Duration]]&lt;=120,"1 TO 2 HOURS",
     TRUE,"&gt; 2 HOURS")</f>
        <v>1 TO 2 HOURS</v>
      </c>
      <c r="L860">
        <f>ROUND(CALLS[[#This Row],[Satisfaction Rating]],0)</f>
        <v>4</v>
      </c>
      <c r="M860" cm="1">
        <f t="array" ref="M860">_xlfn.IFS(CALLS[[#This Row],[DURATION BACKET]]="UNDER 10 MINS",1,
     CALLS[[#This Row],[DURATION BACKET]]="10 TO 30 MINS",2,
     CALLS[[#This Row],[DURATION BACKET]]="1 TO 2 HOURS",3,
     CALLS[[#This Row],[DURATION BACKET]]="&gt; 2 HOURS",4)</f>
        <v>3</v>
      </c>
      <c r="N860">
        <f>(CALLS[[#This Row],[Purchase Amount]]/ 1)</f>
        <v>185</v>
      </c>
    </row>
    <row r="861" spans="2:14" x14ac:dyDescent="0.25">
      <c r="B861" s="22" t="s">
        <v>883</v>
      </c>
      <c r="C861" s="4" t="s">
        <v>8</v>
      </c>
      <c r="D861" s="4">
        <v>60</v>
      </c>
      <c r="E861" s="5" t="s">
        <v>10</v>
      </c>
      <c r="F861" s="9">
        <v>45220</v>
      </c>
      <c r="G861" s="4">
        <v>135</v>
      </c>
      <c r="H861" s="23">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Row],[Duration]]&lt;=30,"10 TO 30 MINS",
     CALLS[[#This Row],[Duration]]&lt;=120,"1 TO 2 HOURS",
     TRUE,"&gt; 2 HOURS")</f>
        <v>1 TO 2 HOURS</v>
      </c>
      <c r="L861">
        <f>ROUND(CALLS[[#This Row],[Satisfaction Rating]],0)</f>
        <v>4</v>
      </c>
      <c r="M861" cm="1">
        <f t="array" ref="M861">_xlfn.IFS(CALLS[[#This Row],[DURATION BACKET]]="UNDER 10 MINS",1,
     CALLS[[#This Row],[DURATION BACKET]]="10 TO 30 MINS",2,
     CALLS[[#This Row],[DURATION BACKET]]="1 TO 2 HOURS",3,
     CALLS[[#This Row],[DURATION BACKET]]="&gt; 2 HOURS",4)</f>
        <v>3</v>
      </c>
      <c r="N861">
        <f>(CALLS[[#This Row],[Purchase Amount]]/ 1)</f>
        <v>135</v>
      </c>
    </row>
    <row r="862" spans="2:14" x14ac:dyDescent="0.25">
      <c r="B862" s="22" t="s">
        <v>884</v>
      </c>
      <c r="C862" s="4" t="s">
        <v>8</v>
      </c>
      <c r="D862" s="4">
        <v>72</v>
      </c>
      <c r="E862" s="5" t="s">
        <v>11</v>
      </c>
      <c r="F862" s="9">
        <v>45220</v>
      </c>
      <c r="G862" s="4">
        <v>20</v>
      </c>
      <c r="H862" s="23">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Row],[Duration]]&lt;=30,"10 TO 30 MINS",
     CALLS[[#This Row],[Duration]]&lt;=120,"1 TO 2 HOURS",
     TRUE,"&gt; 2 HOURS")</f>
        <v>1 TO 2 HOURS</v>
      </c>
      <c r="L862">
        <f>ROUND(CALLS[[#This Row],[Satisfaction Rating]],0)</f>
        <v>5</v>
      </c>
      <c r="M862" cm="1">
        <f t="array" ref="M862">_xlfn.IFS(CALLS[[#This Row],[DURATION BACKET]]="UNDER 10 MINS",1,
     CALLS[[#This Row],[DURATION BACKET]]="10 TO 30 MINS",2,
     CALLS[[#This Row],[DURATION BACKET]]="1 TO 2 HOURS",3,
     CALLS[[#This Row],[DURATION BACKET]]="&gt; 2 HOURS",4)</f>
        <v>3</v>
      </c>
      <c r="N862">
        <f>(CALLS[[#This Row],[Purchase Amount]]/ 1)</f>
        <v>20</v>
      </c>
    </row>
    <row r="863" spans="2:14" x14ac:dyDescent="0.25">
      <c r="B863" s="22" t="s">
        <v>885</v>
      </c>
      <c r="C863" s="4" t="s">
        <v>16</v>
      </c>
      <c r="D863" s="4">
        <v>40</v>
      </c>
      <c r="E863" s="5" t="s">
        <v>11</v>
      </c>
      <c r="F863" s="9">
        <v>45220</v>
      </c>
      <c r="G863" s="4">
        <v>31</v>
      </c>
      <c r="H863" s="2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Row],[Duration]]&lt;=30,"10 TO 30 MINS",
     CALLS[[#This Row],[Duration]]&lt;=120,"1 TO 2 HOURS",
     TRUE,"&gt; 2 HOURS")</f>
        <v>1 TO 2 HOURS</v>
      </c>
      <c r="L863">
        <f>ROUND(CALLS[[#This Row],[Satisfaction Rating]],0)</f>
        <v>4</v>
      </c>
      <c r="M863" cm="1">
        <f t="array" ref="M863">_xlfn.IFS(CALLS[[#This Row],[DURATION BACKET]]="UNDER 10 MINS",1,
     CALLS[[#This Row],[DURATION BACKET]]="10 TO 30 MINS",2,
     CALLS[[#This Row],[DURATION BACKET]]="1 TO 2 HOURS",3,
     CALLS[[#This Row],[DURATION BACKET]]="&gt; 2 HOURS",4)</f>
        <v>3</v>
      </c>
      <c r="N863">
        <f>(CALLS[[#This Row],[Purchase Amount]]/ 1)</f>
        <v>31</v>
      </c>
    </row>
    <row r="864" spans="2:14" x14ac:dyDescent="0.25">
      <c r="B864" s="22" t="s">
        <v>886</v>
      </c>
      <c r="C864" s="4" t="s">
        <v>5</v>
      </c>
      <c r="D864" s="4">
        <v>54</v>
      </c>
      <c r="E864" s="5" t="s">
        <v>13</v>
      </c>
      <c r="F864" s="9">
        <v>45221</v>
      </c>
      <c r="G864" s="4">
        <v>120</v>
      </c>
      <c r="H864" s="23">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Row],[Duration]]&lt;=30,"10 TO 30 MINS",
     CALLS[[#This Row],[Duration]]&lt;=120,"1 TO 2 HOURS",
     TRUE,"&gt; 2 HOURS")</f>
        <v>1 TO 2 HOURS</v>
      </c>
      <c r="L864">
        <f>ROUND(CALLS[[#This Row],[Satisfaction Rating]],0)</f>
        <v>5</v>
      </c>
      <c r="M864" cm="1">
        <f t="array" ref="M864">_xlfn.IFS(CALLS[[#This Row],[DURATION BACKET]]="UNDER 10 MINS",1,
     CALLS[[#This Row],[DURATION BACKET]]="10 TO 30 MINS",2,
     CALLS[[#This Row],[DURATION BACKET]]="1 TO 2 HOURS",3,
     CALLS[[#This Row],[DURATION BACKET]]="&gt; 2 HOURS",4)</f>
        <v>3</v>
      </c>
      <c r="N864">
        <f>(CALLS[[#This Row],[Purchase Amount]]/ 1)</f>
        <v>120</v>
      </c>
    </row>
    <row r="865" spans="2:14" x14ac:dyDescent="0.25">
      <c r="B865" s="22" t="s">
        <v>887</v>
      </c>
      <c r="C865" s="4" t="s">
        <v>12</v>
      </c>
      <c r="D865" s="4">
        <v>81</v>
      </c>
      <c r="E865" s="5" t="s">
        <v>9</v>
      </c>
      <c r="F865" s="9">
        <v>45221</v>
      </c>
      <c r="G865" s="4">
        <v>117</v>
      </c>
      <c r="H865" s="23">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Row],[Duration]]&lt;=30,"10 TO 30 MINS",
     CALLS[[#This Row],[Duration]]&lt;=120,"1 TO 2 HOURS",
     TRUE,"&gt; 2 HOURS")</f>
        <v>1 TO 2 HOURS</v>
      </c>
      <c r="L865">
        <f>ROUND(CALLS[[#This Row],[Satisfaction Rating]],0)</f>
        <v>4</v>
      </c>
      <c r="M865" cm="1">
        <f t="array" ref="M865">_xlfn.IFS(CALLS[[#This Row],[DURATION BACKET]]="UNDER 10 MINS",1,
     CALLS[[#This Row],[DURATION BACKET]]="10 TO 30 MINS",2,
     CALLS[[#This Row],[DURATION BACKET]]="1 TO 2 HOURS",3,
     CALLS[[#This Row],[DURATION BACKET]]="&gt; 2 HOURS",4)</f>
        <v>3</v>
      </c>
      <c r="N865">
        <f>(CALLS[[#This Row],[Purchase Amount]]/ 1)</f>
        <v>117</v>
      </c>
    </row>
    <row r="866" spans="2:14" x14ac:dyDescent="0.25">
      <c r="B866" s="22" t="s">
        <v>888</v>
      </c>
      <c r="C866" s="4" t="s">
        <v>5</v>
      </c>
      <c r="D866" s="4">
        <v>76</v>
      </c>
      <c r="E866" s="5" t="s">
        <v>6</v>
      </c>
      <c r="F866" s="9">
        <v>45221</v>
      </c>
      <c r="G866" s="4">
        <v>80</v>
      </c>
      <c r="H866" s="23">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Row],[Duration]]&lt;=30,"10 TO 30 MINS",
     CALLS[[#This Row],[Duration]]&lt;=120,"1 TO 2 HOURS",
     TRUE,"&gt; 2 HOURS")</f>
        <v>1 TO 2 HOURS</v>
      </c>
      <c r="L866">
        <f>ROUND(CALLS[[#This Row],[Satisfaction Rating]],0)</f>
        <v>5</v>
      </c>
      <c r="M866" cm="1">
        <f t="array" ref="M866">_xlfn.IFS(CALLS[[#This Row],[DURATION BACKET]]="UNDER 10 MINS",1,
     CALLS[[#This Row],[DURATION BACKET]]="10 TO 30 MINS",2,
     CALLS[[#This Row],[DURATION BACKET]]="1 TO 2 HOURS",3,
     CALLS[[#This Row],[DURATION BACKET]]="&gt; 2 HOURS",4)</f>
        <v>3</v>
      </c>
      <c r="N866">
        <f>(CALLS[[#This Row],[Purchase Amount]]/ 1)</f>
        <v>80</v>
      </c>
    </row>
    <row r="867" spans="2:14" x14ac:dyDescent="0.25">
      <c r="B867" s="22" t="s">
        <v>889</v>
      </c>
      <c r="C867" s="4" t="s">
        <v>5</v>
      </c>
      <c r="D867" s="4">
        <v>37</v>
      </c>
      <c r="E867" s="5" t="s">
        <v>10</v>
      </c>
      <c r="F867" s="9">
        <v>45222</v>
      </c>
      <c r="G867" s="4">
        <v>117</v>
      </c>
      <c r="H867" s="23">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Row],[Duration]]&lt;=30,"10 TO 30 MINS",
     CALLS[[#This Row],[Duration]]&lt;=120,"1 TO 2 HOURS",
     TRUE,"&gt; 2 HOURS")</f>
        <v>1 TO 2 HOURS</v>
      </c>
      <c r="L867">
        <f>ROUND(CALLS[[#This Row],[Satisfaction Rating]],0)</f>
        <v>4</v>
      </c>
      <c r="M867" cm="1">
        <f t="array" ref="M867">_xlfn.IFS(CALLS[[#This Row],[DURATION BACKET]]="UNDER 10 MINS",1,
     CALLS[[#This Row],[DURATION BACKET]]="10 TO 30 MINS",2,
     CALLS[[#This Row],[DURATION BACKET]]="1 TO 2 HOURS",3,
     CALLS[[#This Row],[DURATION BACKET]]="&gt; 2 HOURS",4)</f>
        <v>3</v>
      </c>
      <c r="N867">
        <f>(CALLS[[#This Row],[Purchase Amount]]/ 1)</f>
        <v>117</v>
      </c>
    </row>
    <row r="868" spans="2:14" x14ac:dyDescent="0.25">
      <c r="B868" s="22" t="s">
        <v>890</v>
      </c>
      <c r="C868" s="4" t="s">
        <v>24</v>
      </c>
      <c r="D868" s="4">
        <v>96</v>
      </c>
      <c r="E868" s="5" t="s">
        <v>13</v>
      </c>
      <c r="F868" s="9">
        <v>45222</v>
      </c>
      <c r="G868" s="4">
        <v>60</v>
      </c>
      <c r="H868" s="23">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Row],[Duration]]&lt;=30,"10 TO 30 MINS",
     CALLS[[#This Row],[Duration]]&lt;=120,"1 TO 2 HOURS",
     TRUE,"&gt; 2 HOURS")</f>
        <v>1 TO 2 HOURS</v>
      </c>
      <c r="L868">
        <f>ROUND(CALLS[[#This Row],[Satisfaction Rating]],0)</f>
        <v>5</v>
      </c>
      <c r="M868" cm="1">
        <f t="array" ref="M868">_xlfn.IFS(CALLS[[#This Row],[DURATION BACKET]]="UNDER 10 MINS",1,
     CALLS[[#This Row],[DURATION BACKET]]="10 TO 30 MINS",2,
     CALLS[[#This Row],[DURATION BACKET]]="1 TO 2 HOURS",3,
     CALLS[[#This Row],[DURATION BACKET]]="&gt; 2 HOURS",4)</f>
        <v>3</v>
      </c>
      <c r="N868">
        <f>(CALLS[[#This Row],[Purchase Amount]]/ 1)</f>
        <v>60</v>
      </c>
    </row>
    <row r="869" spans="2:14" x14ac:dyDescent="0.25">
      <c r="B869" s="22" t="s">
        <v>891</v>
      </c>
      <c r="C869" s="4" t="s">
        <v>8</v>
      </c>
      <c r="D869" s="4">
        <v>19</v>
      </c>
      <c r="E869" s="5" t="s">
        <v>6</v>
      </c>
      <c r="F869" s="9">
        <v>45223</v>
      </c>
      <c r="G869" s="4">
        <v>58</v>
      </c>
      <c r="H869" s="23">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Row],[Duration]]&lt;=30,"10 TO 30 MINS",
     CALLS[[#This Row],[Duration]]&lt;=120,"1 TO 2 HOURS",
     TRUE,"&gt; 2 HOURS")</f>
        <v>10 TO 30 MINS</v>
      </c>
      <c r="L869">
        <f>ROUND(CALLS[[#This Row],[Satisfaction Rating]],0)</f>
        <v>4</v>
      </c>
      <c r="M869" cm="1">
        <f t="array" ref="M869">_xlfn.IFS(CALLS[[#This Row],[DURATION BACKET]]="UNDER 10 MINS",1,
     CALLS[[#This Row],[DURATION BACKET]]="10 TO 30 MINS",2,
     CALLS[[#This Row],[DURATION BACKET]]="1 TO 2 HOURS",3,
     CALLS[[#This Row],[DURATION BACKET]]="&gt; 2 HOURS",4)</f>
        <v>2</v>
      </c>
      <c r="N869">
        <f>(CALLS[[#This Row],[Purchase Amount]]/ 1)</f>
        <v>58</v>
      </c>
    </row>
    <row r="870" spans="2:14" x14ac:dyDescent="0.25">
      <c r="B870" s="22" t="s">
        <v>892</v>
      </c>
      <c r="C870" s="4" t="s">
        <v>16</v>
      </c>
      <c r="D870" s="4">
        <v>72</v>
      </c>
      <c r="E870" s="5" t="s">
        <v>10</v>
      </c>
      <c r="F870" s="9">
        <v>45223</v>
      </c>
      <c r="G870" s="4">
        <v>41</v>
      </c>
      <c r="H870" s="23">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Row],[Duration]]&lt;=30,"10 TO 30 MINS",
     CALLS[[#This Row],[Duration]]&lt;=120,"1 TO 2 HOURS",
     TRUE,"&gt; 2 HOURS")</f>
        <v>1 TO 2 HOURS</v>
      </c>
      <c r="L870">
        <f>ROUND(CALLS[[#This Row],[Satisfaction Rating]],0)</f>
        <v>4</v>
      </c>
      <c r="M870" cm="1">
        <f t="array" ref="M870">_xlfn.IFS(CALLS[[#This Row],[DURATION BACKET]]="UNDER 10 MINS",1,
     CALLS[[#This Row],[DURATION BACKET]]="10 TO 30 MINS",2,
     CALLS[[#This Row],[DURATION BACKET]]="1 TO 2 HOURS",3,
     CALLS[[#This Row],[DURATION BACKET]]="&gt; 2 HOURS",4)</f>
        <v>3</v>
      </c>
      <c r="N870">
        <f>(CALLS[[#This Row],[Purchase Amount]]/ 1)</f>
        <v>41</v>
      </c>
    </row>
    <row r="871" spans="2:14" x14ac:dyDescent="0.25">
      <c r="B871" s="22" t="s">
        <v>893</v>
      </c>
      <c r="C871" s="4" t="s">
        <v>21</v>
      </c>
      <c r="D871" s="4">
        <v>73</v>
      </c>
      <c r="E871" s="5" t="s">
        <v>9</v>
      </c>
      <c r="F871" s="9">
        <v>45223</v>
      </c>
      <c r="G871" s="4">
        <v>180</v>
      </c>
      <c r="H871" s="23">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Row],[Duration]]&lt;=30,"10 TO 30 MINS",
     CALLS[[#This Row],[Duration]]&lt;=120,"1 TO 2 HOURS",
     TRUE,"&gt; 2 HOURS")</f>
        <v>1 TO 2 HOURS</v>
      </c>
      <c r="L871">
        <f>ROUND(CALLS[[#This Row],[Satisfaction Rating]],0)</f>
        <v>4</v>
      </c>
      <c r="M871" cm="1">
        <f t="array" ref="M871">_xlfn.IFS(CALLS[[#This Row],[DURATION BACKET]]="UNDER 10 MINS",1,
     CALLS[[#This Row],[DURATION BACKET]]="10 TO 30 MINS",2,
     CALLS[[#This Row],[DURATION BACKET]]="1 TO 2 HOURS",3,
     CALLS[[#This Row],[DURATION BACKET]]="&gt; 2 HOURS",4)</f>
        <v>3</v>
      </c>
      <c r="N871">
        <f>(CALLS[[#This Row],[Purchase Amount]]/ 1)</f>
        <v>180</v>
      </c>
    </row>
    <row r="872" spans="2:14" x14ac:dyDescent="0.25">
      <c r="B872" s="22" t="s">
        <v>894</v>
      </c>
      <c r="C872" s="4" t="s">
        <v>17</v>
      </c>
      <c r="D872" s="4">
        <v>87</v>
      </c>
      <c r="E872" s="5" t="s">
        <v>9</v>
      </c>
      <c r="F872" s="9">
        <v>45223</v>
      </c>
      <c r="G872" s="4">
        <v>42</v>
      </c>
      <c r="H872" s="23">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Row],[Duration]]&lt;=30,"10 TO 30 MINS",
     CALLS[[#This Row],[Duration]]&lt;=120,"1 TO 2 HOURS",
     TRUE,"&gt; 2 HOURS")</f>
        <v>1 TO 2 HOURS</v>
      </c>
      <c r="L872">
        <f>ROUND(CALLS[[#This Row],[Satisfaction Rating]],0)</f>
        <v>4</v>
      </c>
      <c r="M872" cm="1">
        <f t="array" ref="M872">_xlfn.IFS(CALLS[[#This Row],[DURATION BACKET]]="UNDER 10 MINS",1,
     CALLS[[#This Row],[DURATION BACKET]]="10 TO 30 MINS",2,
     CALLS[[#This Row],[DURATION BACKET]]="1 TO 2 HOURS",3,
     CALLS[[#This Row],[DURATION BACKET]]="&gt; 2 HOURS",4)</f>
        <v>3</v>
      </c>
      <c r="N872">
        <f>(CALLS[[#This Row],[Purchase Amount]]/ 1)</f>
        <v>42</v>
      </c>
    </row>
    <row r="873" spans="2:14" x14ac:dyDescent="0.25">
      <c r="B873" s="22" t="s">
        <v>895</v>
      </c>
      <c r="C873" s="4" t="s">
        <v>17</v>
      </c>
      <c r="D873" s="4">
        <v>68</v>
      </c>
      <c r="E873" s="5" t="s">
        <v>9</v>
      </c>
      <c r="F873" s="9">
        <v>45224</v>
      </c>
      <c r="G873" s="4">
        <v>24</v>
      </c>
      <c r="H873" s="2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Row],[Duration]]&lt;=30,"10 TO 30 MINS",
     CALLS[[#This Row],[Duration]]&lt;=120,"1 TO 2 HOURS",
     TRUE,"&gt; 2 HOURS")</f>
        <v>1 TO 2 HOURS</v>
      </c>
      <c r="L873">
        <f>ROUND(CALLS[[#This Row],[Satisfaction Rating]],0)</f>
        <v>4</v>
      </c>
      <c r="M873" cm="1">
        <f t="array" ref="M873">_xlfn.IFS(CALLS[[#This Row],[DURATION BACKET]]="UNDER 10 MINS",1,
     CALLS[[#This Row],[DURATION BACKET]]="10 TO 30 MINS",2,
     CALLS[[#This Row],[DURATION BACKET]]="1 TO 2 HOURS",3,
     CALLS[[#This Row],[DURATION BACKET]]="&gt; 2 HOURS",4)</f>
        <v>3</v>
      </c>
      <c r="N873">
        <f>(CALLS[[#This Row],[Purchase Amount]]/ 1)</f>
        <v>24</v>
      </c>
    </row>
    <row r="874" spans="2:14" x14ac:dyDescent="0.25">
      <c r="B874" s="22" t="s">
        <v>896</v>
      </c>
      <c r="C874" s="4" t="s">
        <v>16</v>
      </c>
      <c r="D874" s="4">
        <v>101</v>
      </c>
      <c r="E874" s="5" t="s">
        <v>9</v>
      </c>
      <c r="F874" s="9">
        <v>45224</v>
      </c>
      <c r="G874" s="4">
        <v>125</v>
      </c>
      <c r="H874" s="23">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Row],[Duration]]&lt;=30,"10 TO 30 MINS",
     CALLS[[#This Row],[Duration]]&lt;=120,"1 TO 2 HOURS",
     TRUE,"&gt; 2 HOURS")</f>
        <v>1 TO 2 HOURS</v>
      </c>
      <c r="L874">
        <f>ROUND(CALLS[[#This Row],[Satisfaction Rating]],0)</f>
        <v>4</v>
      </c>
      <c r="M874" cm="1">
        <f t="array" ref="M874">_xlfn.IFS(CALLS[[#This Row],[DURATION BACKET]]="UNDER 10 MINS",1,
     CALLS[[#This Row],[DURATION BACKET]]="10 TO 30 MINS",2,
     CALLS[[#This Row],[DURATION BACKET]]="1 TO 2 HOURS",3,
     CALLS[[#This Row],[DURATION BACKET]]="&gt; 2 HOURS",4)</f>
        <v>3</v>
      </c>
      <c r="N874">
        <f>(CALLS[[#This Row],[Purchase Amount]]/ 1)</f>
        <v>125</v>
      </c>
    </row>
    <row r="875" spans="2:14" x14ac:dyDescent="0.25">
      <c r="B875" s="22" t="s">
        <v>897</v>
      </c>
      <c r="C875" s="4" t="s">
        <v>16</v>
      </c>
      <c r="D875" s="4">
        <v>107</v>
      </c>
      <c r="E875" s="5" t="s">
        <v>10</v>
      </c>
      <c r="F875" s="9">
        <v>45225</v>
      </c>
      <c r="G875" s="4">
        <v>78</v>
      </c>
      <c r="H875" s="23">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Row],[Duration]]&lt;=30,"10 TO 30 MINS",
     CALLS[[#This Row],[Duration]]&lt;=120,"1 TO 2 HOURS",
     TRUE,"&gt; 2 HOURS")</f>
        <v>1 TO 2 HOURS</v>
      </c>
      <c r="L875">
        <f>ROUND(CALLS[[#This Row],[Satisfaction Rating]],0)</f>
        <v>4</v>
      </c>
      <c r="M875" cm="1">
        <f t="array" ref="M875">_xlfn.IFS(CALLS[[#This Row],[DURATION BACKET]]="UNDER 10 MINS",1,
     CALLS[[#This Row],[DURATION BACKET]]="10 TO 30 MINS",2,
     CALLS[[#This Row],[DURATION BACKET]]="1 TO 2 HOURS",3,
     CALLS[[#This Row],[DURATION BACKET]]="&gt; 2 HOURS",4)</f>
        <v>3</v>
      </c>
      <c r="N875">
        <f>(CALLS[[#This Row],[Purchase Amount]]/ 1)</f>
        <v>78</v>
      </c>
    </row>
    <row r="876" spans="2:14" x14ac:dyDescent="0.25">
      <c r="B876" s="22" t="s">
        <v>898</v>
      </c>
      <c r="C876" s="4" t="s">
        <v>22</v>
      </c>
      <c r="D876" s="4">
        <v>109</v>
      </c>
      <c r="E876" s="5" t="s">
        <v>11</v>
      </c>
      <c r="F876" s="9">
        <v>45225</v>
      </c>
      <c r="G876" s="4">
        <v>180</v>
      </c>
      <c r="H876" s="23">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Row],[Duration]]&lt;=30,"10 TO 30 MINS",
     CALLS[[#This Row],[Duration]]&lt;=120,"1 TO 2 HOURS",
     TRUE,"&gt; 2 HOURS")</f>
        <v>1 TO 2 HOURS</v>
      </c>
      <c r="L876">
        <f>ROUND(CALLS[[#This Row],[Satisfaction Rating]],0)</f>
        <v>4</v>
      </c>
      <c r="M876" cm="1">
        <f t="array" ref="M876">_xlfn.IFS(CALLS[[#This Row],[DURATION BACKET]]="UNDER 10 MINS",1,
     CALLS[[#This Row],[DURATION BACKET]]="10 TO 30 MINS",2,
     CALLS[[#This Row],[DURATION BACKET]]="1 TO 2 HOURS",3,
     CALLS[[#This Row],[DURATION BACKET]]="&gt; 2 HOURS",4)</f>
        <v>3</v>
      </c>
      <c r="N876">
        <f>(CALLS[[#This Row],[Purchase Amount]]/ 1)</f>
        <v>180</v>
      </c>
    </row>
    <row r="877" spans="2:14" x14ac:dyDescent="0.25">
      <c r="B877" s="22" t="s">
        <v>899</v>
      </c>
      <c r="C877" s="4" t="s">
        <v>14</v>
      </c>
      <c r="D877" s="4">
        <v>171</v>
      </c>
      <c r="E877" s="5" t="s">
        <v>10</v>
      </c>
      <c r="F877" s="9">
        <v>45225</v>
      </c>
      <c r="G877" s="4">
        <v>84</v>
      </c>
      <c r="H877" s="23">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Row],[Duration]]&lt;=30,"10 TO 30 MINS",
     CALLS[[#This Row],[Duration]]&lt;=120,"1 TO 2 HOURS",
     TRUE,"&gt; 2 HOURS")</f>
        <v>&gt; 2 HOURS</v>
      </c>
      <c r="L877">
        <f>ROUND(CALLS[[#This Row],[Satisfaction Rating]],0)</f>
        <v>4</v>
      </c>
      <c r="M877" cm="1">
        <f t="array" ref="M877">_xlfn.IFS(CALLS[[#This Row],[DURATION BACKET]]="UNDER 10 MINS",1,
     CALLS[[#This Row],[DURATION BACKET]]="10 TO 30 MINS",2,
     CALLS[[#This Row],[DURATION BACKET]]="1 TO 2 HOURS",3,
     CALLS[[#This Row],[DURATION BACKET]]="&gt; 2 HOURS",4)</f>
        <v>4</v>
      </c>
      <c r="N877">
        <f>(CALLS[[#This Row],[Purchase Amount]]/ 1)</f>
        <v>84</v>
      </c>
    </row>
    <row r="878" spans="2:14" x14ac:dyDescent="0.25">
      <c r="B878" s="22" t="s">
        <v>900</v>
      </c>
      <c r="C878" s="4" t="s">
        <v>8</v>
      </c>
      <c r="D878" s="4">
        <v>21</v>
      </c>
      <c r="E878" s="5" t="s">
        <v>10</v>
      </c>
      <c r="F878" s="9">
        <v>45225</v>
      </c>
      <c r="G878" s="4">
        <v>26</v>
      </c>
      <c r="H878" s="23">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Row],[Duration]]&lt;=30,"10 TO 30 MINS",
     CALLS[[#This Row],[Duration]]&lt;=120,"1 TO 2 HOURS",
     TRUE,"&gt; 2 HOURS")</f>
        <v>10 TO 30 MINS</v>
      </c>
      <c r="L878">
        <f>ROUND(CALLS[[#This Row],[Satisfaction Rating]],0)</f>
        <v>5</v>
      </c>
      <c r="M878" cm="1">
        <f t="array" ref="M878">_xlfn.IFS(CALLS[[#This Row],[DURATION BACKET]]="UNDER 10 MINS",1,
     CALLS[[#This Row],[DURATION BACKET]]="10 TO 30 MINS",2,
     CALLS[[#This Row],[DURATION BACKET]]="1 TO 2 HOURS",3,
     CALLS[[#This Row],[DURATION BACKET]]="&gt; 2 HOURS",4)</f>
        <v>2</v>
      </c>
      <c r="N878">
        <f>(CALLS[[#This Row],[Purchase Amount]]/ 1)</f>
        <v>26</v>
      </c>
    </row>
    <row r="879" spans="2:14" x14ac:dyDescent="0.25">
      <c r="B879" s="22" t="s">
        <v>901</v>
      </c>
      <c r="C879" s="4" t="s">
        <v>12</v>
      </c>
      <c r="D879" s="4">
        <v>94</v>
      </c>
      <c r="E879" s="5" t="s">
        <v>10</v>
      </c>
      <c r="F879" s="9">
        <v>45226</v>
      </c>
      <c r="G879" s="4">
        <v>140</v>
      </c>
      <c r="H879" s="23">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Row],[Duration]]&lt;=30,"10 TO 30 MINS",
     CALLS[[#This Row],[Duration]]&lt;=120,"1 TO 2 HOURS",
     TRUE,"&gt; 2 HOURS")</f>
        <v>1 TO 2 HOURS</v>
      </c>
      <c r="L879">
        <f>ROUND(CALLS[[#This Row],[Satisfaction Rating]],0)</f>
        <v>4</v>
      </c>
      <c r="M879" cm="1">
        <f t="array" ref="M879">_xlfn.IFS(CALLS[[#This Row],[DURATION BACKET]]="UNDER 10 MINS",1,
     CALLS[[#This Row],[DURATION BACKET]]="10 TO 30 MINS",2,
     CALLS[[#This Row],[DURATION BACKET]]="1 TO 2 HOURS",3,
     CALLS[[#This Row],[DURATION BACKET]]="&gt; 2 HOURS",4)</f>
        <v>3</v>
      </c>
      <c r="N879">
        <f>(CALLS[[#This Row],[Purchase Amount]]/ 1)</f>
        <v>140</v>
      </c>
    </row>
    <row r="880" spans="2:14" x14ac:dyDescent="0.25">
      <c r="B880" s="22" t="s">
        <v>902</v>
      </c>
      <c r="C880" s="4" t="s">
        <v>21</v>
      </c>
      <c r="D880" s="4">
        <v>97</v>
      </c>
      <c r="E880" s="5" t="s">
        <v>11</v>
      </c>
      <c r="F880" s="9">
        <v>45226</v>
      </c>
      <c r="G880" s="4">
        <v>31</v>
      </c>
      <c r="H880" s="23">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Row],[Duration]]&lt;=30,"10 TO 30 MINS",
     CALLS[[#This Row],[Duration]]&lt;=120,"1 TO 2 HOURS",
     TRUE,"&gt; 2 HOURS")</f>
        <v>1 TO 2 HOURS</v>
      </c>
      <c r="L880">
        <f>ROUND(CALLS[[#This Row],[Satisfaction Rating]],0)</f>
        <v>2</v>
      </c>
      <c r="M880" cm="1">
        <f t="array" ref="M880">_xlfn.IFS(CALLS[[#This Row],[DURATION BACKET]]="UNDER 10 MINS",1,
     CALLS[[#This Row],[DURATION BACKET]]="10 TO 30 MINS",2,
     CALLS[[#This Row],[DURATION BACKET]]="1 TO 2 HOURS",3,
     CALLS[[#This Row],[DURATION BACKET]]="&gt; 2 HOURS",4)</f>
        <v>3</v>
      </c>
      <c r="N880">
        <f>(CALLS[[#This Row],[Purchase Amount]]/ 1)</f>
        <v>31</v>
      </c>
    </row>
    <row r="881" spans="2:14" x14ac:dyDescent="0.25">
      <c r="B881" s="22" t="s">
        <v>903</v>
      </c>
      <c r="C881" s="4" t="s">
        <v>24</v>
      </c>
      <c r="D881" s="4">
        <v>72</v>
      </c>
      <c r="E881" s="5" t="s">
        <v>11</v>
      </c>
      <c r="F881" s="9">
        <v>45226</v>
      </c>
      <c r="G881" s="4">
        <v>108</v>
      </c>
      <c r="H881" s="23">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Row],[Duration]]&lt;=30,"10 TO 30 MINS",
     CALLS[[#This Row],[Duration]]&lt;=120,"1 TO 2 HOURS",
     TRUE,"&gt; 2 HOURS")</f>
        <v>1 TO 2 HOURS</v>
      </c>
      <c r="L881">
        <f>ROUND(CALLS[[#This Row],[Satisfaction Rating]],0)</f>
        <v>5</v>
      </c>
      <c r="M881" cm="1">
        <f t="array" ref="M881">_xlfn.IFS(CALLS[[#This Row],[DURATION BACKET]]="UNDER 10 MINS",1,
     CALLS[[#This Row],[DURATION BACKET]]="10 TO 30 MINS",2,
     CALLS[[#This Row],[DURATION BACKET]]="1 TO 2 HOURS",3,
     CALLS[[#This Row],[DURATION BACKET]]="&gt; 2 HOURS",4)</f>
        <v>3</v>
      </c>
      <c r="N881">
        <f>(CALLS[[#This Row],[Purchase Amount]]/ 1)</f>
        <v>108</v>
      </c>
    </row>
    <row r="882" spans="2:14" x14ac:dyDescent="0.25">
      <c r="B882" s="22" t="s">
        <v>904</v>
      </c>
      <c r="C882" s="4" t="s">
        <v>14</v>
      </c>
      <c r="D882" s="4">
        <v>143</v>
      </c>
      <c r="E882" s="5" t="s">
        <v>13</v>
      </c>
      <c r="F882" s="9">
        <v>45227</v>
      </c>
      <c r="G882" s="4">
        <v>58</v>
      </c>
      <c r="H882" s="23">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Row],[Duration]]&lt;=30,"10 TO 30 MINS",
     CALLS[[#This Row],[Duration]]&lt;=120,"1 TO 2 HOURS",
     TRUE,"&gt; 2 HOURS")</f>
        <v>&gt; 2 HOURS</v>
      </c>
      <c r="L882">
        <f>ROUND(CALLS[[#This Row],[Satisfaction Rating]],0)</f>
        <v>4</v>
      </c>
      <c r="M882" cm="1">
        <f t="array" ref="M882">_xlfn.IFS(CALLS[[#This Row],[DURATION BACKET]]="UNDER 10 MINS",1,
     CALLS[[#This Row],[DURATION BACKET]]="10 TO 30 MINS",2,
     CALLS[[#This Row],[DURATION BACKET]]="1 TO 2 HOURS",3,
     CALLS[[#This Row],[DURATION BACKET]]="&gt; 2 HOURS",4)</f>
        <v>4</v>
      </c>
      <c r="N882">
        <f>(CALLS[[#This Row],[Purchase Amount]]/ 1)</f>
        <v>58</v>
      </c>
    </row>
    <row r="883" spans="2:14" x14ac:dyDescent="0.25">
      <c r="B883" s="22" t="s">
        <v>905</v>
      </c>
      <c r="C883" s="4" t="s">
        <v>14</v>
      </c>
      <c r="D883" s="4">
        <v>64</v>
      </c>
      <c r="E883" s="5" t="s">
        <v>11</v>
      </c>
      <c r="F883" s="9">
        <v>45227</v>
      </c>
      <c r="G883" s="4">
        <v>185</v>
      </c>
      <c r="H883" s="2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Row],[Duration]]&lt;=30,"10 TO 30 MINS",
     CALLS[[#This Row],[Duration]]&lt;=120,"1 TO 2 HOURS",
     TRUE,"&gt; 2 HOURS")</f>
        <v>1 TO 2 HOURS</v>
      </c>
      <c r="L883">
        <f>ROUND(CALLS[[#This Row],[Satisfaction Rating]],0)</f>
        <v>2</v>
      </c>
      <c r="M883" cm="1">
        <f t="array" ref="M883">_xlfn.IFS(CALLS[[#This Row],[DURATION BACKET]]="UNDER 10 MINS",1,
     CALLS[[#This Row],[DURATION BACKET]]="10 TO 30 MINS",2,
     CALLS[[#This Row],[DURATION BACKET]]="1 TO 2 HOURS",3,
     CALLS[[#This Row],[DURATION BACKET]]="&gt; 2 HOURS",4)</f>
        <v>3</v>
      </c>
      <c r="N883">
        <f>(CALLS[[#This Row],[Purchase Amount]]/ 1)</f>
        <v>185</v>
      </c>
    </row>
    <row r="884" spans="2:14" x14ac:dyDescent="0.25">
      <c r="B884" s="22" t="s">
        <v>906</v>
      </c>
      <c r="C884" s="4" t="s">
        <v>14</v>
      </c>
      <c r="D884" s="4">
        <v>69</v>
      </c>
      <c r="E884" s="5" t="s">
        <v>11</v>
      </c>
      <c r="F884" s="9">
        <v>45227</v>
      </c>
      <c r="G884" s="4">
        <v>40</v>
      </c>
      <c r="H884" s="23">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Row],[Duration]]&lt;=30,"10 TO 30 MINS",
     CALLS[[#This Row],[Duration]]&lt;=120,"1 TO 2 HOURS",
     TRUE,"&gt; 2 HOURS")</f>
        <v>1 TO 2 HOURS</v>
      </c>
      <c r="L884">
        <f>ROUND(CALLS[[#This Row],[Satisfaction Rating]],0)</f>
        <v>5</v>
      </c>
      <c r="M884" cm="1">
        <f t="array" ref="M884">_xlfn.IFS(CALLS[[#This Row],[DURATION BACKET]]="UNDER 10 MINS",1,
     CALLS[[#This Row],[DURATION BACKET]]="10 TO 30 MINS",2,
     CALLS[[#This Row],[DURATION BACKET]]="1 TO 2 HOURS",3,
     CALLS[[#This Row],[DURATION BACKET]]="&gt; 2 HOURS",4)</f>
        <v>3</v>
      </c>
      <c r="N884">
        <f>(CALLS[[#This Row],[Purchase Amount]]/ 1)</f>
        <v>40</v>
      </c>
    </row>
    <row r="885" spans="2:14" x14ac:dyDescent="0.25">
      <c r="B885" s="22" t="s">
        <v>907</v>
      </c>
      <c r="C885" s="4" t="s">
        <v>14</v>
      </c>
      <c r="D885" s="4">
        <v>18</v>
      </c>
      <c r="E885" s="5" t="s">
        <v>6</v>
      </c>
      <c r="F885" s="9">
        <v>45227</v>
      </c>
      <c r="G885" s="4">
        <v>225</v>
      </c>
      <c r="H885" s="23">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Row],[Duration]]&lt;=30,"10 TO 30 MINS",
     CALLS[[#This Row],[Duration]]&lt;=120,"1 TO 2 HOURS",
     TRUE,"&gt; 2 HOURS")</f>
        <v>10 TO 30 MINS</v>
      </c>
      <c r="L885">
        <f>ROUND(CALLS[[#This Row],[Satisfaction Rating]],0)</f>
        <v>3</v>
      </c>
      <c r="M885" cm="1">
        <f t="array" ref="M885">_xlfn.IFS(CALLS[[#This Row],[DURATION BACKET]]="UNDER 10 MINS",1,
     CALLS[[#This Row],[DURATION BACKET]]="10 TO 30 MINS",2,
     CALLS[[#This Row],[DURATION BACKET]]="1 TO 2 HOURS",3,
     CALLS[[#This Row],[DURATION BACKET]]="&gt; 2 HOURS",4)</f>
        <v>2</v>
      </c>
      <c r="N885">
        <f>(CALLS[[#This Row],[Purchase Amount]]/ 1)</f>
        <v>225</v>
      </c>
    </row>
    <row r="886" spans="2:14" x14ac:dyDescent="0.25">
      <c r="B886" s="22" t="s">
        <v>908</v>
      </c>
      <c r="C886" s="4" t="s">
        <v>21</v>
      </c>
      <c r="D886" s="4">
        <v>100</v>
      </c>
      <c r="E886" s="5" t="s">
        <v>13</v>
      </c>
      <c r="F886" s="9">
        <v>45227</v>
      </c>
      <c r="G886" s="4">
        <v>150</v>
      </c>
      <c r="H886" s="23">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Row],[Duration]]&lt;=30,"10 TO 30 MINS",
     CALLS[[#This Row],[Duration]]&lt;=120,"1 TO 2 HOURS",
     TRUE,"&gt; 2 HOURS")</f>
        <v>1 TO 2 HOURS</v>
      </c>
      <c r="L886">
        <f>ROUND(CALLS[[#This Row],[Satisfaction Rating]],0)</f>
        <v>3</v>
      </c>
      <c r="M886" cm="1">
        <f t="array" ref="M886">_xlfn.IFS(CALLS[[#This Row],[DURATION BACKET]]="UNDER 10 MINS",1,
     CALLS[[#This Row],[DURATION BACKET]]="10 TO 30 MINS",2,
     CALLS[[#This Row],[DURATION BACKET]]="1 TO 2 HOURS",3,
     CALLS[[#This Row],[DURATION BACKET]]="&gt; 2 HOURS",4)</f>
        <v>3</v>
      </c>
      <c r="N886">
        <f>(CALLS[[#This Row],[Purchase Amount]]/ 1)</f>
        <v>150</v>
      </c>
    </row>
    <row r="887" spans="2:14" x14ac:dyDescent="0.25">
      <c r="B887" s="22" t="s">
        <v>909</v>
      </c>
      <c r="C887" s="4" t="s">
        <v>18</v>
      </c>
      <c r="D887" s="4">
        <v>110</v>
      </c>
      <c r="E887" s="5" t="s">
        <v>9</v>
      </c>
      <c r="F887" s="9">
        <v>45228</v>
      </c>
      <c r="G887" s="4">
        <v>88</v>
      </c>
      <c r="H887" s="23">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Row],[Duration]]&lt;=30,"10 TO 30 MINS",
     CALLS[[#This Row],[Duration]]&lt;=120,"1 TO 2 HOURS",
     TRUE,"&gt; 2 HOURS")</f>
        <v>1 TO 2 HOURS</v>
      </c>
      <c r="L887">
        <f>ROUND(CALLS[[#This Row],[Satisfaction Rating]],0)</f>
        <v>3</v>
      </c>
      <c r="M887" cm="1">
        <f t="array" ref="M887">_xlfn.IFS(CALLS[[#This Row],[DURATION BACKET]]="UNDER 10 MINS",1,
     CALLS[[#This Row],[DURATION BACKET]]="10 TO 30 MINS",2,
     CALLS[[#This Row],[DURATION BACKET]]="1 TO 2 HOURS",3,
     CALLS[[#This Row],[DURATION BACKET]]="&gt; 2 HOURS",4)</f>
        <v>3</v>
      </c>
      <c r="N887">
        <f>(CALLS[[#This Row],[Purchase Amount]]/ 1)</f>
        <v>88</v>
      </c>
    </row>
    <row r="888" spans="2:14" x14ac:dyDescent="0.25">
      <c r="B888" s="22" t="s">
        <v>910</v>
      </c>
      <c r="C888" s="4" t="s">
        <v>7</v>
      </c>
      <c r="D888" s="4">
        <v>41</v>
      </c>
      <c r="E888" s="5" t="s">
        <v>10</v>
      </c>
      <c r="F888" s="9">
        <v>45228</v>
      </c>
      <c r="G888" s="4">
        <v>140</v>
      </c>
      <c r="H888" s="23">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Row],[Duration]]&lt;=30,"10 TO 30 MINS",
     CALLS[[#This Row],[Duration]]&lt;=120,"1 TO 2 HOURS",
     TRUE,"&gt; 2 HOURS")</f>
        <v>1 TO 2 HOURS</v>
      </c>
      <c r="L888">
        <f>ROUND(CALLS[[#This Row],[Satisfaction Rating]],0)</f>
        <v>4</v>
      </c>
      <c r="M888" cm="1">
        <f t="array" ref="M888">_xlfn.IFS(CALLS[[#This Row],[DURATION BACKET]]="UNDER 10 MINS",1,
     CALLS[[#This Row],[DURATION BACKET]]="10 TO 30 MINS",2,
     CALLS[[#This Row],[DURATION BACKET]]="1 TO 2 HOURS",3,
     CALLS[[#This Row],[DURATION BACKET]]="&gt; 2 HOURS",4)</f>
        <v>3</v>
      </c>
      <c r="N888">
        <f>(CALLS[[#This Row],[Purchase Amount]]/ 1)</f>
        <v>140</v>
      </c>
    </row>
    <row r="889" spans="2:14" x14ac:dyDescent="0.25">
      <c r="B889" s="22" t="s">
        <v>911</v>
      </c>
      <c r="C889" s="4" t="s">
        <v>18</v>
      </c>
      <c r="D889" s="4">
        <v>147</v>
      </c>
      <c r="E889" s="5" t="s">
        <v>9</v>
      </c>
      <c r="F889" s="9">
        <v>45228</v>
      </c>
      <c r="G889" s="4">
        <v>68</v>
      </c>
      <c r="H889" s="23">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Row],[Duration]]&lt;=30,"10 TO 30 MINS",
     CALLS[[#This Row],[Duration]]&lt;=120,"1 TO 2 HOURS",
     TRUE,"&gt; 2 HOURS")</f>
        <v>&gt; 2 HOURS</v>
      </c>
      <c r="L889">
        <f>ROUND(CALLS[[#This Row],[Satisfaction Rating]],0)</f>
        <v>2</v>
      </c>
      <c r="M889" cm="1">
        <f t="array" ref="M889">_xlfn.IFS(CALLS[[#This Row],[DURATION BACKET]]="UNDER 10 MINS",1,
     CALLS[[#This Row],[DURATION BACKET]]="10 TO 30 MINS",2,
     CALLS[[#This Row],[DURATION BACKET]]="1 TO 2 HOURS",3,
     CALLS[[#This Row],[DURATION BACKET]]="&gt; 2 HOURS",4)</f>
        <v>4</v>
      </c>
      <c r="N889">
        <f>(CALLS[[#This Row],[Purchase Amount]]/ 1)</f>
        <v>68</v>
      </c>
    </row>
    <row r="890" spans="2:14" x14ac:dyDescent="0.25">
      <c r="B890" s="22" t="s">
        <v>912</v>
      </c>
      <c r="C890" s="4" t="s">
        <v>12</v>
      </c>
      <c r="D890" s="4">
        <v>31</v>
      </c>
      <c r="E890" s="5" t="s">
        <v>6</v>
      </c>
      <c r="F890" s="9">
        <v>45229</v>
      </c>
      <c r="G890" s="4">
        <v>105</v>
      </c>
      <c r="H890" s="23">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Row],[Duration]]&lt;=30,"10 TO 30 MINS",
     CALLS[[#This Row],[Duration]]&lt;=120,"1 TO 2 HOURS",
     TRUE,"&gt; 2 HOURS")</f>
        <v>1 TO 2 HOURS</v>
      </c>
      <c r="L890">
        <f>ROUND(CALLS[[#This Row],[Satisfaction Rating]],0)</f>
        <v>4</v>
      </c>
      <c r="M890" cm="1">
        <f t="array" ref="M890">_xlfn.IFS(CALLS[[#This Row],[DURATION BACKET]]="UNDER 10 MINS",1,
     CALLS[[#This Row],[DURATION BACKET]]="10 TO 30 MINS",2,
     CALLS[[#This Row],[DURATION BACKET]]="1 TO 2 HOURS",3,
     CALLS[[#This Row],[DURATION BACKET]]="&gt; 2 HOURS",4)</f>
        <v>3</v>
      </c>
      <c r="N890">
        <f>(CALLS[[#This Row],[Purchase Amount]]/ 1)</f>
        <v>105</v>
      </c>
    </row>
    <row r="891" spans="2:14" x14ac:dyDescent="0.25">
      <c r="B891" s="22" t="s">
        <v>913</v>
      </c>
      <c r="C891" s="4" t="s">
        <v>17</v>
      </c>
      <c r="D891" s="4">
        <v>142</v>
      </c>
      <c r="E891" s="5" t="s">
        <v>10</v>
      </c>
      <c r="F891" s="9">
        <v>45229</v>
      </c>
      <c r="G891" s="4">
        <v>40</v>
      </c>
      <c r="H891" s="23">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Row],[Duration]]&lt;=30,"10 TO 30 MINS",
     CALLS[[#This Row],[Duration]]&lt;=120,"1 TO 2 HOURS",
     TRUE,"&gt; 2 HOURS")</f>
        <v>&gt; 2 HOURS</v>
      </c>
      <c r="L891">
        <f>ROUND(CALLS[[#This Row],[Satisfaction Rating]],0)</f>
        <v>4</v>
      </c>
      <c r="M891" cm="1">
        <f t="array" ref="M891">_xlfn.IFS(CALLS[[#This Row],[DURATION BACKET]]="UNDER 10 MINS",1,
     CALLS[[#This Row],[DURATION BACKET]]="10 TO 30 MINS",2,
     CALLS[[#This Row],[DURATION BACKET]]="1 TO 2 HOURS",3,
     CALLS[[#This Row],[DURATION BACKET]]="&gt; 2 HOURS",4)</f>
        <v>4</v>
      </c>
      <c r="N891">
        <f>(CALLS[[#This Row],[Purchase Amount]]/ 1)</f>
        <v>40</v>
      </c>
    </row>
    <row r="892" spans="2:14" x14ac:dyDescent="0.25">
      <c r="B892" s="22" t="s">
        <v>914</v>
      </c>
      <c r="C892" s="4" t="s">
        <v>22</v>
      </c>
      <c r="D892" s="4">
        <v>61</v>
      </c>
      <c r="E892" s="5" t="s">
        <v>10</v>
      </c>
      <c r="F892" s="9">
        <v>45229</v>
      </c>
      <c r="G892" s="4">
        <v>82</v>
      </c>
      <c r="H892" s="23">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Row],[Duration]]&lt;=30,"10 TO 30 MINS",
     CALLS[[#This Row],[Duration]]&lt;=120,"1 TO 2 HOURS",
     TRUE,"&gt; 2 HOURS")</f>
        <v>1 TO 2 HOURS</v>
      </c>
      <c r="L892">
        <f>ROUND(CALLS[[#This Row],[Satisfaction Rating]],0)</f>
        <v>3</v>
      </c>
      <c r="M892" cm="1">
        <f t="array" ref="M892">_xlfn.IFS(CALLS[[#This Row],[DURATION BACKET]]="UNDER 10 MINS",1,
     CALLS[[#This Row],[DURATION BACKET]]="10 TO 30 MINS",2,
     CALLS[[#This Row],[DURATION BACKET]]="1 TO 2 HOURS",3,
     CALLS[[#This Row],[DURATION BACKET]]="&gt; 2 HOURS",4)</f>
        <v>3</v>
      </c>
      <c r="N892">
        <f>(CALLS[[#This Row],[Purchase Amount]]/ 1)</f>
        <v>82</v>
      </c>
    </row>
    <row r="893" spans="2:14" x14ac:dyDescent="0.25">
      <c r="B893" s="22" t="s">
        <v>915</v>
      </c>
      <c r="C893" s="4" t="s">
        <v>20</v>
      </c>
      <c r="D893" s="4">
        <v>86</v>
      </c>
      <c r="E893" s="5" t="s">
        <v>6</v>
      </c>
      <c r="F893" s="9">
        <v>45230</v>
      </c>
      <c r="G893" s="4">
        <v>90</v>
      </c>
      <c r="H893" s="2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Row],[Duration]]&lt;=30,"10 TO 30 MINS",
     CALLS[[#This Row],[Duration]]&lt;=120,"1 TO 2 HOURS",
     TRUE,"&gt; 2 HOURS")</f>
        <v>1 TO 2 HOURS</v>
      </c>
      <c r="L893">
        <f>ROUND(CALLS[[#This Row],[Satisfaction Rating]],0)</f>
        <v>4</v>
      </c>
      <c r="M893" cm="1">
        <f t="array" ref="M893">_xlfn.IFS(CALLS[[#This Row],[DURATION BACKET]]="UNDER 10 MINS",1,
     CALLS[[#This Row],[DURATION BACKET]]="10 TO 30 MINS",2,
     CALLS[[#This Row],[DURATION BACKET]]="1 TO 2 HOURS",3,
     CALLS[[#This Row],[DURATION BACKET]]="&gt; 2 HOURS",4)</f>
        <v>3</v>
      </c>
      <c r="N893">
        <f>(CALLS[[#This Row],[Purchase Amount]]/ 1)</f>
        <v>90</v>
      </c>
    </row>
    <row r="894" spans="2:14" x14ac:dyDescent="0.25">
      <c r="B894" s="22" t="s">
        <v>916</v>
      </c>
      <c r="C894" s="4" t="s">
        <v>23</v>
      </c>
      <c r="D894" s="4">
        <v>165</v>
      </c>
      <c r="E894" s="5" t="s">
        <v>13</v>
      </c>
      <c r="F894" s="9">
        <v>45231</v>
      </c>
      <c r="G894" s="4">
        <v>66</v>
      </c>
      <c r="H894" s="23">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Row],[Duration]]&lt;=30,"10 TO 30 MINS",
     CALLS[[#This Row],[Duration]]&lt;=120,"1 TO 2 HOURS",
     TRUE,"&gt; 2 HOURS")</f>
        <v>&gt; 2 HOURS</v>
      </c>
      <c r="L894">
        <f>ROUND(CALLS[[#This Row],[Satisfaction Rating]],0)</f>
        <v>5</v>
      </c>
      <c r="M894" cm="1">
        <f t="array" ref="M894">_xlfn.IFS(CALLS[[#This Row],[DURATION BACKET]]="UNDER 10 MINS",1,
     CALLS[[#This Row],[DURATION BACKET]]="10 TO 30 MINS",2,
     CALLS[[#This Row],[DURATION BACKET]]="1 TO 2 HOURS",3,
     CALLS[[#This Row],[DURATION BACKET]]="&gt; 2 HOURS",4)</f>
        <v>4</v>
      </c>
      <c r="N894">
        <f>(CALLS[[#This Row],[Purchase Amount]]/ 1)</f>
        <v>66</v>
      </c>
    </row>
    <row r="895" spans="2:14" x14ac:dyDescent="0.25">
      <c r="B895" s="22" t="s">
        <v>917</v>
      </c>
      <c r="C895" s="4" t="s">
        <v>5</v>
      </c>
      <c r="D895" s="4">
        <v>62</v>
      </c>
      <c r="E895" s="5" t="s">
        <v>9</v>
      </c>
      <c r="F895" s="9">
        <v>45231</v>
      </c>
      <c r="G895" s="4">
        <v>78</v>
      </c>
      <c r="H895" s="23">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Row],[Duration]]&lt;=30,"10 TO 30 MINS",
     CALLS[[#This Row],[Duration]]&lt;=120,"1 TO 2 HOURS",
     TRUE,"&gt; 2 HOURS")</f>
        <v>1 TO 2 HOURS</v>
      </c>
      <c r="L895">
        <f>ROUND(CALLS[[#This Row],[Satisfaction Rating]],0)</f>
        <v>4</v>
      </c>
      <c r="M895" cm="1">
        <f t="array" ref="M895">_xlfn.IFS(CALLS[[#This Row],[DURATION BACKET]]="UNDER 10 MINS",1,
     CALLS[[#This Row],[DURATION BACKET]]="10 TO 30 MINS",2,
     CALLS[[#This Row],[DURATION BACKET]]="1 TO 2 HOURS",3,
     CALLS[[#This Row],[DURATION BACKET]]="&gt; 2 HOURS",4)</f>
        <v>3</v>
      </c>
      <c r="N895">
        <f>(CALLS[[#This Row],[Purchase Amount]]/ 1)</f>
        <v>78</v>
      </c>
    </row>
    <row r="896" spans="2:14" x14ac:dyDescent="0.25">
      <c r="B896" s="22" t="s">
        <v>918</v>
      </c>
      <c r="C896" s="4" t="s">
        <v>21</v>
      </c>
      <c r="D896" s="4">
        <v>103</v>
      </c>
      <c r="E896" s="5" t="s">
        <v>13</v>
      </c>
      <c r="F896" s="9">
        <v>45232</v>
      </c>
      <c r="G896" s="4">
        <v>66</v>
      </c>
      <c r="H896" s="23">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Row],[Duration]]&lt;=30,"10 TO 30 MINS",
     CALLS[[#This Row],[Duration]]&lt;=120,"1 TO 2 HOURS",
     TRUE,"&gt; 2 HOURS")</f>
        <v>1 TO 2 HOURS</v>
      </c>
      <c r="L896">
        <f>ROUND(CALLS[[#This Row],[Satisfaction Rating]],0)</f>
        <v>4</v>
      </c>
      <c r="M896" cm="1">
        <f t="array" ref="M896">_xlfn.IFS(CALLS[[#This Row],[DURATION BACKET]]="UNDER 10 MINS",1,
     CALLS[[#This Row],[DURATION BACKET]]="10 TO 30 MINS",2,
     CALLS[[#This Row],[DURATION BACKET]]="1 TO 2 HOURS",3,
     CALLS[[#This Row],[DURATION BACKET]]="&gt; 2 HOURS",4)</f>
        <v>3</v>
      </c>
      <c r="N896">
        <f>(CALLS[[#This Row],[Purchase Amount]]/ 1)</f>
        <v>66</v>
      </c>
    </row>
    <row r="897" spans="2:14" x14ac:dyDescent="0.25">
      <c r="B897" s="22" t="s">
        <v>919</v>
      </c>
      <c r="C897" s="4" t="s">
        <v>17</v>
      </c>
      <c r="D897" s="4">
        <v>56</v>
      </c>
      <c r="E897" s="5" t="s">
        <v>6</v>
      </c>
      <c r="F897" s="9">
        <v>45233</v>
      </c>
      <c r="G897" s="4">
        <v>160</v>
      </c>
      <c r="H897" s="23">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Row],[Duration]]&lt;=30,"10 TO 30 MINS",
     CALLS[[#This Row],[Duration]]&lt;=120,"1 TO 2 HOURS",
     TRUE,"&gt; 2 HOURS")</f>
        <v>1 TO 2 HOURS</v>
      </c>
      <c r="L897">
        <f>ROUND(CALLS[[#This Row],[Satisfaction Rating]],0)</f>
        <v>4</v>
      </c>
      <c r="M897" cm="1">
        <f t="array" ref="M897">_xlfn.IFS(CALLS[[#This Row],[DURATION BACKET]]="UNDER 10 MINS",1,
     CALLS[[#This Row],[DURATION BACKET]]="10 TO 30 MINS",2,
     CALLS[[#This Row],[DURATION BACKET]]="1 TO 2 HOURS",3,
     CALLS[[#This Row],[DURATION BACKET]]="&gt; 2 HOURS",4)</f>
        <v>3</v>
      </c>
      <c r="N897">
        <f>(CALLS[[#This Row],[Purchase Amount]]/ 1)</f>
        <v>160</v>
      </c>
    </row>
    <row r="898" spans="2:14" x14ac:dyDescent="0.25">
      <c r="B898" s="22" t="s">
        <v>920</v>
      </c>
      <c r="C898" s="4" t="s">
        <v>16</v>
      </c>
      <c r="D898" s="4">
        <v>114</v>
      </c>
      <c r="E898" s="5" t="s">
        <v>10</v>
      </c>
      <c r="F898" s="9">
        <v>45234</v>
      </c>
      <c r="G898" s="4">
        <v>144</v>
      </c>
      <c r="H898" s="23">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Row],[Duration]]&lt;=30,"10 TO 30 MINS",
     CALLS[[#This Row],[Duration]]&lt;=120,"1 TO 2 HOURS",
     TRUE,"&gt; 2 HOURS")</f>
        <v>1 TO 2 HOURS</v>
      </c>
      <c r="L898">
        <f>ROUND(CALLS[[#This Row],[Satisfaction Rating]],0)</f>
        <v>4</v>
      </c>
      <c r="M898" cm="1">
        <f t="array" ref="M898">_xlfn.IFS(CALLS[[#This Row],[DURATION BACKET]]="UNDER 10 MINS",1,
     CALLS[[#This Row],[DURATION BACKET]]="10 TO 30 MINS",2,
     CALLS[[#This Row],[DURATION BACKET]]="1 TO 2 HOURS",3,
     CALLS[[#This Row],[DURATION BACKET]]="&gt; 2 HOURS",4)</f>
        <v>3</v>
      </c>
      <c r="N898">
        <f>(CALLS[[#This Row],[Purchase Amount]]/ 1)</f>
        <v>144</v>
      </c>
    </row>
    <row r="899" spans="2:14" x14ac:dyDescent="0.25">
      <c r="B899" s="22" t="s">
        <v>921</v>
      </c>
      <c r="C899" s="4" t="s">
        <v>17</v>
      </c>
      <c r="D899" s="4">
        <v>112</v>
      </c>
      <c r="E899" s="5" t="s">
        <v>11</v>
      </c>
      <c r="F899" s="9">
        <v>45234</v>
      </c>
      <c r="G899" s="4">
        <v>200</v>
      </c>
      <c r="H899" s="23">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Row],[Duration]]&lt;=30,"10 TO 30 MINS",
     CALLS[[#This Row],[Duration]]&lt;=120,"1 TO 2 HOURS",
     TRUE,"&gt; 2 HOURS")</f>
        <v>1 TO 2 HOURS</v>
      </c>
      <c r="L899">
        <f>ROUND(CALLS[[#This Row],[Satisfaction Rating]],0)</f>
        <v>5</v>
      </c>
      <c r="M899" cm="1">
        <f t="array" ref="M899">_xlfn.IFS(CALLS[[#This Row],[DURATION BACKET]]="UNDER 10 MINS",1,
     CALLS[[#This Row],[DURATION BACKET]]="10 TO 30 MINS",2,
     CALLS[[#This Row],[DURATION BACKET]]="1 TO 2 HOURS",3,
     CALLS[[#This Row],[DURATION BACKET]]="&gt; 2 HOURS",4)</f>
        <v>3</v>
      </c>
      <c r="N899">
        <f>(CALLS[[#This Row],[Purchase Amount]]/ 1)</f>
        <v>200</v>
      </c>
    </row>
    <row r="900" spans="2:14" x14ac:dyDescent="0.25">
      <c r="B900" s="22" t="s">
        <v>922</v>
      </c>
      <c r="C900" s="4" t="s">
        <v>15</v>
      </c>
      <c r="D900" s="4">
        <v>52</v>
      </c>
      <c r="E900" s="5" t="s">
        <v>9</v>
      </c>
      <c r="F900" s="9">
        <v>45236</v>
      </c>
      <c r="G900" s="4">
        <v>220</v>
      </c>
      <c r="H900" s="23">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Row],[Duration]]&lt;=30,"10 TO 30 MINS",
     CALLS[[#This Row],[Duration]]&lt;=120,"1 TO 2 HOURS",
     TRUE,"&gt; 2 HOURS")</f>
        <v>1 TO 2 HOURS</v>
      </c>
      <c r="L900">
        <f>ROUND(CALLS[[#This Row],[Satisfaction Rating]],0)</f>
        <v>5</v>
      </c>
      <c r="M900" cm="1">
        <f t="array" ref="M900">_xlfn.IFS(CALLS[[#This Row],[DURATION BACKET]]="UNDER 10 MINS",1,
     CALLS[[#This Row],[DURATION BACKET]]="10 TO 30 MINS",2,
     CALLS[[#This Row],[DURATION BACKET]]="1 TO 2 HOURS",3,
     CALLS[[#This Row],[DURATION BACKET]]="&gt; 2 HOURS",4)</f>
        <v>3</v>
      </c>
      <c r="N900">
        <f>(CALLS[[#This Row],[Purchase Amount]]/ 1)</f>
        <v>220</v>
      </c>
    </row>
    <row r="901" spans="2:14" x14ac:dyDescent="0.25">
      <c r="B901" s="22" t="s">
        <v>923</v>
      </c>
      <c r="C901" s="4" t="s">
        <v>21</v>
      </c>
      <c r="D901" s="4">
        <v>105</v>
      </c>
      <c r="E901" s="5" t="s">
        <v>13</v>
      </c>
      <c r="F901" s="9">
        <v>45237</v>
      </c>
      <c r="G901" s="4">
        <v>112</v>
      </c>
      <c r="H901" s="23">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Row],[Duration]]&lt;=30,"10 TO 30 MINS",
     CALLS[[#This Row],[Duration]]&lt;=120,"1 TO 2 HOURS",
     TRUE,"&gt; 2 HOURS")</f>
        <v>1 TO 2 HOURS</v>
      </c>
      <c r="L901">
        <f>ROUND(CALLS[[#This Row],[Satisfaction Rating]],0)</f>
        <v>3</v>
      </c>
      <c r="M901" cm="1">
        <f t="array" ref="M901">_xlfn.IFS(CALLS[[#This Row],[DURATION BACKET]]="UNDER 10 MINS",1,
     CALLS[[#This Row],[DURATION BACKET]]="10 TO 30 MINS",2,
     CALLS[[#This Row],[DURATION BACKET]]="1 TO 2 HOURS",3,
     CALLS[[#This Row],[DURATION BACKET]]="&gt; 2 HOURS",4)</f>
        <v>3</v>
      </c>
      <c r="N901">
        <f>(CALLS[[#This Row],[Purchase Amount]]/ 1)</f>
        <v>112</v>
      </c>
    </row>
    <row r="902" spans="2:14" x14ac:dyDescent="0.25">
      <c r="B902" s="22" t="s">
        <v>924</v>
      </c>
      <c r="C902" s="4" t="s">
        <v>23</v>
      </c>
      <c r="D902" s="4">
        <v>91</v>
      </c>
      <c r="E902" s="5" t="s">
        <v>6</v>
      </c>
      <c r="F902" s="9">
        <v>45237</v>
      </c>
      <c r="G902" s="4">
        <v>110</v>
      </c>
      <c r="H902" s="23">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Row],[Duration]]&lt;=30,"10 TO 30 MINS",
     CALLS[[#This Row],[Duration]]&lt;=120,"1 TO 2 HOURS",
     TRUE,"&gt; 2 HOURS")</f>
        <v>1 TO 2 HOURS</v>
      </c>
      <c r="L902">
        <f>ROUND(CALLS[[#This Row],[Satisfaction Rating]],0)</f>
        <v>4</v>
      </c>
      <c r="M902" cm="1">
        <f t="array" ref="M902">_xlfn.IFS(CALLS[[#This Row],[DURATION BACKET]]="UNDER 10 MINS",1,
     CALLS[[#This Row],[DURATION BACKET]]="10 TO 30 MINS",2,
     CALLS[[#This Row],[DURATION BACKET]]="1 TO 2 HOURS",3,
     CALLS[[#This Row],[DURATION BACKET]]="&gt; 2 HOURS",4)</f>
        <v>3</v>
      </c>
      <c r="N902">
        <f>(CALLS[[#This Row],[Purchase Amount]]/ 1)</f>
        <v>110</v>
      </c>
    </row>
    <row r="903" spans="2:14" x14ac:dyDescent="0.25">
      <c r="B903" s="22" t="s">
        <v>925</v>
      </c>
      <c r="C903" s="4" t="s">
        <v>19</v>
      </c>
      <c r="D903" s="4">
        <v>74</v>
      </c>
      <c r="E903" s="5" t="s">
        <v>10</v>
      </c>
      <c r="F903" s="9">
        <v>45238</v>
      </c>
      <c r="G903" s="4">
        <v>160</v>
      </c>
      <c r="H903" s="2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Row],[Duration]]&lt;=30,"10 TO 30 MINS",
     CALLS[[#This Row],[Duration]]&lt;=120,"1 TO 2 HOURS",
     TRUE,"&gt; 2 HOURS")</f>
        <v>1 TO 2 HOURS</v>
      </c>
      <c r="L903">
        <f>ROUND(CALLS[[#This Row],[Satisfaction Rating]],0)</f>
        <v>3</v>
      </c>
      <c r="M903" cm="1">
        <f t="array" ref="M903">_xlfn.IFS(CALLS[[#This Row],[DURATION BACKET]]="UNDER 10 MINS",1,
     CALLS[[#This Row],[DURATION BACKET]]="10 TO 30 MINS",2,
     CALLS[[#This Row],[DURATION BACKET]]="1 TO 2 HOURS",3,
     CALLS[[#This Row],[DURATION BACKET]]="&gt; 2 HOURS",4)</f>
        <v>3</v>
      </c>
      <c r="N903">
        <f>(CALLS[[#This Row],[Purchase Amount]]/ 1)</f>
        <v>160</v>
      </c>
    </row>
    <row r="904" spans="2:14" x14ac:dyDescent="0.25">
      <c r="B904" s="22" t="s">
        <v>926</v>
      </c>
      <c r="C904" s="4" t="s">
        <v>19</v>
      </c>
      <c r="D904" s="4">
        <v>30</v>
      </c>
      <c r="E904" s="5" t="s">
        <v>6</v>
      </c>
      <c r="F904" s="9">
        <v>45238</v>
      </c>
      <c r="G904" s="4">
        <v>84</v>
      </c>
      <c r="H904" s="23">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Row],[Duration]]&lt;=30,"10 TO 30 MINS",
     CALLS[[#This Row],[Duration]]&lt;=120,"1 TO 2 HOURS",
     TRUE,"&gt; 2 HOURS")</f>
        <v>10 TO 30 MINS</v>
      </c>
      <c r="L904">
        <f>ROUND(CALLS[[#This Row],[Satisfaction Rating]],0)</f>
        <v>4</v>
      </c>
      <c r="M904" cm="1">
        <f t="array" ref="M904">_xlfn.IFS(CALLS[[#This Row],[DURATION BACKET]]="UNDER 10 MINS",1,
     CALLS[[#This Row],[DURATION BACKET]]="10 TO 30 MINS",2,
     CALLS[[#This Row],[DURATION BACKET]]="1 TO 2 HOURS",3,
     CALLS[[#This Row],[DURATION BACKET]]="&gt; 2 HOURS",4)</f>
        <v>2</v>
      </c>
      <c r="N904">
        <f>(CALLS[[#This Row],[Purchase Amount]]/ 1)</f>
        <v>84</v>
      </c>
    </row>
    <row r="905" spans="2:14" x14ac:dyDescent="0.25">
      <c r="B905" s="22" t="s">
        <v>927</v>
      </c>
      <c r="C905" s="4" t="s">
        <v>23</v>
      </c>
      <c r="D905" s="4">
        <v>56</v>
      </c>
      <c r="E905" s="5" t="s">
        <v>9</v>
      </c>
      <c r="F905" s="9">
        <v>45238</v>
      </c>
      <c r="G905" s="4">
        <v>124</v>
      </c>
      <c r="H905" s="23">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Row],[Duration]]&lt;=30,"10 TO 30 MINS",
     CALLS[[#This Row],[Duration]]&lt;=120,"1 TO 2 HOURS",
     TRUE,"&gt; 2 HOURS")</f>
        <v>1 TO 2 HOURS</v>
      </c>
      <c r="L905">
        <f>ROUND(CALLS[[#This Row],[Satisfaction Rating]],0)</f>
        <v>3</v>
      </c>
      <c r="M905" cm="1">
        <f t="array" ref="M905">_xlfn.IFS(CALLS[[#This Row],[DURATION BACKET]]="UNDER 10 MINS",1,
     CALLS[[#This Row],[DURATION BACKET]]="10 TO 30 MINS",2,
     CALLS[[#This Row],[DURATION BACKET]]="1 TO 2 HOURS",3,
     CALLS[[#This Row],[DURATION BACKET]]="&gt; 2 HOURS",4)</f>
        <v>3</v>
      </c>
      <c r="N905">
        <f>(CALLS[[#This Row],[Purchase Amount]]/ 1)</f>
        <v>124</v>
      </c>
    </row>
    <row r="906" spans="2:14" x14ac:dyDescent="0.25">
      <c r="B906" s="22" t="s">
        <v>928</v>
      </c>
      <c r="C906" s="4" t="s">
        <v>19</v>
      </c>
      <c r="D906" s="4">
        <v>151</v>
      </c>
      <c r="E906" s="5" t="s">
        <v>11</v>
      </c>
      <c r="F906" s="9">
        <v>45238</v>
      </c>
      <c r="G906" s="4">
        <v>84</v>
      </c>
      <c r="H906" s="23">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Row],[Duration]]&lt;=30,"10 TO 30 MINS",
     CALLS[[#This Row],[Duration]]&lt;=120,"1 TO 2 HOURS",
     TRUE,"&gt; 2 HOURS")</f>
        <v>&gt; 2 HOURS</v>
      </c>
      <c r="L906">
        <f>ROUND(CALLS[[#This Row],[Satisfaction Rating]],0)</f>
        <v>5</v>
      </c>
      <c r="M906" cm="1">
        <f t="array" ref="M906">_xlfn.IFS(CALLS[[#This Row],[DURATION BACKET]]="UNDER 10 MINS",1,
     CALLS[[#This Row],[DURATION BACKET]]="10 TO 30 MINS",2,
     CALLS[[#This Row],[DURATION BACKET]]="1 TO 2 HOURS",3,
     CALLS[[#This Row],[DURATION BACKET]]="&gt; 2 HOURS",4)</f>
        <v>4</v>
      </c>
      <c r="N906">
        <f>(CALLS[[#This Row],[Purchase Amount]]/ 1)</f>
        <v>84</v>
      </c>
    </row>
    <row r="907" spans="2:14" x14ac:dyDescent="0.25">
      <c r="B907" s="22" t="s">
        <v>929</v>
      </c>
      <c r="C907" s="4" t="s">
        <v>12</v>
      </c>
      <c r="D907" s="4">
        <v>108</v>
      </c>
      <c r="E907" s="5" t="s">
        <v>13</v>
      </c>
      <c r="F907" s="9">
        <v>45239</v>
      </c>
      <c r="G907" s="4">
        <v>130</v>
      </c>
      <c r="H907" s="23">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Row],[Duration]]&lt;=30,"10 TO 30 MINS",
     CALLS[[#This Row],[Duration]]&lt;=120,"1 TO 2 HOURS",
     TRUE,"&gt; 2 HOURS")</f>
        <v>1 TO 2 HOURS</v>
      </c>
      <c r="L907">
        <f>ROUND(CALLS[[#This Row],[Satisfaction Rating]],0)</f>
        <v>3</v>
      </c>
      <c r="M907" cm="1">
        <f t="array" ref="M907">_xlfn.IFS(CALLS[[#This Row],[DURATION BACKET]]="UNDER 10 MINS",1,
     CALLS[[#This Row],[DURATION BACKET]]="10 TO 30 MINS",2,
     CALLS[[#This Row],[DURATION BACKET]]="1 TO 2 HOURS",3,
     CALLS[[#This Row],[DURATION BACKET]]="&gt; 2 HOURS",4)</f>
        <v>3</v>
      </c>
      <c r="N907">
        <f>(CALLS[[#This Row],[Purchase Amount]]/ 1)</f>
        <v>130</v>
      </c>
    </row>
    <row r="908" spans="2:14" x14ac:dyDescent="0.25">
      <c r="B908" s="22" t="s">
        <v>930</v>
      </c>
      <c r="C908" s="4" t="s">
        <v>16</v>
      </c>
      <c r="D908" s="4">
        <v>124</v>
      </c>
      <c r="E908" s="5" t="s">
        <v>10</v>
      </c>
      <c r="F908" s="9">
        <v>45239</v>
      </c>
      <c r="G908" s="4">
        <v>215</v>
      </c>
      <c r="H908" s="23">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Row],[Duration]]&lt;=30,"10 TO 30 MINS",
     CALLS[[#This Row],[Duration]]&lt;=120,"1 TO 2 HOURS",
     TRUE,"&gt; 2 HOURS")</f>
        <v>&gt; 2 HOURS</v>
      </c>
      <c r="L908">
        <f>ROUND(CALLS[[#This Row],[Satisfaction Rating]],0)</f>
        <v>4</v>
      </c>
      <c r="M908" cm="1">
        <f t="array" ref="M908">_xlfn.IFS(CALLS[[#This Row],[DURATION BACKET]]="UNDER 10 MINS",1,
     CALLS[[#This Row],[DURATION BACKET]]="10 TO 30 MINS",2,
     CALLS[[#This Row],[DURATION BACKET]]="1 TO 2 HOURS",3,
     CALLS[[#This Row],[DURATION BACKET]]="&gt; 2 HOURS",4)</f>
        <v>4</v>
      </c>
      <c r="N908">
        <f>(CALLS[[#This Row],[Purchase Amount]]/ 1)</f>
        <v>215</v>
      </c>
    </row>
    <row r="909" spans="2:14" x14ac:dyDescent="0.25">
      <c r="B909" s="22" t="s">
        <v>931</v>
      </c>
      <c r="C909" s="4" t="s">
        <v>21</v>
      </c>
      <c r="D909" s="4">
        <v>110</v>
      </c>
      <c r="E909" s="5" t="s">
        <v>9</v>
      </c>
      <c r="F909" s="9">
        <v>45240</v>
      </c>
      <c r="G909" s="4">
        <v>132</v>
      </c>
      <c r="H909" s="23">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Row],[Duration]]&lt;=30,"10 TO 30 MINS",
     CALLS[[#This Row],[Duration]]&lt;=120,"1 TO 2 HOURS",
     TRUE,"&gt; 2 HOURS")</f>
        <v>1 TO 2 HOURS</v>
      </c>
      <c r="L909">
        <f>ROUND(CALLS[[#This Row],[Satisfaction Rating]],0)</f>
        <v>4</v>
      </c>
      <c r="M909" cm="1">
        <f t="array" ref="M909">_xlfn.IFS(CALLS[[#This Row],[DURATION BACKET]]="UNDER 10 MINS",1,
     CALLS[[#This Row],[DURATION BACKET]]="10 TO 30 MINS",2,
     CALLS[[#This Row],[DURATION BACKET]]="1 TO 2 HOURS",3,
     CALLS[[#This Row],[DURATION BACKET]]="&gt; 2 HOURS",4)</f>
        <v>3</v>
      </c>
      <c r="N909">
        <f>(CALLS[[#This Row],[Purchase Amount]]/ 1)</f>
        <v>132</v>
      </c>
    </row>
    <row r="910" spans="2:14" x14ac:dyDescent="0.25">
      <c r="B910" s="22" t="s">
        <v>932</v>
      </c>
      <c r="C910" s="4" t="s">
        <v>18</v>
      </c>
      <c r="D910" s="4">
        <v>89</v>
      </c>
      <c r="E910" s="5" t="s">
        <v>13</v>
      </c>
      <c r="F910" s="9">
        <v>45240</v>
      </c>
      <c r="G910" s="4">
        <v>88</v>
      </c>
      <c r="H910" s="23">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Row],[Duration]]&lt;=30,"10 TO 30 MINS",
     CALLS[[#This Row],[Duration]]&lt;=120,"1 TO 2 HOURS",
     TRUE,"&gt; 2 HOURS")</f>
        <v>1 TO 2 HOURS</v>
      </c>
      <c r="L910">
        <f>ROUND(CALLS[[#This Row],[Satisfaction Rating]],0)</f>
        <v>5</v>
      </c>
      <c r="M910" cm="1">
        <f t="array" ref="M910">_xlfn.IFS(CALLS[[#This Row],[DURATION BACKET]]="UNDER 10 MINS",1,
     CALLS[[#This Row],[DURATION BACKET]]="10 TO 30 MINS",2,
     CALLS[[#This Row],[DURATION BACKET]]="1 TO 2 HOURS",3,
     CALLS[[#This Row],[DURATION BACKET]]="&gt; 2 HOURS",4)</f>
        <v>3</v>
      </c>
      <c r="N910">
        <f>(CALLS[[#This Row],[Purchase Amount]]/ 1)</f>
        <v>88</v>
      </c>
    </row>
    <row r="911" spans="2:14" x14ac:dyDescent="0.25">
      <c r="B911" s="22" t="s">
        <v>933</v>
      </c>
      <c r="C911" s="4" t="s">
        <v>20</v>
      </c>
      <c r="D911" s="4">
        <v>95</v>
      </c>
      <c r="E911" s="5" t="s">
        <v>9</v>
      </c>
      <c r="F911" s="9">
        <v>45240</v>
      </c>
      <c r="G911" s="4">
        <v>140</v>
      </c>
      <c r="H911" s="23">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Row],[Duration]]&lt;=30,"10 TO 30 MINS",
     CALLS[[#This Row],[Duration]]&lt;=120,"1 TO 2 HOURS",
     TRUE,"&gt; 2 HOURS")</f>
        <v>1 TO 2 HOURS</v>
      </c>
      <c r="L911">
        <f>ROUND(CALLS[[#This Row],[Satisfaction Rating]],0)</f>
        <v>4</v>
      </c>
      <c r="M911" cm="1">
        <f t="array" ref="M911">_xlfn.IFS(CALLS[[#This Row],[DURATION BACKET]]="UNDER 10 MINS",1,
     CALLS[[#This Row],[DURATION BACKET]]="10 TO 30 MINS",2,
     CALLS[[#This Row],[DURATION BACKET]]="1 TO 2 HOURS",3,
     CALLS[[#This Row],[DURATION BACKET]]="&gt; 2 HOURS",4)</f>
        <v>3</v>
      </c>
      <c r="N911">
        <f>(CALLS[[#This Row],[Purchase Amount]]/ 1)</f>
        <v>140</v>
      </c>
    </row>
    <row r="912" spans="2:14" x14ac:dyDescent="0.25">
      <c r="B912" s="22" t="s">
        <v>934</v>
      </c>
      <c r="C912" s="4" t="s">
        <v>19</v>
      </c>
      <c r="D912" s="4">
        <v>84</v>
      </c>
      <c r="E912" s="5" t="s">
        <v>13</v>
      </c>
      <c r="F912" s="9">
        <v>45241</v>
      </c>
      <c r="G912" s="4">
        <v>66</v>
      </c>
      <c r="H912" s="23">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Row],[Duration]]&lt;=30,"10 TO 30 MINS",
     CALLS[[#This Row],[Duration]]&lt;=120,"1 TO 2 HOURS",
     TRUE,"&gt; 2 HOURS")</f>
        <v>1 TO 2 HOURS</v>
      </c>
      <c r="L912">
        <f>ROUND(CALLS[[#This Row],[Satisfaction Rating]],0)</f>
        <v>5</v>
      </c>
      <c r="M912" cm="1">
        <f t="array" ref="M912">_xlfn.IFS(CALLS[[#This Row],[DURATION BACKET]]="UNDER 10 MINS",1,
     CALLS[[#This Row],[DURATION BACKET]]="10 TO 30 MINS",2,
     CALLS[[#This Row],[DURATION BACKET]]="1 TO 2 HOURS",3,
     CALLS[[#This Row],[DURATION BACKET]]="&gt; 2 HOURS",4)</f>
        <v>3</v>
      </c>
      <c r="N912">
        <f>(CALLS[[#This Row],[Purchase Amount]]/ 1)</f>
        <v>66</v>
      </c>
    </row>
    <row r="913" spans="2:14" x14ac:dyDescent="0.25">
      <c r="B913" s="22" t="s">
        <v>935</v>
      </c>
      <c r="C913" s="4" t="s">
        <v>24</v>
      </c>
      <c r="D913" s="4">
        <v>89</v>
      </c>
      <c r="E913" s="5" t="s">
        <v>10</v>
      </c>
      <c r="F913" s="9">
        <v>45241</v>
      </c>
      <c r="G913" s="4">
        <v>23</v>
      </c>
      <c r="H913" s="2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Row],[Duration]]&lt;=30,"10 TO 30 MINS",
     CALLS[[#This Row],[Duration]]&lt;=120,"1 TO 2 HOURS",
     TRUE,"&gt; 2 HOURS")</f>
        <v>1 TO 2 HOURS</v>
      </c>
      <c r="L913">
        <f>ROUND(CALLS[[#This Row],[Satisfaction Rating]],0)</f>
        <v>5</v>
      </c>
      <c r="M913" cm="1">
        <f t="array" ref="M913">_xlfn.IFS(CALLS[[#This Row],[DURATION BACKET]]="UNDER 10 MINS",1,
     CALLS[[#This Row],[DURATION BACKET]]="10 TO 30 MINS",2,
     CALLS[[#This Row],[DURATION BACKET]]="1 TO 2 HOURS",3,
     CALLS[[#This Row],[DURATION BACKET]]="&gt; 2 HOURS",4)</f>
        <v>3</v>
      </c>
      <c r="N913">
        <f>(CALLS[[#This Row],[Purchase Amount]]/ 1)</f>
        <v>23</v>
      </c>
    </row>
    <row r="914" spans="2:14" x14ac:dyDescent="0.25">
      <c r="B914" s="22" t="s">
        <v>936</v>
      </c>
      <c r="C914" s="4" t="s">
        <v>18</v>
      </c>
      <c r="D914" s="4">
        <v>146</v>
      </c>
      <c r="E914" s="5" t="s">
        <v>10</v>
      </c>
      <c r="F914" s="9">
        <v>45242</v>
      </c>
      <c r="G914" s="4">
        <v>220</v>
      </c>
      <c r="H914" s="23">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Row],[Duration]]&lt;=30,"10 TO 30 MINS",
     CALLS[[#This Row],[Duration]]&lt;=120,"1 TO 2 HOURS",
     TRUE,"&gt; 2 HOURS")</f>
        <v>&gt; 2 HOURS</v>
      </c>
      <c r="L914">
        <f>ROUND(CALLS[[#This Row],[Satisfaction Rating]],0)</f>
        <v>5</v>
      </c>
      <c r="M914" cm="1">
        <f t="array" ref="M914">_xlfn.IFS(CALLS[[#This Row],[DURATION BACKET]]="UNDER 10 MINS",1,
     CALLS[[#This Row],[DURATION BACKET]]="10 TO 30 MINS",2,
     CALLS[[#This Row],[DURATION BACKET]]="1 TO 2 HOURS",3,
     CALLS[[#This Row],[DURATION BACKET]]="&gt; 2 HOURS",4)</f>
        <v>4</v>
      </c>
      <c r="N914">
        <f>(CALLS[[#This Row],[Purchase Amount]]/ 1)</f>
        <v>220</v>
      </c>
    </row>
    <row r="915" spans="2:14" x14ac:dyDescent="0.25">
      <c r="B915" s="22" t="s">
        <v>937</v>
      </c>
      <c r="C915" s="4" t="s">
        <v>14</v>
      </c>
      <c r="D915" s="4">
        <v>62</v>
      </c>
      <c r="E915" s="5" t="s">
        <v>6</v>
      </c>
      <c r="F915" s="9">
        <v>45243</v>
      </c>
      <c r="G915" s="4">
        <v>175</v>
      </c>
      <c r="H915" s="23">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Row],[Duration]]&lt;=30,"10 TO 30 MINS",
     CALLS[[#This Row],[Duration]]&lt;=120,"1 TO 2 HOURS",
     TRUE,"&gt; 2 HOURS")</f>
        <v>1 TO 2 HOURS</v>
      </c>
      <c r="L915">
        <f>ROUND(CALLS[[#This Row],[Satisfaction Rating]],0)</f>
        <v>4</v>
      </c>
      <c r="M915" cm="1">
        <f t="array" ref="M915">_xlfn.IFS(CALLS[[#This Row],[DURATION BACKET]]="UNDER 10 MINS",1,
     CALLS[[#This Row],[DURATION BACKET]]="10 TO 30 MINS",2,
     CALLS[[#This Row],[DURATION BACKET]]="1 TO 2 HOURS",3,
     CALLS[[#This Row],[DURATION BACKET]]="&gt; 2 HOURS",4)</f>
        <v>3</v>
      </c>
      <c r="N915">
        <f>(CALLS[[#This Row],[Purchase Amount]]/ 1)</f>
        <v>175</v>
      </c>
    </row>
    <row r="916" spans="2:14" x14ac:dyDescent="0.25">
      <c r="B916" s="22" t="s">
        <v>938</v>
      </c>
      <c r="C916" s="4" t="s">
        <v>17</v>
      </c>
      <c r="D916" s="4">
        <v>82</v>
      </c>
      <c r="E916" s="5" t="s">
        <v>10</v>
      </c>
      <c r="F916" s="9">
        <v>45243</v>
      </c>
      <c r="G916" s="4">
        <v>172</v>
      </c>
      <c r="H916" s="23">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Row],[Duration]]&lt;=30,"10 TO 30 MINS",
     CALLS[[#This Row],[Duration]]&lt;=120,"1 TO 2 HOURS",
     TRUE,"&gt; 2 HOURS")</f>
        <v>1 TO 2 HOURS</v>
      </c>
      <c r="L916">
        <f>ROUND(CALLS[[#This Row],[Satisfaction Rating]],0)</f>
        <v>4</v>
      </c>
      <c r="M916" cm="1">
        <f t="array" ref="M916">_xlfn.IFS(CALLS[[#This Row],[DURATION BACKET]]="UNDER 10 MINS",1,
     CALLS[[#This Row],[DURATION BACKET]]="10 TO 30 MINS",2,
     CALLS[[#This Row],[DURATION BACKET]]="1 TO 2 HOURS",3,
     CALLS[[#This Row],[DURATION BACKET]]="&gt; 2 HOURS",4)</f>
        <v>3</v>
      </c>
      <c r="N916">
        <f>(CALLS[[#This Row],[Purchase Amount]]/ 1)</f>
        <v>172</v>
      </c>
    </row>
    <row r="917" spans="2:14" x14ac:dyDescent="0.25">
      <c r="B917" s="22" t="s">
        <v>939</v>
      </c>
      <c r="C917" s="4" t="s">
        <v>22</v>
      </c>
      <c r="D917" s="4">
        <v>91</v>
      </c>
      <c r="E917" s="5" t="s">
        <v>11</v>
      </c>
      <c r="F917" s="9">
        <v>45243</v>
      </c>
      <c r="G917" s="4">
        <v>108</v>
      </c>
      <c r="H917" s="23">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Row],[Duration]]&lt;=30,"10 TO 30 MINS",
     CALLS[[#This Row],[Duration]]&lt;=120,"1 TO 2 HOURS",
     TRUE,"&gt; 2 HOURS")</f>
        <v>1 TO 2 HOURS</v>
      </c>
      <c r="L917">
        <f>ROUND(CALLS[[#This Row],[Satisfaction Rating]],0)</f>
        <v>4</v>
      </c>
      <c r="M917" cm="1">
        <f t="array" ref="M917">_xlfn.IFS(CALLS[[#This Row],[DURATION BACKET]]="UNDER 10 MINS",1,
     CALLS[[#This Row],[DURATION BACKET]]="10 TO 30 MINS",2,
     CALLS[[#This Row],[DURATION BACKET]]="1 TO 2 HOURS",3,
     CALLS[[#This Row],[DURATION BACKET]]="&gt; 2 HOURS",4)</f>
        <v>3</v>
      </c>
      <c r="N917">
        <f>(CALLS[[#This Row],[Purchase Amount]]/ 1)</f>
        <v>108</v>
      </c>
    </row>
    <row r="918" spans="2:14" x14ac:dyDescent="0.25">
      <c r="B918" s="22" t="s">
        <v>940</v>
      </c>
      <c r="C918" s="4" t="s">
        <v>24</v>
      </c>
      <c r="D918" s="4">
        <v>39</v>
      </c>
      <c r="E918" s="5" t="s">
        <v>10</v>
      </c>
      <c r="F918" s="9">
        <v>45244</v>
      </c>
      <c r="G918" s="4">
        <v>43</v>
      </c>
      <c r="H918" s="23">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Row],[Duration]]&lt;=30,"10 TO 30 MINS",
     CALLS[[#This Row],[Duration]]&lt;=120,"1 TO 2 HOURS",
     TRUE,"&gt; 2 HOURS")</f>
        <v>1 TO 2 HOURS</v>
      </c>
      <c r="L918">
        <f>ROUND(CALLS[[#This Row],[Satisfaction Rating]],0)</f>
        <v>4</v>
      </c>
      <c r="M918" cm="1">
        <f t="array" ref="M918">_xlfn.IFS(CALLS[[#This Row],[DURATION BACKET]]="UNDER 10 MINS",1,
     CALLS[[#This Row],[DURATION BACKET]]="10 TO 30 MINS",2,
     CALLS[[#This Row],[DURATION BACKET]]="1 TO 2 HOURS",3,
     CALLS[[#This Row],[DURATION BACKET]]="&gt; 2 HOURS",4)</f>
        <v>3</v>
      </c>
      <c r="N918">
        <f>(CALLS[[#This Row],[Purchase Amount]]/ 1)</f>
        <v>43</v>
      </c>
    </row>
    <row r="919" spans="2:14" x14ac:dyDescent="0.25">
      <c r="B919" s="22" t="s">
        <v>941</v>
      </c>
      <c r="C919" s="4" t="s">
        <v>18</v>
      </c>
      <c r="D919" s="4">
        <v>149</v>
      </c>
      <c r="E919" s="5" t="s">
        <v>9</v>
      </c>
      <c r="F919" s="9">
        <v>45244</v>
      </c>
      <c r="G919" s="4">
        <v>44</v>
      </c>
      <c r="H919" s="23">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Row],[Duration]]&lt;=30,"10 TO 30 MINS",
     CALLS[[#This Row],[Duration]]&lt;=120,"1 TO 2 HOURS",
     TRUE,"&gt; 2 HOURS")</f>
        <v>&gt; 2 HOURS</v>
      </c>
      <c r="L919">
        <f>ROUND(CALLS[[#This Row],[Satisfaction Rating]],0)</f>
        <v>2</v>
      </c>
      <c r="M919" cm="1">
        <f t="array" ref="M919">_xlfn.IFS(CALLS[[#This Row],[DURATION BACKET]]="UNDER 10 MINS",1,
     CALLS[[#This Row],[DURATION BACKET]]="10 TO 30 MINS",2,
     CALLS[[#This Row],[DURATION BACKET]]="1 TO 2 HOURS",3,
     CALLS[[#This Row],[DURATION BACKET]]="&gt; 2 HOURS",4)</f>
        <v>4</v>
      </c>
      <c r="N919">
        <f>(CALLS[[#This Row],[Purchase Amount]]/ 1)</f>
        <v>44</v>
      </c>
    </row>
    <row r="920" spans="2:14" x14ac:dyDescent="0.25">
      <c r="B920" s="22" t="s">
        <v>942</v>
      </c>
      <c r="C920" s="4" t="s">
        <v>17</v>
      </c>
      <c r="D920" s="4">
        <v>138</v>
      </c>
      <c r="E920" s="5" t="s">
        <v>6</v>
      </c>
      <c r="F920" s="9">
        <v>45244</v>
      </c>
      <c r="G920" s="4">
        <v>105</v>
      </c>
      <c r="H920" s="23">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Row],[Duration]]&lt;=30,"10 TO 30 MINS",
     CALLS[[#This Row],[Duration]]&lt;=120,"1 TO 2 HOURS",
     TRUE,"&gt; 2 HOURS")</f>
        <v>&gt; 2 HOURS</v>
      </c>
      <c r="L920">
        <f>ROUND(CALLS[[#This Row],[Satisfaction Rating]],0)</f>
        <v>4</v>
      </c>
      <c r="M920" cm="1">
        <f t="array" ref="M920">_xlfn.IFS(CALLS[[#This Row],[DURATION BACKET]]="UNDER 10 MINS",1,
     CALLS[[#This Row],[DURATION BACKET]]="10 TO 30 MINS",2,
     CALLS[[#This Row],[DURATION BACKET]]="1 TO 2 HOURS",3,
     CALLS[[#This Row],[DURATION BACKET]]="&gt; 2 HOURS",4)</f>
        <v>4</v>
      </c>
      <c r="N920">
        <f>(CALLS[[#This Row],[Purchase Amount]]/ 1)</f>
        <v>105</v>
      </c>
    </row>
    <row r="921" spans="2:14" x14ac:dyDescent="0.25">
      <c r="B921" s="22" t="s">
        <v>943</v>
      </c>
      <c r="C921" s="4" t="s">
        <v>14</v>
      </c>
      <c r="D921" s="4">
        <v>113</v>
      </c>
      <c r="E921" s="5" t="s">
        <v>9</v>
      </c>
      <c r="F921" s="9">
        <v>45245</v>
      </c>
      <c r="G921" s="4">
        <v>34</v>
      </c>
      <c r="H921" s="23">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Row],[Duration]]&lt;=30,"10 TO 30 MINS",
     CALLS[[#This Row],[Duration]]&lt;=120,"1 TO 2 HOURS",
     TRUE,"&gt; 2 HOURS")</f>
        <v>1 TO 2 HOURS</v>
      </c>
      <c r="L921">
        <f>ROUND(CALLS[[#This Row],[Satisfaction Rating]],0)</f>
        <v>4</v>
      </c>
      <c r="M921" cm="1">
        <f t="array" ref="M921">_xlfn.IFS(CALLS[[#This Row],[DURATION BACKET]]="UNDER 10 MINS",1,
     CALLS[[#This Row],[DURATION BACKET]]="10 TO 30 MINS",2,
     CALLS[[#This Row],[DURATION BACKET]]="1 TO 2 HOURS",3,
     CALLS[[#This Row],[DURATION BACKET]]="&gt; 2 HOURS",4)</f>
        <v>3</v>
      </c>
      <c r="N921">
        <f>(CALLS[[#This Row],[Purchase Amount]]/ 1)</f>
        <v>34</v>
      </c>
    </row>
    <row r="922" spans="2:14" x14ac:dyDescent="0.25">
      <c r="B922" s="22" t="s">
        <v>944</v>
      </c>
      <c r="C922" s="4" t="s">
        <v>8</v>
      </c>
      <c r="D922" s="4">
        <v>88</v>
      </c>
      <c r="E922" s="5" t="s">
        <v>10</v>
      </c>
      <c r="F922" s="9">
        <v>45245</v>
      </c>
      <c r="G922" s="4">
        <v>220</v>
      </c>
      <c r="H922" s="23">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Row],[Duration]]&lt;=30,"10 TO 30 MINS",
     CALLS[[#This Row],[Duration]]&lt;=120,"1 TO 2 HOURS",
     TRUE,"&gt; 2 HOURS")</f>
        <v>1 TO 2 HOURS</v>
      </c>
      <c r="L922">
        <f>ROUND(CALLS[[#This Row],[Satisfaction Rating]],0)</f>
        <v>4</v>
      </c>
      <c r="M922" cm="1">
        <f t="array" ref="M922">_xlfn.IFS(CALLS[[#This Row],[DURATION BACKET]]="UNDER 10 MINS",1,
     CALLS[[#This Row],[DURATION BACKET]]="10 TO 30 MINS",2,
     CALLS[[#This Row],[DURATION BACKET]]="1 TO 2 HOURS",3,
     CALLS[[#This Row],[DURATION BACKET]]="&gt; 2 HOURS",4)</f>
        <v>3</v>
      </c>
      <c r="N922">
        <f>(CALLS[[#This Row],[Purchase Amount]]/ 1)</f>
        <v>220</v>
      </c>
    </row>
    <row r="923" spans="2:14" x14ac:dyDescent="0.25">
      <c r="B923" s="22" t="s">
        <v>945</v>
      </c>
      <c r="C923" s="4" t="s">
        <v>20</v>
      </c>
      <c r="D923" s="4">
        <v>64</v>
      </c>
      <c r="E923" s="5" t="s">
        <v>6</v>
      </c>
      <c r="F923" s="9">
        <v>45245</v>
      </c>
      <c r="G923" s="4">
        <v>225</v>
      </c>
      <c r="H923" s="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Row],[Duration]]&lt;=30,"10 TO 30 MINS",
     CALLS[[#This Row],[Duration]]&lt;=120,"1 TO 2 HOURS",
     TRUE,"&gt; 2 HOURS")</f>
        <v>1 TO 2 HOURS</v>
      </c>
      <c r="L923">
        <f>ROUND(CALLS[[#This Row],[Satisfaction Rating]],0)</f>
        <v>5</v>
      </c>
      <c r="M923" cm="1">
        <f t="array" ref="M923">_xlfn.IFS(CALLS[[#This Row],[DURATION BACKET]]="UNDER 10 MINS",1,
     CALLS[[#This Row],[DURATION BACKET]]="10 TO 30 MINS",2,
     CALLS[[#This Row],[DURATION BACKET]]="1 TO 2 HOURS",3,
     CALLS[[#This Row],[DURATION BACKET]]="&gt; 2 HOURS",4)</f>
        <v>3</v>
      </c>
      <c r="N923">
        <f>(CALLS[[#This Row],[Purchase Amount]]/ 1)</f>
        <v>225</v>
      </c>
    </row>
    <row r="924" spans="2:14" x14ac:dyDescent="0.25">
      <c r="B924" s="22" t="s">
        <v>946</v>
      </c>
      <c r="C924" s="4" t="s">
        <v>23</v>
      </c>
      <c r="D924" s="4">
        <v>53</v>
      </c>
      <c r="E924" s="5" t="s">
        <v>6</v>
      </c>
      <c r="F924" s="9">
        <v>45246</v>
      </c>
      <c r="G924" s="4">
        <v>37</v>
      </c>
      <c r="H924" s="23">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Row],[Duration]]&lt;=30,"10 TO 30 MINS",
     CALLS[[#This Row],[Duration]]&lt;=120,"1 TO 2 HOURS",
     TRUE,"&gt; 2 HOURS")</f>
        <v>1 TO 2 HOURS</v>
      </c>
      <c r="L924">
        <f>ROUND(CALLS[[#This Row],[Satisfaction Rating]],0)</f>
        <v>4</v>
      </c>
      <c r="M924" cm="1">
        <f t="array" ref="M924">_xlfn.IFS(CALLS[[#This Row],[DURATION BACKET]]="UNDER 10 MINS",1,
     CALLS[[#This Row],[DURATION BACKET]]="10 TO 30 MINS",2,
     CALLS[[#This Row],[DURATION BACKET]]="1 TO 2 HOURS",3,
     CALLS[[#This Row],[DURATION BACKET]]="&gt; 2 HOURS",4)</f>
        <v>3</v>
      </c>
      <c r="N924">
        <f>(CALLS[[#This Row],[Purchase Amount]]/ 1)</f>
        <v>37</v>
      </c>
    </row>
    <row r="925" spans="2:14" x14ac:dyDescent="0.25">
      <c r="B925" s="22" t="s">
        <v>947</v>
      </c>
      <c r="C925" s="4" t="s">
        <v>16</v>
      </c>
      <c r="D925" s="4">
        <v>63</v>
      </c>
      <c r="E925" s="5" t="s">
        <v>9</v>
      </c>
      <c r="F925" s="9">
        <v>45246</v>
      </c>
      <c r="G925" s="4">
        <v>44</v>
      </c>
      <c r="H925" s="23">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Row],[Duration]]&lt;=30,"10 TO 30 MINS",
     CALLS[[#This Row],[Duration]]&lt;=120,"1 TO 2 HOURS",
     TRUE,"&gt; 2 HOURS")</f>
        <v>1 TO 2 HOURS</v>
      </c>
      <c r="L925">
        <f>ROUND(CALLS[[#This Row],[Satisfaction Rating]],0)</f>
        <v>5</v>
      </c>
      <c r="M925" cm="1">
        <f t="array" ref="M925">_xlfn.IFS(CALLS[[#This Row],[DURATION BACKET]]="UNDER 10 MINS",1,
     CALLS[[#This Row],[DURATION BACKET]]="10 TO 30 MINS",2,
     CALLS[[#This Row],[DURATION BACKET]]="1 TO 2 HOURS",3,
     CALLS[[#This Row],[DURATION BACKET]]="&gt; 2 HOURS",4)</f>
        <v>3</v>
      </c>
      <c r="N925">
        <f>(CALLS[[#This Row],[Purchase Amount]]/ 1)</f>
        <v>44</v>
      </c>
    </row>
    <row r="926" spans="2:14" x14ac:dyDescent="0.25">
      <c r="B926" s="22" t="s">
        <v>948</v>
      </c>
      <c r="C926" s="4" t="s">
        <v>15</v>
      </c>
      <c r="D926" s="4">
        <v>54</v>
      </c>
      <c r="E926" s="5" t="s">
        <v>9</v>
      </c>
      <c r="F926" s="9">
        <v>45247</v>
      </c>
      <c r="G926" s="4">
        <v>35</v>
      </c>
      <c r="H926" s="23">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Row],[Duration]]&lt;=30,"10 TO 30 MINS",
     CALLS[[#This Row],[Duration]]&lt;=120,"1 TO 2 HOURS",
     TRUE,"&gt; 2 HOURS")</f>
        <v>1 TO 2 HOURS</v>
      </c>
      <c r="L926">
        <f>ROUND(CALLS[[#This Row],[Satisfaction Rating]],0)</f>
        <v>3</v>
      </c>
      <c r="M926" cm="1">
        <f t="array" ref="M926">_xlfn.IFS(CALLS[[#This Row],[DURATION BACKET]]="UNDER 10 MINS",1,
     CALLS[[#This Row],[DURATION BACKET]]="10 TO 30 MINS",2,
     CALLS[[#This Row],[DURATION BACKET]]="1 TO 2 HOURS",3,
     CALLS[[#This Row],[DURATION BACKET]]="&gt; 2 HOURS",4)</f>
        <v>3</v>
      </c>
      <c r="N926">
        <f>(CALLS[[#This Row],[Purchase Amount]]/ 1)</f>
        <v>35</v>
      </c>
    </row>
    <row r="927" spans="2:14" x14ac:dyDescent="0.25">
      <c r="B927" s="22" t="s">
        <v>949</v>
      </c>
      <c r="C927" s="4" t="s">
        <v>16</v>
      </c>
      <c r="D927" s="4">
        <v>54</v>
      </c>
      <c r="E927" s="5" t="s">
        <v>10</v>
      </c>
      <c r="F927" s="9">
        <v>45247</v>
      </c>
      <c r="G927" s="4">
        <v>145</v>
      </c>
      <c r="H927" s="23">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Row],[Duration]]&lt;=30,"10 TO 30 MINS",
     CALLS[[#This Row],[Duration]]&lt;=120,"1 TO 2 HOURS",
     TRUE,"&gt; 2 HOURS")</f>
        <v>1 TO 2 HOURS</v>
      </c>
      <c r="L927">
        <f>ROUND(CALLS[[#This Row],[Satisfaction Rating]],0)</f>
        <v>3</v>
      </c>
      <c r="M927" cm="1">
        <f t="array" ref="M927">_xlfn.IFS(CALLS[[#This Row],[DURATION BACKET]]="UNDER 10 MINS",1,
     CALLS[[#This Row],[DURATION BACKET]]="10 TO 30 MINS",2,
     CALLS[[#This Row],[DURATION BACKET]]="1 TO 2 HOURS",3,
     CALLS[[#This Row],[DURATION BACKET]]="&gt; 2 HOURS",4)</f>
        <v>3</v>
      </c>
      <c r="N927">
        <f>(CALLS[[#This Row],[Purchase Amount]]/ 1)</f>
        <v>145</v>
      </c>
    </row>
    <row r="928" spans="2:14" x14ac:dyDescent="0.25">
      <c r="B928" s="22" t="s">
        <v>950</v>
      </c>
      <c r="C928" s="4" t="s">
        <v>18</v>
      </c>
      <c r="D928" s="4">
        <v>71</v>
      </c>
      <c r="E928" s="5" t="s">
        <v>6</v>
      </c>
      <c r="F928" s="9">
        <v>45247</v>
      </c>
      <c r="G928" s="4">
        <v>64</v>
      </c>
      <c r="H928" s="23">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Row],[Duration]]&lt;=30,"10 TO 30 MINS",
     CALLS[[#This Row],[Duration]]&lt;=120,"1 TO 2 HOURS",
     TRUE,"&gt; 2 HOURS")</f>
        <v>1 TO 2 HOURS</v>
      </c>
      <c r="L928">
        <f>ROUND(CALLS[[#This Row],[Satisfaction Rating]],0)</f>
        <v>4</v>
      </c>
      <c r="M928" cm="1">
        <f t="array" ref="M928">_xlfn.IFS(CALLS[[#This Row],[DURATION BACKET]]="UNDER 10 MINS",1,
     CALLS[[#This Row],[DURATION BACKET]]="10 TO 30 MINS",2,
     CALLS[[#This Row],[DURATION BACKET]]="1 TO 2 HOURS",3,
     CALLS[[#This Row],[DURATION BACKET]]="&gt; 2 HOURS",4)</f>
        <v>3</v>
      </c>
      <c r="N928">
        <f>(CALLS[[#This Row],[Purchase Amount]]/ 1)</f>
        <v>64</v>
      </c>
    </row>
    <row r="929" spans="2:14" x14ac:dyDescent="0.25">
      <c r="B929" s="22" t="s">
        <v>951</v>
      </c>
      <c r="C929" s="4" t="s">
        <v>16</v>
      </c>
      <c r="D929" s="4">
        <v>93</v>
      </c>
      <c r="E929" s="5" t="s">
        <v>10</v>
      </c>
      <c r="F929" s="9">
        <v>45248</v>
      </c>
      <c r="G929" s="4">
        <v>185</v>
      </c>
      <c r="H929" s="23">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Row],[Duration]]&lt;=30,"10 TO 30 MINS",
     CALLS[[#This Row],[Duration]]&lt;=120,"1 TO 2 HOURS",
     TRUE,"&gt; 2 HOURS")</f>
        <v>1 TO 2 HOURS</v>
      </c>
      <c r="L929">
        <f>ROUND(CALLS[[#This Row],[Satisfaction Rating]],0)</f>
        <v>4</v>
      </c>
      <c r="M929" cm="1">
        <f t="array" ref="M929">_xlfn.IFS(CALLS[[#This Row],[DURATION BACKET]]="UNDER 10 MINS",1,
     CALLS[[#This Row],[DURATION BACKET]]="10 TO 30 MINS",2,
     CALLS[[#This Row],[DURATION BACKET]]="1 TO 2 HOURS",3,
     CALLS[[#This Row],[DURATION BACKET]]="&gt; 2 HOURS",4)</f>
        <v>3</v>
      </c>
      <c r="N929">
        <f>(CALLS[[#This Row],[Purchase Amount]]/ 1)</f>
        <v>185</v>
      </c>
    </row>
    <row r="930" spans="2:14" x14ac:dyDescent="0.25">
      <c r="B930" s="22" t="s">
        <v>952</v>
      </c>
      <c r="C930" s="4" t="s">
        <v>21</v>
      </c>
      <c r="D930" s="4">
        <v>96</v>
      </c>
      <c r="E930" s="5" t="s">
        <v>9</v>
      </c>
      <c r="F930" s="9">
        <v>45248</v>
      </c>
      <c r="G930" s="4">
        <v>215</v>
      </c>
      <c r="H930" s="23">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Row],[Duration]]&lt;=30,"10 TO 30 MINS",
     CALLS[[#This Row],[Duration]]&lt;=120,"1 TO 2 HOURS",
     TRUE,"&gt; 2 HOURS")</f>
        <v>1 TO 2 HOURS</v>
      </c>
      <c r="L930">
        <f>ROUND(CALLS[[#This Row],[Satisfaction Rating]],0)</f>
        <v>3</v>
      </c>
      <c r="M930" cm="1">
        <f t="array" ref="M930">_xlfn.IFS(CALLS[[#This Row],[DURATION BACKET]]="UNDER 10 MINS",1,
     CALLS[[#This Row],[DURATION BACKET]]="10 TO 30 MINS",2,
     CALLS[[#This Row],[DURATION BACKET]]="1 TO 2 HOURS",3,
     CALLS[[#This Row],[DURATION BACKET]]="&gt; 2 HOURS",4)</f>
        <v>3</v>
      </c>
      <c r="N930">
        <f>(CALLS[[#This Row],[Purchase Amount]]/ 1)</f>
        <v>215</v>
      </c>
    </row>
    <row r="931" spans="2:14" x14ac:dyDescent="0.25">
      <c r="B931" s="22" t="s">
        <v>953</v>
      </c>
      <c r="C931" s="4" t="s">
        <v>24</v>
      </c>
      <c r="D931" s="4">
        <v>31</v>
      </c>
      <c r="E931" s="5" t="s">
        <v>11</v>
      </c>
      <c r="F931" s="9">
        <v>45248</v>
      </c>
      <c r="G931" s="4">
        <v>88</v>
      </c>
      <c r="H931" s="23">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Row],[Duration]]&lt;=30,"10 TO 30 MINS",
     CALLS[[#This Row],[Duration]]&lt;=120,"1 TO 2 HOURS",
     TRUE,"&gt; 2 HOURS")</f>
        <v>1 TO 2 HOURS</v>
      </c>
      <c r="L931">
        <f>ROUND(CALLS[[#This Row],[Satisfaction Rating]],0)</f>
        <v>3</v>
      </c>
      <c r="M931" cm="1">
        <f t="array" ref="M931">_xlfn.IFS(CALLS[[#This Row],[DURATION BACKET]]="UNDER 10 MINS",1,
     CALLS[[#This Row],[DURATION BACKET]]="10 TO 30 MINS",2,
     CALLS[[#This Row],[DURATION BACKET]]="1 TO 2 HOURS",3,
     CALLS[[#This Row],[DURATION BACKET]]="&gt; 2 HOURS",4)</f>
        <v>3</v>
      </c>
      <c r="N931">
        <f>(CALLS[[#This Row],[Purchase Amount]]/ 1)</f>
        <v>88</v>
      </c>
    </row>
    <row r="932" spans="2:14" x14ac:dyDescent="0.25">
      <c r="B932" s="22" t="s">
        <v>954</v>
      </c>
      <c r="C932" s="4" t="s">
        <v>16</v>
      </c>
      <c r="D932" s="4">
        <v>107</v>
      </c>
      <c r="E932" s="5" t="s">
        <v>6</v>
      </c>
      <c r="F932" s="9">
        <v>45248</v>
      </c>
      <c r="G932" s="4">
        <v>23</v>
      </c>
      <c r="H932" s="23">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Row],[Duration]]&lt;=30,"10 TO 30 MINS",
     CALLS[[#This Row],[Duration]]&lt;=120,"1 TO 2 HOURS",
     TRUE,"&gt; 2 HOURS")</f>
        <v>1 TO 2 HOURS</v>
      </c>
      <c r="L932">
        <f>ROUND(CALLS[[#This Row],[Satisfaction Rating]],0)</f>
        <v>3</v>
      </c>
      <c r="M932" cm="1">
        <f t="array" ref="M932">_xlfn.IFS(CALLS[[#This Row],[DURATION BACKET]]="UNDER 10 MINS",1,
     CALLS[[#This Row],[DURATION BACKET]]="10 TO 30 MINS",2,
     CALLS[[#This Row],[DURATION BACKET]]="1 TO 2 HOURS",3,
     CALLS[[#This Row],[DURATION BACKET]]="&gt; 2 HOURS",4)</f>
        <v>3</v>
      </c>
      <c r="N932">
        <f>(CALLS[[#This Row],[Purchase Amount]]/ 1)</f>
        <v>23</v>
      </c>
    </row>
    <row r="933" spans="2:14" x14ac:dyDescent="0.25">
      <c r="B933" s="22" t="s">
        <v>955</v>
      </c>
      <c r="C933" s="4" t="s">
        <v>23</v>
      </c>
      <c r="D933" s="4">
        <v>50</v>
      </c>
      <c r="E933" s="5" t="s">
        <v>11</v>
      </c>
      <c r="F933" s="9">
        <v>45249</v>
      </c>
      <c r="G933" s="4">
        <v>180</v>
      </c>
      <c r="H933" s="2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Row],[Duration]]&lt;=30,"10 TO 30 MINS",
     CALLS[[#This Row],[Duration]]&lt;=120,"1 TO 2 HOURS",
     TRUE,"&gt; 2 HOURS")</f>
        <v>1 TO 2 HOURS</v>
      </c>
      <c r="L933">
        <f>ROUND(CALLS[[#This Row],[Satisfaction Rating]],0)</f>
        <v>2</v>
      </c>
      <c r="M933" cm="1">
        <f t="array" ref="M933">_xlfn.IFS(CALLS[[#This Row],[DURATION BACKET]]="UNDER 10 MINS",1,
     CALLS[[#This Row],[DURATION BACKET]]="10 TO 30 MINS",2,
     CALLS[[#This Row],[DURATION BACKET]]="1 TO 2 HOURS",3,
     CALLS[[#This Row],[DURATION BACKET]]="&gt; 2 HOURS",4)</f>
        <v>3</v>
      </c>
      <c r="N933">
        <f>(CALLS[[#This Row],[Purchase Amount]]/ 1)</f>
        <v>180</v>
      </c>
    </row>
    <row r="934" spans="2:14" x14ac:dyDescent="0.25">
      <c r="B934" s="22" t="s">
        <v>956</v>
      </c>
      <c r="C934" s="4" t="s">
        <v>17</v>
      </c>
      <c r="D934" s="4">
        <v>69</v>
      </c>
      <c r="E934" s="5" t="s">
        <v>6</v>
      </c>
      <c r="F934" s="9">
        <v>45250</v>
      </c>
      <c r="G934" s="4">
        <v>225</v>
      </c>
      <c r="H934" s="23">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Row],[Duration]]&lt;=30,"10 TO 30 MINS",
     CALLS[[#This Row],[Duration]]&lt;=120,"1 TO 2 HOURS",
     TRUE,"&gt; 2 HOURS")</f>
        <v>1 TO 2 HOURS</v>
      </c>
      <c r="L934">
        <f>ROUND(CALLS[[#This Row],[Satisfaction Rating]],0)</f>
        <v>4</v>
      </c>
      <c r="M934" cm="1">
        <f t="array" ref="M934">_xlfn.IFS(CALLS[[#This Row],[DURATION BACKET]]="UNDER 10 MINS",1,
     CALLS[[#This Row],[DURATION BACKET]]="10 TO 30 MINS",2,
     CALLS[[#This Row],[DURATION BACKET]]="1 TO 2 HOURS",3,
     CALLS[[#This Row],[DURATION BACKET]]="&gt; 2 HOURS",4)</f>
        <v>3</v>
      </c>
      <c r="N934">
        <f>(CALLS[[#This Row],[Purchase Amount]]/ 1)</f>
        <v>225</v>
      </c>
    </row>
    <row r="935" spans="2:14" x14ac:dyDescent="0.25">
      <c r="B935" s="22" t="s">
        <v>957</v>
      </c>
      <c r="C935" s="4" t="s">
        <v>8</v>
      </c>
      <c r="D935" s="4">
        <v>26</v>
      </c>
      <c r="E935" s="5" t="s">
        <v>9</v>
      </c>
      <c r="F935" s="9">
        <v>45251</v>
      </c>
      <c r="G935" s="4">
        <v>74</v>
      </c>
      <c r="H935" s="23">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Row],[Duration]]&lt;=30,"10 TO 30 MINS",
     CALLS[[#This Row],[Duration]]&lt;=120,"1 TO 2 HOURS",
     TRUE,"&gt; 2 HOURS")</f>
        <v>10 TO 30 MINS</v>
      </c>
      <c r="L935">
        <f>ROUND(CALLS[[#This Row],[Satisfaction Rating]],0)</f>
        <v>4</v>
      </c>
      <c r="M935" cm="1">
        <f t="array" ref="M935">_xlfn.IFS(CALLS[[#This Row],[DURATION BACKET]]="UNDER 10 MINS",1,
     CALLS[[#This Row],[DURATION BACKET]]="10 TO 30 MINS",2,
     CALLS[[#This Row],[DURATION BACKET]]="1 TO 2 HOURS",3,
     CALLS[[#This Row],[DURATION BACKET]]="&gt; 2 HOURS",4)</f>
        <v>2</v>
      </c>
      <c r="N935">
        <f>(CALLS[[#This Row],[Purchase Amount]]/ 1)</f>
        <v>74</v>
      </c>
    </row>
    <row r="936" spans="2:14" x14ac:dyDescent="0.25">
      <c r="B936" s="22" t="s">
        <v>958</v>
      </c>
      <c r="C936" s="4" t="s">
        <v>21</v>
      </c>
      <c r="D936" s="4">
        <v>158</v>
      </c>
      <c r="E936" s="5" t="s">
        <v>6</v>
      </c>
      <c r="F936" s="9">
        <v>45251</v>
      </c>
      <c r="G936" s="4">
        <v>36</v>
      </c>
      <c r="H936" s="23">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Row],[Duration]]&lt;=30,"10 TO 30 MINS",
     CALLS[[#This Row],[Duration]]&lt;=120,"1 TO 2 HOURS",
     TRUE,"&gt; 2 HOURS")</f>
        <v>&gt; 2 HOURS</v>
      </c>
      <c r="L936">
        <f>ROUND(CALLS[[#This Row],[Satisfaction Rating]],0)</f>
        <v>3</v>
      </c>
      <c r="M936" cm="1">
        <f t="array" ref="M936">_xlfn.IFS(CALLS[[#This Row],[DURATION BACKET]]="UNDER 10 MINS",1,
     CALLS[[#This Row],[DURATION BACKET]]="10 TO 30 MINS",2,
     CALLS[[#This Row],[DURATION BACKET]]="1 TO 2 HOURS",3,
     CALLS[[#This Row],[DURATION BACKET]]="&gt; 2 HOURS",4)</f>
        <v>4</v>
      </c>
      <c r="N936">
        <f>(CALLS[[#This Row],[Purchase Amount]]/ 1)</f>
        <v>36</v>
      </c>
    </row>
    <row r="937" spans="2:14" x14ac:dyDescent="0.25">
      <c r="B937" s="22" t="s">
        <v>959</v>
      </c>
      <c r="C937" s="4" t="s">
        <v>15</v>
      </c>
      <c r="D937" s="4">
        <v>99</v>
      </c>
      <c r="E937" s="5" t="s">
        <v>6</v>
      </c>
      <c r="F937" s="9">
        <v>45253</v>
      </c>
      <c r="G937" s="4">
        <v>116</v>
      </c>
      <c r="H937" s="23">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Row],[Duration]]&lt;=30,"10 TO 30 MINS",
     CALLS[[#This Row],[Duration]]&lt;=120,"1 TO 2 HOURS",
     TRUE,"&gt; 2 HOURS")</f>
        <v>1 TO 2 HOURS</v>
      </c>
      <c r="L937">
        <f>ROUND(CALLS[[#This Row],[Satisfaction Rating]],0)</f>
        <v>4</v>
      </c>
      <c r="M937" cm="1">
        <f t="array" ref="M937">_xlfn.IFS(CALLS[[#This Row],[DURATION BACKET]]="UNDER 10 MINS",1,
     CALLS[[#This Row],[DURATION BACKET]]="10 TO 30 MINS",2,
     CALLS[[#This Row],[DURATION BACKET]]="1 TO 2 HOURS",3,
     CALLS[[#This Row],[DURATION BACKET]]="&gt; 2 HOURS",4)</f>
        <v>3</v>
      </c>
      <c r="N937">
        <f>(CALLS[[#This Row],[Purchase Amount]]/ 1)</f>
        <v>116</v>
      </c>
    </row>
    <row r="938" spans="2:14" x14ac:dyDescent="0.25">
      <c r="B938" s="22" t="s">
        <v>960</v>
      </c>
      <c r="C938" s="4" t="s">
        <v>21</v>
      </c>
      <c r="D938" s="4">
        <v>78</v>
      </c>
      <c r="E938" s="5" t="s">
        <v>11</v>
      </c>
      <c r="F938" s="9">
        <v>45253</v>
      </c>
      <c r="G938" s="4">
        <v>140</v>
      </c>
      <c r="H938" s="23">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Row],[Duration]]&lt;=30,"10 TO 30 MINS",
     CALLS[[#This Row],[Duration]]&lt;=120,"1 TO 2 HOURS",
     TRUE,"&gt; 2 HOURS")</f>
        <v>1 TO 2 HOURS</v>
      </c>
      <c r="L938">
        <f>ROUND(CALLS[[#This Row],[Satisfaction Rating]],0)</f>
        <v>4</v>
      </c>
      <c r="M938" cm="1">
        <f t="array" ref="M938">_xlfn.IFS(CALLS[[#This Row],[DURATION BACKET]]="UNDER 10 MINS",1,
     CALLS[[#This Row],[DURATION BACKET]]="10 TO 30 MINS",2,
     CALLS[[#This Row],[DURATION BACKET]]="1 TO 2 HOURS",3,
     CALLS[[#This Row],[DURATION BACKET]]="&gt; 2 HOURS",4)</f>
        <v>3</v>
      </c>
      <c r="N938">
        <f>(CALLS[[#This Row],[Purchase Amount]]/ 1)</f>
        <v>140</v>
      </c>
    </row>
    <row r="939" spans="2:14" x14ac:dyDescent="0.25">
      <c r="B939" s="22" t="s">
        <v>961</v>
      </c>
      <c r="C939" s="4" t="s">
        <v>21</v>
      </c>
      <c r="D939" s="4">
        <v>102</v>
      </c>
      <c r="E939" s="5" t="s">
        <v>9</v>
      </c>
      <c r="F939" s="9">
        <v>45254</v>
      </c>
      <c r="G939" s="4">
        <v>104</v>
      </c>
      <c r="H939" s="23">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Row],[Duration]]&lt;=30,"10 TO 30 MINS",
     CALLS[[#This Row],[Duration]]&lt;=120,"1 TO 2 HOURS",
     TRUE,"&gt; 2 HOURS")</f>
        <v>1 TO 2 HOURS</v>
      </c>
      <c r="L939">
        <f>ROUND(CALLS[[#This Row],[Satisfaction Rating]],0)</f>
        <v>5</v>
      </c>
      <c r="M939" cm="1">
        <f t="array" ref="M939">_xlfn.IFS(CALLS[[#This Row],[DURATION BACKET]]="UNDER 10 MINS",1,
     CALLS[[#This Row],[DURATION BACKET]]="10 TO 30 MINS",2,
     CALLS[[#This Row],[DURATION BACKET]]="1 TO 2 HOURS",3,
     CALLS[[#This Row],[DURATION BACKET]]="&gt; 2 HOURS",4)</f>
        <v>3</v>
      </c>
      <c r="N939">
        <f>(CALLS[[#This Row],[Purchase Amount]]/ 1)</f>
        <v>104</v>
      </c>
    </row>
    <row r="940" spans="2:14" x14ac:dyDescent="0.25">
      <c r="B940" s="22" t="s">
        <v>962</v>
      </c>
      <c r="C940" s="4" t="s">
        <v>15</v>
      </c>
      <c r="D940" s="4">
        <v>158</v>
      </c>
      <c r="E940" s="5" t="s">
        <v>13</v>
      </c>
      <c r="F940" s="9">
        <v>45254</v>
      </c>
      <c r="G940" s="4">
        <v>148</v>
      </c>
      <c r="H940" s="23">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Row],[Duration]]&lt;=30,"10 TO 30 MINS",
     CALLS[[#This Row],[Duration]]&lt;=120,"1 TO 2 HOURS",
     TRUE,"&gt; 2 HOURS")</f>
        <v>&gt; 2 HOURS</v>
      </c>
      <c r="L940">
        <f>ROUND(CALLS[[#This Row],[Satisfaction Rating]],0)</f>
        <v>4</v>
      </c>
      <c r="M940" cm="1">
        <f t="array" ref="M940">_xlfn.IFS(CALLS[[#This Row],[DURATION BACKET]]="UNDER 10 MINS",1,
     CALLS[[#This Row],[DURATION BACKET]]="10 TO 30 MINS",2,
     CALLS[[#This Row],[DURATION BACKET]]="1 TO 2 HOURS",3,
     CALLS[[#This Row],[DURATION BACKET]]="&gt; 2 HOURS",4)</f>
        <v>4</v>
      </c>
      <c r="N940">
        <f>(CALLS[[#This Row],[Purchase Amount]]/ 1)</f>
        <v>148</v>
      </c>
    </row>
    <row r="941" spans="2:14" x14ac:dyDescent="0.25">
      <c r="B941" s="22" t="s">
        <v>963</v>
      </c>
      <c r="C941" s="4" t="s">
        <v>24</v>
      </c>
      <c r="D941" s="4">
        <v>56</v>
      </c>
      <c r="E941" s="5" t="s">
        <v>6</v>
      </c>
      <c r="F941" s="9">
        <v>45254</v>
      </c>
      <c r="G941" s="4">
        <v>205</v>
      </c>
      <c r="H941" s="23">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Row],[Duration]]&lt;=30,"10 TO 30 MINS",
     CALLS[[#This Row],[Duration]]&lt;=120,"1 TO 2 HOURS",
     TRUE,"&gt; 2 HOURS")</f>
        <v>1 TO 2 HOURS</v>
      </c>
      <c r="L941">
        <f>ROUND(CALLS[[#This Row],[Satisfaction Rating]],0)</f>
        <v>4</v>
      </c>
      <c r="M941" cm="1">
        <f t="array" ref="M941">_xlfn.IFS(CALLS[[#This Row],[DURATION BACKET]]="UNDER 10 MINS",1,
     CALLS[[#This Row],[DURATION BACKET]]="10 TO 30 MINS",2,
     CALLS[[#This Row],[DURATION BACKET]]="1 TO 2 HOURS",3,
     CALLS[[#This Row],[DURATION BACKET]]="&gt; 2 HOURS",4)</f>
        <v>3</v>
      </c>
      <c r="N941">
        <f>(CALLS[[#This Row],[Purchase Amount]]/ 1)</f>
        <v>205</v>
      </c>
    </row>
    <row r="942" spans="2:14" x14ac:dyDescent="0.25">
      <c r="B942" s="22" t="s">
        <v>964</v>
      </c>
      <c r="C942" s="4" t="s">
        <v>12</v>
      </c>
      <c r="D942" s="4">
        <v>17</v>
      </c>
      <c r="E942" s="5" t="s">
        <v>10</v>
      </c>
      <c r="F942" s="9">
        <v>45254</v>
      </c>
      <c r="G942" s="4">
        <v>210</v>
      </c>
      <c r="H942" s="23">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Row],[Duration]]&lt;=30,"10 TO 30 MINS",
     CALLS[[#This Row],[Duration]]&lt;=120,"1 TO 2 HOURS",
     TRUE,"&gt; 2 HOURS")</f>
        <v>10 TO 30 MINS</v>
      </c>
      <c r="L942">
        <f>ROUND(CALLS[[#This Row],[Satisfaction Rating]],0)</f>
        <v>5</v>
      </c>
      <c r="M942" cm="1">
        <f t="array" ref="M942">_xlfn.IFS(CALLS[[#This Row],[DURATION BACKET]]="UNDER 10 MINS",1,
     CALLS[[#This Row],[DURATION BACKET]]="10 TO 30 MINS",2,
     CALLS[[#This Row],[DURATION BACKET]]="1 TO 2 HOURS",3,
     CALLS[[#This Row],[DURATION BACKET]]="&gt; 2 HOURS",4)</f>
        <v>2</v>
      </c>
      <c r="N942">
        <f>(CALLS[[#This Row],[Purchase Amount]]/ 1)</f>
        <v>210</v>
      </c>
    </row>
    <row r="943" spans="2:14" x14ac:dyDescent="0.25">
      <c r="B943" s="22" t="s">
        <v>965</v>
      </c>
      <c r="C943" s="4" t="s">
        <v>8</v>
      </c>
      <c r="D943" s="4">
        <v>104</v>
      </c>
      <c r="E943" s="5" t="s">
        <v>13</v>
      </c>
      <c r="F943" s="9">
        <v>45256</v>
      </c>
      <c r="G943" s="4">
        <v>41</v>
      </c>
      <c r="H943" s="2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Row],[Duration]]&lt;=30,"10 TO 30 MINS",
     CALLS[[#This Row],[Duration]]&lt;=120,"1 TO 2 HOURS",
     TRUE,"&gt; 2 HOURS")</f>
        <v>1 TO 2 HOURS</v>
      </c>
      <c r="L943">
        <f>ROUND(CALLS[[#This Row],[Satisfaction Rating]],0)</f>
        <v>5</v>
      </c>
      <c r="M943" cm="1">
        <f t="array" ref="M943">_xlfn.IFS(CALLS[[#This Row],[DURATION BACKET]]="UNDER 10 MINS",1,
     CALLS[[#This Row],[DURATION BACKET]]="10 TO 30 MINS",2,
     CALLS[[#This Row],[DURATION BACKET]]="1 TO 2 HOURS",3,
     CALLS[[#This Row],[DURATION BACKET]]="&gt; 2 HOURS",4)</f>
        <v>3</v>
      </c>
      <c r="N943">
        <f>(CALLS[[#This Row],[Purchase Amount]]/ 1)</f>
        <v>41</v>
      </c>
    </row>
    <row r="944" spans="2:14" x14ac:dyDescent="0.25">
      <c r="B944" s="22" t="s">
        <v>966</v>
      </c>
      <c r="C944" s="4" t="s">
        <v>19</v>
      </c>
      <c r="D944" s="4">
        <v>96</v>
      </c>
      <c r="E944" s="5" t="s">
        <v>11</v>
      </c>
      <c r="F944" s="9">
        <v>45256</v>
      </c>
      <c r="G944" s="4">
        <v>136</v>
      </c>
      <c r="H944" s="23">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Row],[Duration]]&lt;=30,"10 TO 30 MINS",
     CALLS[[#This Row],[Duration]]&lt;=120,"1 TO 2 HOURS",
     TRUE,"&gt; 2 HOURS")</f>
        <v>1 TO 2 HOURS</v>
      </c>
      <c r="L944">
        <f>ROUND(CALLS[[#This Row],[Satisfaction Rating]],0)</f>
        <v>5</v>
      </c>
      <c r="M944" cm="1">
        <f t="array" ref="M944">_xlfn.IFS(CALLS[[#This Row],[DURATION BACKET]]="UNDER 10 MINS",1,
     CALLS[[#This Row],[DURATION BACKET]]="10 TO 30 MINS",2,
     CALLS[[#This Row],[DURATION BACKET]]="1 TO 2 HOURS",3,
     CALLS[[#This Row],[DURATION BACKET]]="&gt; 2 HOURS",4)</f>
        <v>3</v>
      </c>
      <c r="N944">
        <f>(CALLS[[#This Row],[Purchase Amount]]/ 1)</f>
        <v>136</v>
      </c>
    </row>
    <row r="945" spans="2:14" x14ac:dyDescent="0.25">
      <c r="B945" s="22" t="s">
        <v>967</v>
      </c>
      <c r="C945" s="4" t="s">
        <v>22</v>
      </c>
      <c r="D945" s="4">
        <v>83</v>
      </c>
      <c r="E945" s="5" t="s">
        <v>9</v>
      </c>
      <c r="F945" s="9">
        <v>45257</v>
      </c>
      <c r="G945" s="4">
        <v>126</v>
      </c>
      <c r="H945" s="23">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Row],[Duration]]&lt;=30,"10 TO 30 MINS",
     CALLS[[#This Row],[Duration]]&lt;=120,"1 TO 2 HOURS",
     TRUE,"&gt; 2 HOURS")</f>
        <v>1 TO 2 HOURS</v>
      </c>
      <c r="L945">
        <f>ROUND(CALLS[[#This Row],[Satisfaction Rating]],0)</f>
        <v>2</v>
      </c>
      <c r="M945" cm="1">
        <f t="array" ref="M945">_xlfn.IFS(CALLS[[#This Row],[DURATION BACKET]]="UNDER 10 MINS",1,
     CALLS[[#This Row],[DURATION BACKET]]="10 TO 30 MINS",2,
     CALLS[[#This Row],[DURATION BACKET]]="1 TO 2 HOURS",3,
     CALLS[[#This Row],[DURATION BACKET]]="&gt; 2 HOURS",4)</f>
        <v>3</v>
      </c>
      <c r="N945">
        <f>(CALLS[[#This Row],[Purchase Amount]]/ 1)</f>
        <v>126</v>
      </c>
    </row>
    <row r="946" spans="2:14" x14ac:dyDescent="0.25">
      <c r="B946" s="22" t="s">
        <v>968</v>
      </c>
      <c r="C946" s="4" t="s">
        <v>23</v>
      </c>
      <c r="D946" s="4">
        <v>80</v>
      </c>
      <c r="E946" s="5" t="s">
        <v>10</v>
      </c>
      <c r="F946" s="9">
        <v>45258</v>
      </c>
      <c r="G946" s="4">
        <v>148</v>
      </c>
      <c r="H946" s="23">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Row],[Duration]]&lt;=30,"10 TO 30 MINS",
     CALLS[[#This Row],[Duration]]&lt;=120,"1 TO 2 HOURS",
     TRUE,"&gt; 2 HOURS")</f>
        <v>1 TO 2 HOURS</v>
      </c>
      <c r="L946">
        <f>ROUND(CALLS[[#This Row],[Satisfaction Rating]],0)</f>
        <v>4</v>
      </c>
      <c r="M946" cm="1">
        <f t="array" ref="M946">_xlfn.IFS(CALLS[[#This Row],[DURATION BACKET]]="UNDER 10 MINS",1,
     CALLS[[#This Row],[DURATION BACKET]]="10 TO 30 MINS",2,
     CALLS[[#This Row],[DURATION BACKET]]="1 TO 2 HOURS",3,
     CALLS[[#This Row],[DURATION BACKET]]="&gt; 2 HOURS",4)</f>
        <v>3</v>
      </c>
      <c r="N946">
        <f>(CALLS[[#This Row],[Purchase Amount]]/ 1)</f>
        <v>148</v>
      </c>
    </row>
    <row r="947" spans="2:14" x14ac:dyDescent="0.25">
      <c r="B947" s="22" t="s">
        <v>969</v>
      </c>
      <c r="C947" s="4" t="s">
        <v>22</v>
      </c>
      <c r="D947" s="4">
        <v>152</v>
      </c>
      <c r="E947" s="5" t="s">
        <v>9</v>
      </c>
      <c r="F947" s="9">
        <v>45258</v>
      </c>
      <c r="G947" s="4">
        <v>125</v>
      </c>
      <c r="H947" s="23">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Row],[Duration]]&lt;=30,"10 TO 30 MINS",
     CALLS[[#This Row],[Duration]]&lt;=120,"1 TO 2 HOURS",
     TRUE,"&gt; 2 HOURS")</f>
        <v>&gt; 2 HOURS</v>
      </c>
      <c r="L947">
        <f>ROUND(CALLS[[#This Row],[Satisfaction Rating]],0)</f>
        <v>4</v>
      </c>
      <c r="M947" cm="1">
        <f t="array" ref="M947">_xlfn.IFS(CALLS[[#This Row],[DURATION BACKET]]="UNDER 10 MINS",1,
     CALLS[[#This Row],[DURATION BACKET]]="10 TO 30 MINS",2,
     CALLS[[#This Row],[DURATION BACKET]]="1 TO 2 HOURS",3,
     CALLS[[#This Row],[DURATION BACKET]]="&gt; 2 HOURS",4)</f>
        <v>4</v>
      </c>
      <c r="N947">
        <f>(CALLS[[#This Row],[Purchase Amount]]/ 1)</f>
        <v>125</v>
      </c>
    </row>
    <row r="948" spans="2:14" x14ac:dyDescent="0.25">
      <c r="B948" s="22" t="s">
        <v>970</v>
      </c>
      <c r="C948" s="4" t="s">
        <v>18</v>
      </c>
      <c r="D948" s="4">
        <v>34</v>
      </c>
      <c r="E948" s="5" t="s">
        <v>11</v>
      </c>
      <c r="F948" s="9">
        <v>45258</v>
      </c>
      <c r="G948" s="4">
        <v>25</v>
      </c>
      <c r="H948" s="23">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Row],[Duration]]&lt;=30,"10 TO 30 MINS",
     CALLS[[#This Row],[Duration]]&lt;=120,"1 TO 2 HOURS",
     TRUE,"&gt; 2 HOURS")</f>
        <v>1 TO 2 HOURS</v>
      </c>
      <c r="L948">
        <f>ROUND(CALLS[[#This Row],[Satisfaction Rating]],0)</f>
        <v>4</v>
      </c>
      <c r="M948" cm="1">
        <f t="array" ref="M948">_xlfn.IFS(CALLS[[#This Row],[DURATION BACKET]]="UNDER 10 MINS",1,
     CALLS[[#This Row],[DURATION BACKET]]="10 TO 30 MINS",2,
     CALLS[[#This Row],[DURATION BACKET]]="1 TO 2 HOURS",3,
     CALLS[[#This Row],[DURATION BACKET]]="&gt; 2 HOURS",4)</f>
        <v>3</v>
      </c>
      <c r="N948">
        <f>(CALLS[[#This Row],[Purchase Amount]]/ 1)</f>
        <v>25</v>
      </c>
    </row>
    <row r="949" spans="2:14" x14ac:dyDescent="0.25">
      <c r="B949" s="22" t="s">
        <v>971</v>
      </c>
      <c r="C949" s="4" t="s">
        <v>14</v>
      </c>
      <c r="D949" s="4">
        <v>2</v>
      </c>
      <c r="E949" s="5" t="s">
        <v>6</v>
      </c>
      <c r="F949" s="9">
        <v>45259</v>
      </c>
      <c r="G949" s="4">
        <v>62</v>
      </c>
      <c r="H949" s="23">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Row],[Duration]]&lt;=30,"10 TO 30 MINS",
     CALLS[[#This Row],[Duration]]&lt;=120,"1 TO 2 HOURS",
     TRUE,"&gt; 2 HOURS")</f>
        <v>UNDER 10 MINS</v>
      </c>
      <c r="L949">
        <f>ROUND(CALLS[[#This Row],[Satisfaction Rating]],0)</f>
        <v>3</v>
      </c>
      <c r="M949" cm="1">
        <f t="array" ref="M949">_xlfn.IFS(CALLS[[#This Row],[DURATION BACKET]]="UNDER 10 MINS",1,
     CALLS[[#This Row],[DURATION BACKET]]="10 TO 30 MINS",2,
     CALLS[[#This Row],[DURATION BACKET]]="1 TO 2 HOURS",3,
     CALLS[[#This Row],[DURATION BACKET]]="&gt; 2 HOURS",4)</f>
        <v>1</v>
      </c>
      <c r="N949">
        <f>(CALLS[[#This Row],[Purchase Amount]]/ 1)</f>
        <v>62</v>
      </c>
    </row>
    <row r="950" spans="2:14" x14ac:dyDescent="0.25">
      <c r="B950" s="22" t="s">
        <v>972</v>
      </c>
      <c r="C950" s="4" t="s">
        <v>23</v>
      </c>
      <c r="D950" s="4">
        <v>140</v>
      </c>
      <c r="E950" s="5" t="s">
        <v>11</v>
      </c>
      <c r="F950" s="9">
        <v>45260</v>
      </c>
      <c r="G950" s="4">
        <v>90</v>
      </c>
      <c r="H950" s="23">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Row],[Duration]]&lt;=30,"10 TO 30 MINS",
     CALLS[[#This Row],[Duration]]&lt;=120,"1 TO 2 HOURS",
     TRUE,"&gt; 2 HOURS")</f>
        <v>&gt; 2 HOURS</v>
      </c>
      <c r="L950">
        <f>ROUND(CALLS[[#This Row],[Satisfaction Rating]],0)</f>
        <v>5</v>
      </c>
      <c r="M950" cm="1">
        <f t="array" ref="M950">_xlfn.IFS(CALLS[[#This Row],[DURATION BACKET]]="UNDER 10 MINS",1,
     CALLS[[#This Row],[DURATION BACKET]]="10 TO 30 MINS",2,
     CALLS[[#This Row],[DURATION BACKET]]="1 TO 2 HOURS",3,
     CALLS[[#This Row],[DURATION BACKET]]="&gt; 2 HOURS",4)</f>
        <v>4</v>
      </c>
      <c r="N950">
        <f>(CALLS[[#This Row],[Purchase Amount]]/ 1)</f>
        <v>90</v>
      </c>
    </row>
    <row r="951" spans="2:14" x14ac:dyDescent="0.25">
      <c r="B951" s="22" t="s">
        <v>973</v>
      </c>
      <c r="C951" s="4" t="s">
        <v>12</v>
      </c>
      <c r="D951" s="4">
        <v>126</v>
      </c>
      <c r="E951" s="5" t="s">
        <v>13</v>
      </c>
      <c r="F951" s="9">
        <v>45261</v>
      </c>
      <c r="G951" s="4">
        <v>33</v>
      </c>
      <c r="H951" s="23">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Row],[Duration]]&lt;=30,"10 TO 30 MINS",
     CALLS[[#This Row],[Duration]]&lt;=120,"1 TO 2 HOURS",
     TRUE,"&gt; 2 HOURS")</f>
        <v>&gt; 2 HOURS</v>
      </c>
      <c r="L951">
        <f>ROUND(CALLS[[#This Row],[Satisfaction Rating]],0)</f>
        <v>5</v>
      </c>
      <c r="M951" cm="1">
        <f t="array" ref="M951">_xlfn.IFS(CALLS[[#This Row],[DURATION BACKET]]="UNDER 10 MINS",1,
     CALLS[[#This Row],[DURATION BACKET]]="10 TO 30 MINS",2,
     CALLS[[#This Row],[DURATION BACKET]]="1 TO 2 HOURS",3,
     CALLS[[#This Row],[DURATION BACKET]]="&gt; 2 HOURS",4)</f>
        <v>4</v>
      </c>
      <c r="N951">
        <f>(CALLS[[#This Row],[Purchase Amount]]/ 1)</f>
        <v>33</v>
      </c>
    </row>
    <row r="952" spans="2:14" x14ac:dyDescent="0.25">
      <c r="B952" s="22" t="s">
        <v>974</v>
      </c>
      <c r="C952" s="4" t="s">
        <v>21</v>
      </c>
      <c r="D952" s="4">
        <v>79</v>
      </c>
      <c r="E952" s="5" t="s">
        <v>6</v>
      </c>
      <c r="F952" s="9">
        <v>45261</v>
      </c>
      <c r="G952" s="4">
        <v>115</v>
      </c>
      <c r="H952" s="23">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Row],[Duration]]&lt;=30,"10 TO 30 MINS",
     CALLS[[#This Row],[Duration]]&lt;=120,"1 TO 2 HOURS",
     TRUE,"&gt; 2 HOURS")</f>
        <v>1 TO 2 HOURS</v>
      </c>
      <c r="L952">
        <f>ROUND(CALLS[[#This Row],[Satisfaction Rating]],0)</f>
        <v>2</v>
      </c>
      <c r="M952" cm="1">
        <f t="array" ref="M952">_xlfn.IFS(CALLS[[#This Row],[DURATION BACKET]]="UNDER 10 MINS",1,
     CALLS[[#This Row],[DURATION BACKET]]="10 TO 30 MINS",2,
     CALLS[[#This Row],[DURATION BACKET]]="1 TO 2 HOURS",3,
     CALLS[[#This Row],[DURATION BACKET]]="&gt; 2 HOURS",4)</f>
        <v>3</v>
      </c>
      <c r="N952">
        <f>(CALLS[[#This Row],[Purchase Amount]]/ 1)</f>
        <v>115</v>
      </c>
    </row>
    <row r="953" spans="2:14" x14ac:dyDescent="0.25">
      <c r="B953" s="22" t="s">
        <v>975</v>
      </c>
      <c r="C953" s="4" t="s">
        <v>12</v>
      </c>
      <c r="D953" s="4">
        <v>133</v>
      </c>
      <c r="E953" s="5" t="s">
        <v>13</v>
      </c>
      <c r="F953" s="9">
        <v>45261</v>
      </c>
      <c r="G953" s="4">
        <v>45</v>
      </c>
      <c r="H953" s="2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Row],[Duration]]&lt;=30,"10 TO 30 MINS",
     CALLS[[#This Row],[Duration]]&lt;=120,"1 TO 2 HOURS",
     TRUE,"&gt; 2 HOURS")</f>
        <v>&gt; 2 HOURS</v>
      </c>
      <c r="L953">
        <f>ROUND(CALLS[[#This Row],[Satisfaction Rating]],0)</f>
        <v>3</v>
      </c>
      <c r="M953" cm="1">
        <f t="array" ref="M953">_xlfn.IFS(CALLS[[#This Row],[DURATION BACKET]]="UNDER 10 MINS",1,
     CALLS[[#This Row],[DURATION BACKET]]="10 TO 30 MINS",2,
     CALLS[[#This Row],[DURATION BACKET]]="1 TO 2 HOURS",3,
     CALLS[[#This Row],[DURATION BACKET]]="&gt; 2 HOURS",4)</f>
        <v>4</v>
      </c>
      <c r="N953">
        <f>(CALLS[[#This Row],[Purchase Amount]]/ 1)</f>
        <v>45</v>
      </c>
    </row>
    <row r="954" spans="2:14" x14ac:dyDescent="0.25">
      <c r="B954" s="22" t="s">
        <v>976</v>
      </c>
      <c r="C954" s="4" t="s">
        <v>18</v>
      </c>
      <c r="D954" s="4">
        <v>97</v>
      </c>
      <c r="E954" s="5" t="s">
        <v>10</v>
      </c>
      <c r="F954" s="9">
        <v>45261</v>
      </c>
      <c r="G954" s="4">
        <v>114</v>
      </c>
      <c r="H954" s="23">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Row],[Duration]]&lt;=30,"10 TO 30 MINS",
     CALLS[[#This Row],[Duration]]&lt;=120,"1 TO 2 HOURS",
     TRUE,"&gt; 2 HOURS")</f>
        <v>1 TO 2 HOURS</v>
      </c>
      <c r="L954">
        <f>ROUND(CALLS[[#This Row],[Satisfaction Rating]],0)</f>
        <v>5</v>
      </c>
      <c r="M954" cm="1">
        <f t="array" ref="M954">_xlfn.IFS(CALLS[[#This Row],[DURATION BACKET]]="UNDER 10 MINS",1,
     CALLS[[#This Row],[DURATION BACKET]]="10 TO 30 MINS",2,
     CALLS[[#This Row],[DURATION BACKET]]="1 TO 2 HOURS",3,
     CALLS[[#This Row],[DURATION BACKET]]="&gt; 2 HOURS",4)</f>
        <v>3</v>
      </c>
      <c r="N954">
        <f>(CALLS[[#This Row],[Purchase Amount]]/ 1)</f>
        <v>114</v>
      </c>
    </row>
    <row r="955" spans="2:14" x14ac:dyDescent="0.25">
      <c r="B955" s="22" t="s">
        <v>977</v>
      </c>
      <c r="C955" s="4" t="s">
        <v>21</v>
      </c>
      <c r="D955" s="4">
        <v>102</v>
      </c>
      <c r="E955" s="5" t="s">
        <v>9</v>
      </c>
      <c r="F955" s="9">
        <v>45262</v>
      </c>
      <c r="G955" s="4">
        <v>72</v>
      </c>
      <c r="H955" s="23">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Row],[Duration]]&lt;=30,"10 TO 30 MINS",
     CALLS[[#This Row],[Duration]]&lt;=120,"1 TO 2 HOURS",
     TRUE,"&gt; 2 HOURS")</f>
        <v>1 TO 2 HOURS</v>
      </c>
      <c r="L955">
        <f>ROUND(CALLS[[#This Row],[Satisfaction Rating]],0)</f>
        <v>4</v>
      </c>
      <c r="M955" cm="1">
        <f t="array" ref="M955">_xlfn.IFS(CALLS[[#This Row],[DURATION BACKET]]="UNDER 10 MINS",1,
     CALLS[[#This Row],[DURATION BACKET]]="10 TO 30 MINS",2,
     CALLS[[#This Row],[DURATION BACKET]]="1 TO 2 HOURS",3,
     CALLS[[#This Row],[DURATION BACKET]]="&gt; 2 HOURS",4)</f>
        <v>3</v>
      </c>
      <c r="N955">
        <f>(CALLS[[#This Row],[Purchase Amount]]/ 1)</f>
        <v>72</v>
      </c>
    </row>
    <row r="956" spans="2:14" x14ac:dyDescent="0.25">
      <c r="B956" s="22" t="s">
        <v>978</v>
      </c>
      <c r="C956" s="4" t="s">
        <v>7</v>
      </c>
      <c r="D956" s="4">
        <v>62</v>
      </c>
      <c r="E956" s="5" t="s">
        <v>10</v>
      </c>
      <c r="F956" s="9">
        <v>45262</v>
      </c>
      <c r="G956" s="4">
        <v>205</v>
      </c>
      <c r="H956" s="23">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Row],[Duration]]&lt;=30,"10 TO 30 MINS",
     CALLS[[#This Row],[Duration]]&lt;=120,"1 TO 2 HOURS",
     TRUE,"&gt; 2 HOURS")</f>
        <v>1 TO 2 HOURS</v>
      </c>
      <c r="L956">
        <f>ROUND(CALLS[[#This Row],[Satisfaction Rating]],0)</f>
        <v>4</v>
      </c>
      <c r="M956" cm="1">
        <f t="array" ref="M956">_xlfn.IFS(CALLS[[#This Row],[DURATION BACKET]]="UNDER 10 MINS",1,
     CALLS[[#This Row],[DURATION BACKET]]="10 TO 30 MINS",2,
     CALLS[[#This Row],[DURATION BACKET]]="1 TO 2 HOURS",3,
     CALLS[[#This Row],[DURATION BACKET]]="&gt; 2 HOURS",4)</f>
        <v>3</v>
      </c>
      <c r="N956">
        <f>(CALLS[[#This Row],[Purchase Amount]]/ 1)</f>
        <v>205</v>
      </c>
    </row>
    <row r="957" spans="2:14" x14ac:dyDescent="0.25">
      <c r="B957" s="22" t="s">
        <v>979</v>
      </c>
      <c r="C957" s="4" t="s">
        <v>12</v>
      </c>
      <c r="D957" s="4">
        <v>149</v>
      </c>
      <c r="E957" s="5" t="s">
        <v>9</v>
      </c>
      <c r="F957" s="9">
        <v>45263</v>
      </c>
      <c r="G957" s="4">
        <v>42</v>
      </c>
      <c r="H957" s="23">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Row],[Duration]]&lt;=30,"10 TO 30 MINS",
     CALLS[[#This Row],[Duration]]&lt;=120,"1 TO 2 HOURS",
     TRUE,"&gt; 2 HOURS")</f>
        <v>&gt; 2 HOURS</v>
      </c>
      <c r="L957">
        <f>ROUND(CALLS[[#This Row],[Satisfaction Rating]],0)</f>
        <v>3</v>
      </c>
      <c r="M957" cm="1">
        <f t="array" ref="M957">_xlfn.IFS(CALLS[[#This Row],[DURATION BACKET]]="UNDER 10 MINS",1,
     CALLS[[#This Row],[DURATION BACKET]]="10 TO 30 MINS",2,
     CALLS[[#This Row],[DURATION BACKET]]="1 TO 2 HOURS",3,
     CALLS[[#This Row],[DURATION BACKET]]="&gt; 2 HOURS",4)</f>
        <v>4</v>
      </c>
      <c r="N957">
        <f>(CALLS[[#This Row],[Purchase Amount]]/ 1)</f>
        <v>42</v>
      </c>
    </row>
    <row r="958" spans="2:14" x14ac:dyDescent="0.25">
      <c r="B958" s="22" t="s">
        <v>980</v>
      </c>
      <c r="C958" s="4" t="s">
        <v>14</v>
      </c>
      <c r="D958" s="4">
        <v>133</v>
      </c>
      <c r="E958" s="5" t="s">
        <v>10</v>
      </c>
      <c r="F958" s="9">
        <v>45263</v>
      </c>
      <c r="G958" s="4">
        <v>96</v>
      </c>
      <c r="H958" s="23">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Row],[Duration]]&lt;=30,"10 TO 30 MINS",
     CALLS[[#This Row],[Duration]]&lt;=120,"1 TO 2 HOURS",
     TRUE,"&gt; 2 HOURS")</f>
        <v>&gt; 2 HOURS</v>
      </c>
      <c r="L958">
        <f>ROUND(CALLS[[#This Row],[Satisfaction Rating]],0)</f>
        <v>4</v>
      </c>
      <c r="M958" cm="1">
        <f t="array" ref="M958">_xlfn.IFS(CALLS[[#This Row],[DURATION BACKET]]="UNDER 10 MINS",1,
     CALLS[[#This Row],[DURATION BACKET]]="10 TO 30 MINS",2,
     CALLS[[#This Row],[DURATION BACKET]]="1 TO 2 HOURS",3,
     CALLS[[#This Row],[DURATION BACKET]]="&gt; 2 HOURS",4)</f>
        <v>4</v>
      </c>
      <c r="N958">
        <f>(CALLS[[#This Row],[Purchase Amount]]/ 1)</f>
        <v>96</v>
      </c>
    </row>
    <row r="959" spans="2:14" x14ac:dyDescent="0.25">
      <c r="B959" s="22" t="s">
        <v>981</v>
      </c>
      <c r="C959" s="4" t="s">
        <v>21</v>
      </c>
      <c r="D959" s="4">
        <v>51</v>
      </c>
      <c r="E959" s="5" t="s">
        <v>6</v>
      </c>
      <c r="F959" s="9">
        <v>45263</v>
      </c>
      <c r="G959" s="4">
        <v>64</v>
      </c>
      <c r="H959" s="23">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Row],[Duration]]&lt;=30,"10 TO 30 MINS",
     CALLS[[#This Row],[Duration]]&lt;=120,"1 TO 2 HOURS",
     TRUE,"&gt; 2 HOURS")</f>
        <v>1 TO 2 HOURS</v>
      </c>
      <c r="L959">
        <f>ROUND(CALLS[[#This Row],[Satisfaction Rating]],0)</f>
        <v>4</v>
      </c>
      <c r="M959" cm="1">
        <f t="array" ref="M959">_xlfn.IFS(CALLS[[#This Row],[DURATION BACKET]]="UNDER 10 MINS",1,
     CALLS[[#This Row],[DURATION BACKET]]="10 TO 30 MINS",2,
     CALLS[[#This Row],[DURATION BACKET]]="1 TO 2 HOURS",3,
     CALLS[[#This Row],[DURATION BACKET]]="&gt; 2 HOURS",4)</f>
        <v>3</v>
      </c>
      <c r="N959">
        <f>(CALLS[[#This Row],[Purchase Amount]]/ 1)</f>
        <v>64</v>
      </c>
    </row>
    <row r="960" spans="2:14" x14ac:dyDescent="0.25">
      <c r="B960" s="22" t="s">
        <v>982</v>
      </c>
      <c r="C960" s="4" t="s">
        <v>7</v>
      </c>
      <c r="D960" s="4">
        <v>110</v>
      </c>
      <c r="E960" s="5" t="s">
        <v>10</v>
      </c>
      <c r="F960" s="9">
        <v>45264</v>
      </c>
      <c r="G960" s="4">
        <v>72</v>
      </c>
      <c r="H960" s="23">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Row],[Duration]]&lt;=30,"10 TO 30 MINS",
     CALLS[[#This Row],[Duration]]&lt;=120,"1 TO 2 HOURS",
     TRUE,"&gt; 2 HOURS")</f>
        <v>1 TO 2 HOURS</v>
      </c>
      <c r="L960">
        <f>ROUND(CALLS[[#This Row],[Satisfaction Rating]],0)</f>
        <v>4</v>
      </c>
      <c r="M960" cm="1">
        <f t="array" ref="M960">_xlfn.IFS(CALLS[[#This Row],[DURATION BACKET]]="UNDER 10 MINS",1,
     CALLS[[#This Row],[DURATION BACKET]]="10 TO 30 MINS",2,
     CALLS[[#This Row],[DURATION BACKET]]="1 TO 2 HOURS",3,
     CALLS[[#This Row],[DURATION BACKET]]="&gt; 2 HOURS",4)</f>
        <v>3</v>
      </c>
      <c r="N960">
        <f>(CALLS[[#This Row],[Purchase Amount]]/ 1)</f>
        <v>72</v>
      </c>
    </row>
    <row r="961" spans="2:14" x14ac:dyDescent="0.25">
      <c r="B961" s="22" t="s">
        <v>983</v>
      </c>
      <c r="C961" s="4" t="s">
        <v>18</v>
      </c>
      <c r="D961" s="4">
        <v>38</v>
      </c>
      <c r="E961" s="5" t="s">
        <v>13</v>
      </c>
      <c r="F961" s="9">
        <v>45265</v>
      </c>
      <c r="G961" s="4">
        <v>27</v>
      </c>
      <c r="H961" s="23">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Row],[Duration]]&lt;=30,"10 TO 30 MINS",
     CALLS[[#This Row],[Duration]]&lt;=120,"1 TO 2 HOURS",
     TRUE,"&gt; 2 HOURS")</f>
        <v>1 TO 2 HOURS</v>
      </c>
      <c r="L961">
        <f>ROUND(CALLS[[#This Row],[Satisfaction Rating]],0)</f>
        <v>3</v>
      </c>
      <c r="M961" cm="1">
        <f t="array" ref="M961">_xlfn.IFS(CALLS[[#This Row],[DURATION BACKET]]="UNDER 10 MINS",1,
     CALLS[[#This Row],[DURATION BACKET]]="10 TO 30 MINS",2,
     CALLS[[#This Row],[DURATION BACKET]]="1 TO 2 HOURS",3,
     CALLS[[#This Row],[DURATION BACKET]]="&gt; 2 HOURS",4)</f>
        <v>3</v>
      </c>
      <c r="N961">
        <f>(CALLS[[#This Row],[Purchase Amount]]/ 1)</f>
        <v>27</v>
      </c>
    </row>
    <row r="962" spans="2:14" x14ac:dyDescent="0.25">
      <c r="B962" s="22" t="s">
        <v>984</v>
      </c>
      <c r="C962" s="4" t="s">
        <v>14</v>
      </c>
      <c r="D962" s="4">
        <v>78</v>
      </c>
      <c r="E962" s="5" t="s">
        <v>13</v>
      </c>
      <c r="F962" s="9">
        <v>45267</v>
      </c>
      <c r="G962" s="4">
        <v>200</v>
      </c>
      <c r="H962" s="23">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Row],[Duration]]&lt;=30,"10 TO 30 MINS",
     CALLS[[#This Row],[Duration]]&lt;=120,"1 TO 2 HOURS",
     TRUE,"&gt; 2 HOURS")</f>
        <v>1 TO 2 HOURS</v>
      </c>
      <c r="L962">
        <f>ROUND(CALLS[[#This Row],[Satisfaction Rating]],0)</f>
        <v>2</v>
      </c>
      <c r="M962" cm="1">
        <f t="array" ref="M962">_xlfn.IFS(CALLS[[#This Row],[DURATION BACKET]]="UNDER 10 MINS",1,
     CALLS[[#This Row],[DURATION BACKET]]="10 TO 30 MINS",2,
     CALLS[[#This Row],[DURATION BACKET]]="1 TO 2 HOURS",3,
     CALLS[[#This Row],[DURATION BACKET]]="&gt; 2 HOURS",4)</f>
        <v>3</v>
      </c>
      <c r="N962">
        <f>(CALLS[[#This Row],[Purchase Amount]]/ 1)</f>
        <v>200</v>
      </c>
    </row>
    <row r="963" spans="2:14" x14ac:dyDescent="0.25">
      <c r="B963" s="22" t="s">
        <v>985</v>
      </c>
      <c r="C963" s="4" t="s">
        <v>18</v>
      </c>
      <c r="D963" s="4">
        <v>25</v>
      </c>
      <c r="E963" s="5" t="s">
        <v>9</v>
      </c>
      <c r="F963" s="9">
        <v>45268</v>
      </c>
      <c r="G963" s="4">
        <v>93</v>
      </c>
      <c r="H963" s="2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Row],[Duration]]&lt;=30,"10 TO 30 MINS",
     CALLS[[#This Row],[Duration]]&lt;=120,"1 TO 2 HOURS",
     TRUE,"&gt; 2 HOURS")</f>
        <v>10 TO 30 MINS</v>
      </c>
      <c r="L963">
        <f>ROUND(CALLS[[#This Row],[Satisfaction Rating]],0)</f>
        <v>4</v>
      </c>
      <c r="M963" cm="1">
        <f t="array" ref="M963">_xlfn.IFS(CALLS[[#This Row],[DURATION BACKET]]="UNDER 10 MINS",1,
     CALLS[[#This Row],[DURATION BACKET]]="10 TO 30 MINS",2,
     CALLS[[#This Row],[DURATION BACKET]]="1 TO 2 HOURS",3,
     CALLS[[#This Row],[DURATION BACKET]]="&gt; 2 HOURS",4)</f>
        <v>2</v>
      </c>
      <c r="N963">
        <f>(CALLS[[#This Row],[Purchase Amount]]/ 1)</f>
        <v>93</v>
      </c>
    </row>
    <row r="964" spans="2:14" x14ac:dyDescent="0.25">
      <c r="B964" s="22" t="s">
        <v>986</v>
      </c>
      <c r="C964" s="4" t="s">
        <v>16</v>
      </c>
      <c r="D964" s="4">
        <v>50</v>
      </c>
      <c r="E964" s="5" t="s">
        <v>6</v>
      </c>
      <c r="F964" s="9">
        <v>45268</v>
      </c>
      <c r="G964" s="4">
        <v>54</v>
      </c>
      <c r="H964" s="23">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Row],[Duration]]&lt;=30,"10 TO 30 MINS",
     CALLS[[#This Row],[Duration]]&lt;=120,"1 TO 2 HOURS",
     TRUE,"&gt; 2 HOURS")</f>
        <v>1 TO 2 HOURS</v>
      </c>
      <c r="L964">
        <f>ROUND(CALLS[[#This Row],[Satisfaction Rating]],0)</f>
        <v>4</v>
      </c>
      <c r="M964" cm="1">
        <f t="array" ref="M964">_xlfn.IFS(CALLS[[#This Row],[DURATION BACKET]]="UNDER 10 MINS",1,
     CALLS[[#This Row],[DURATION BACKET]]="10 TO 30 MINS",2,
     CALLS[[#This Row],[DURATION BACKET]]="1 TO 2 HOURS",3,
     CALLS[[#This Row],[DURATION BACKET]]="&gt; 2 HOURS",4)</f>
        <v>3</v>
      </c>
      <c r="N964">
        <f>(CALLS[[#This Row],[Purchase Amount]]/ 1)</f>
        <v>54</v>
      </c>
    </row>
    <row r="965" spans="2:14" x14ac:dyDescent="0.25">
      <c r="B965" s="22" t="s">
        <v>987</v>
      </c>
      <c r="C965" s="4" t="s">
        <v>18</v>
      </c>
      <c r="D965" s="4">
        <v>103</v>
      </c>
      <c r="E965" s="5" t="s">
        <v>9</v>
      </c>
      <c r="F965" s="9">
        <v>45269</v>
      </c>
      <c r="G965" s="4">
        <v>72</v>
      </c>
      <c r="H965" s="23">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Row],[Duration]]&lt;=30,"10 TO 30 MINS",
     CALLS[[#This Row],[Duration]]&lt;=120,"1 TO 2 HOURS",
     TRUE,"&gt; 2 HOURS")</f>
        <v>1 TO 2 HOURS</v>
      </c>
      <c r="L965">
        <f>ROUND(CALLS[[#This Row],[Satisfaction Rating]],0)</f>
        <v>3</v>
      </c>
      <c r="M965" cm="1">
        <f t="array" ref="M965">_xlfn.IFS(CALLS[[#This Row],[DURATION BACKET]]="UNDER 10 MINS",1,
     CALLS[[#This Row],[DURATION BACKET]]="10 TO 30 MINS",2,
     CALLS[[#This Row],[DURATION BACKET]]="1 TO 2 HOURS",3,
     CALLS[[#This Row],[DURATION BACKET]]="&gt; 2 HOURS",4)</f>
        <v>3</v>
      </c>
      <c r="N965">
        <f>(CALLS[[#This Row],[Purchase Amount]]/ 1)</f>
        <v>72</v>
      </c>
    </row>
    <row r="966" spans="2:14" x14ac:dyDescent="0.25">
      <c r="B966" s="22" t="s">
        <v>988</v>
      </c>
      <c r="C966" s="4" t="s">
        <v>22</v>
      </c>
      <c r="D966" s="4">
        <v>63</v>
      </c>
      <c r="E966" s="5" t="s">
        <v>11</v>
      </c>
      <c r="F966" s="9">
        <v>45269</v>
      </c>
      <c r="G966" s="4">
        <v>82</v>
      </c>
      <c r="H966" s="23">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Row],[Duration]]&lt;=30,"10 TO 30 MINS",
     CALLS[[#This Row],[Duration]]&lt;=120,"1 TO 2 HOURS",
     TRUE,"&gt; 2 HOURS")</f>
        <v>1 TO 2 HOURS</v>
      </c>
      <c r="L966">
        <f>ROUND(CALLS[[#This Row],[Satisfaction Rating]],0)</f>
        <v>4</v>
      </c>
      <c r="M966" cm="1">
        <f t="array" ref="M966">_xlfn.IFS(CALLS[[#This Row],[DURATION BACKET]]="UNDER 10 MINS",1,
     CALLS[[#This Row],[DURATION BACKET]]="10 TO 30 MINS",2,
     CALLS[[#This Row],[DURATION BACKET]]="1 TO 2 HOURS",3,
     CALLS[[#This Row],[DURATION BACKET]]="&gt; 2 HOURS",4)</f>
        <v>3</v>
      </c>
      <c r="N966">
        <f>(CALLS[[#This Row],[Purchase Amount]]/ 1)</f>
        <v>82</v>
      </c>
    </row>
    <row r="967" spans="2:14" x14ac:dyDescent="0.25">
      <c r="B967" s="22" t="s">
        <v>989</v>
      </c>
      <c r="C967" s="4" t="s">
        <v>16</v>
      </c>
      <c r="D967" s="4">
        <v>96</v>
      </c>
      <c r="E967" s="5" t="s">
        <v>6</v>
      </c>
      <c r="F967" s="9">
        <v>45273</v>
      </c>
      <c r="G967" s="4">
        <v>164</v>
      </c>
      <c r="H967" s="23">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Row],[Duration]]&lt;=30,"10 TO 30 MINS",
     CALLS[[#This Row],[Duration]]&lt;=120,"1 TO 2 HOURS",
     TRUE,"&gt; 2 HOURS")</f>
        <v>1 TO 2 HOURS</v>
      </c>
      <c r="L967">
        <f>ROUND(CALLS[[#This Row],[Satisfaction Rating]],0)</f>
        <v>5</v>
      </c>
      <c r="M967" cm="1">
        <f t="array" ref="M967">_xlfn.IFS(CALLS[[#This Row],[DURATION BACKET]]="UNDER 10 MINS",1,
     CALLS[[#This Row],[DURATION BACKET]]="10 TO 30 MINS",2,
     CALLS[[#This Row],[DURATION BACKET]]="1 TO 2 HOURS",3,
     CALLS[[#This Row],[DURATION BACKET]]="&gt; 2 HOURS",4)</f>
        <v>3</v>
      </c>
      <c r="N967">
        <f>(CALLS[[#This Row],[Purchase Amount]]/ 1)</f>
        <v>164</v>
      </c>
    </row>
    <row r="968" spans="2:14" x14ac:dyDescent="0.25">
      <c r="B968" s="22" t="s">
        <v>990</v>
      </c>
      <c r="C968" s="4" t="s">
        <v>23</v>
      </c>
      <c r="D968" s="4">
        <v>94</v>
      </c>
      <c r="E968" s="5" t="s">
        <v>9</v>
      </c>
      <c r="F968" s="9">
        <v>45273</v>
      </c>
      <c r="G968" s="4">
        <v>78</v>
      </c>
      <c r="H968" s="23">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Row],[Duration]]&lt;=30,"10 TO 30 MINS",
     CALLS[[#This Row],[Duration]]&lt;=120,"1 TO 2 HOURS",
     TRUE,"&gt; 2 HOURS")</f>
        <v>1 TO 2 HOURS</v>
      </c>
      <c r="L968">
        <f>ROUND(CALLS[[#This Row],[Satisfaction Rating]],0)</f>
        <v>3</v>
      </c>
      <c r="M968" cm="1">
        <f t="array" ref="M968">_xlfn.IFS(CALLS[[#This Row],[DURATION BACKET]]="UNDER 10 MINS",1,
     CALLS[[#This Row],[DURATION BACKET]]="10 TO 30 MINS",2,
     CALLS[[#This Row],[DURATION BACKET]]="1 TO 2 HOURS",3,
     CALLS[[#This Row],[DURATION BACKET]]="&gt; 2 HOURS",4)</f>
        <v>3</v>
      </c>
      <c r="N968">
        <f>(CALLS[[#This Row],[Purchase Amount]]/ 1)</f>
        <v>78</v>
      </c>
    </row>
    <row r="969" spans="2:14" x14ac:dyDescent="0.25">
      <c r="B969" s="22" t="s">
        <v>991</v>
      </c>
      <c r="C969" s="4" t="s">
        <v>7</v>
      </c>
      <c r="D969" s="4">
        <v>46</v>
      </c>
      <c r="E969" s="5" t="s">
        <v>13</v>
      </c>
      <c r="F969" s="9">
        <v>45274</v>
      </c>
      <c r="G969" s="4">
        <v>135</v>
      </c>
      <c r="H969" s="23">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Row],[Duration]]&lt;=30,"10 TO 30 MINS",
     CALLS[[#This Row],[Duration]]&lt;=120,"1 TO 2 HOURS",
     TRUE,"&gt; 2 HOURS")</f>
        <v>1 TO 2 HOURS</v>
      </c>
      <c r="L969">
        <f>ROUND(CALLS[[#This Row],[Satisfaction Rating]],0)</f>
        <v>4</v>
      </c>
      <c r="M969" cm="1">
        <f t="array" ref="M969">_xlfn.IFS(CALLS[[#This Row],[DURATION BACKET]]="UNDER 10 MINS",1,
     CALLS[[#This Row],[DURATION BACKET]]="10 TO 30 MINS",2,
     CALLS[[#This Row],[DURATION BACKET]]="1 TO 2 HOURS",3,
     CALLS[[#This Row],[DURATION BACKET]]="&gt; 2 HOURS",4)</f>
        <v>3</v>
      </c>
      <c r="N969">
        <f>(CALLS[[#This Row],[Purchase Amount]]/ 1)</f>
        <v>135</v>
      </c>
    </row>
    <row r="970" spans="2:14" x14ac:dyDescent="0.25">
      <c r="B970" s="22" t="s">
        <v>992</v>
      </c>
      <c r="C970" s="4" t="s">
        <v>5</v>
      </c>
      <c r="D970" s="4">
        <v>127</v>
      </c>
      <c r="E970" s="5" t="s">
        <v>6</v>
      </c>
      <c r="F970" s="9">
        <v>45275</v>
      </c>
      <c r="G970" s="4">
        <v>145</v>
      </c>
      <c r="H970" s="23">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Row],[Duration]]&lt;=30,"10 TO 30 MINS",
     CALLS[[#This Row],[Duration]]&lt;=120,"1 TO 2 HOURS",
     TRUE,"&gt; 2 HOURS")</f>
        <v>&gt; 2 HOURS</v>
      </c>
      <c r="L970">
        <f>ROUND(CALLS[[#This Row],[Satisfaction Rating]],0)</f>
        <v>3</v>
      </c>
      <c r="M970" cm="1">
        <f t="array" ref="M970">_xlfn.IFS(CALLS[[#This Row],[DURATION BACKET]]="UNDER 10 MINS",1,
     CALLS[[#This Row],[DURATION BACKET]]="10 TO 30 MINS",2,
     CALLS[[#This Row],[DURATION BACKET]]="1 TO 2 HOURS",3,
     CALLS[[#This Row],[DURATION BACKET]]="&gt; 2 HOURS",4)</f>
        <v>4</v>
      </c>
      <c r="N970">
        <f>(CALLS[[#This Row],[Purchase Amount]]/ 1)</f>
        <v>145</v>
      </c>
    </row>
    <row r="971" spans="2:14" x14ac:dyDescent="0.25">
      <c r="B971" s="22" t="s">
        <v>993</v>
      </c>
      <c r="C971" s="4" t="s">
        <v>15</v>
      </c>
      <c r="D971" s="4">
        <v>96</v>
      </c>
      <c r="E971" s="5" t="s">
        <v>13</v>
      </c>
      <c r="F971" s="9">
        <v>45275</v>
      </c>
      <c r="G971" s="4">
        <v>115</v>
      </c>
      <c r="H971" s="23">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Row],[Duration]]&lt;=30,"10 TO 30 MINS",
     CALLS[[#This Row],[Duration]]&lt;=120,"1 TO 2 HOURS",
     TRUE,"&gt; 2 HOURS")</f>
        <v>1 TO 2 HOURS</v>
      </c>
      <c r="L971">
        <f>ROUND(CALLS[[#This Row],[Satisfaction Rating]],0)</f>
        <v>5</v>
      </c>
      <c r="M971" cm="1">
        <f t="array" ref="M971">_xlfn.IFS(CALLS[[#This Row],[DURATION BACKET]]="UNDER 10 MINS",1,
     CALLS[[#This Row],[DURATION BACKET]]="10 TO 30 MINS",2,
     CALLS[[#This Row],[DURATION BACKET]]="1 TO 2 HOURS",3,
     CALLS[[#This Row],[DURATION BACKET]]="&gt; 2 HOURS",4)</f>
        <v>3</v>
      </c>
      <c r="N971">
        <f>(CALLS[[#This Row],[Purchase Amount]]/ 1)</f>
        <v>115</v>
      </c>
    </row>
    <row r="972" spans="2:14" x14ac:dyDescent="0.25">
      <c r="B972" s="22" t="s">
        <v>1006</v>
      </c>
      <c r="C972" s="4" t="s">
        <v>17</v>
      </c>
      <c r="D972" s="4">
        <v>151</v>
      </c>
      <c r="E972" s="5" t="s">
        <v>9</v>
      </c>
      <c r="F972" s="9">
        <v>45275</v>
      </c>
      <c r="G972" s="4">
        <v>117</v>
      </c>
      <c r="H972" s="23">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Row],[Duration]]&lt;=30,"10 TO 30 MINS",
     CALLS[[#This Row],[Duration]]&lt;=120,"1 TO 2 HOURS",
     TRUE,"&gt; 2 HOURS")</f>
        <v>&gt; 2 HOURS</v>
      </c>
      <c r="L972">
        <f>ROUND(CALLS[[#This Row],[Satisfaction Rating]],0)</f>
        <v>2</v>
      </c>
      <c r="M972" cm="1">
        <f t="array" ref="M972">_xlfn.IFS(CALLS[[#This Row],[DURATION BACKET]]="UNDER 10 MINS",1,
     CALLS[[#This Row],[DURATION BACKET]]="10 TO 30 MINS",2,
     CALLS[[#This Row],[DURATION BACKET]]="1 TO 2 HOURS",3,
     CALLS[[#This Row],[DURATION BACKET]]="&gt; 2 HOURS",4)</f>
        <v>4</v>
      </c>
      <c r="N972">
        <f>(CALLS[[#This Row],[Purchase Amount]]/ 1)</f>
        <v>117</v>
      </c>
    </row>
    <row r="973" spans="2:14" x14ac:dyDescent="0.25">
      <c r="B973" s="22" t="s">
        <v>1007</v>
      </c>
      <c r="C973" s="4" t="s">
        <v>5</v>
      </c>
      <c r="D973" s="4">
        <v>158</v>
      </c>
      <c r="E973" s="5" t="s">
        <v>10</v>
      </c>
      <c r="F973" s="9">
        <v>45276</v>
      </c>
      <c r="G973" s="4">
        <v>36</v>
      </c>
      <c r="H973" s="2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Row],[Duration]]&lt;=30,"10 TO 30 MINS",
     CALLS[[#This Row],[Duration]]&lt;=120,"1 TO 2 HOURS",
     TRUE,"&gt; 2 HOURS")</f>
        <v>&gt; 2 HOURS</v>
      </c>
      <c r="L973">
        <f>ROUND(CALLS[[#This Row],[Satisfaction Rating]],0)</f>
        <v>5</v>
      </c>
      <c r="M973" cm="1">
        <f t="array" ref="M973">_xlfn.IFS(CALLS[[#This Row],[DURATION BACKET]]="UNDER 10 MINS",1,
     CALLS[[#This Row],[DURATION BACKET]]="10 TO 30 MINS",2,
     CALLS[[#This Row],[DURATION BACKET]]="1 TO 2 HOURS",3,
     CALLS[[#This Row],[DURATION BACKET]]="&gt; 2 HOURS",4)</f>
        <v>4</v>
      </c>
      <c r="N973">
        <f>(CALLS[[#This Row],[Purchase Amount]]/ 1)</f>
        <v>36</v>
      </c>
    </row>
    <row r="974" spans="2:14" x14ac:dyDescent="0.25">
      <c r="B974" s="22" t="s">
        <v>1008</v>
      </c>
      <c r="C974" s="4" t="s">
        <v>23</v>
      </c>
      <c r="D974" s="4">
        <v>45</v>
      </c>
      <c r="E974" s="5" t="s">
        <v>10</v>
      </c>
      <c r="F974" s="9">
        <v>45276</v>
      </c>
      <c r="G974" s="4">
        <v>84</v>
      </c>
      <c r="H974" s="23">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Row],[Duration]]&lt;=30,"10 TO 30 MINS",
     CALLS[[#This Row],[Duration]]&lt;=120,"1 TO 2 HOURS",
     TRUE,"&gt; 2 HOURS")</f>
        <v>1 TO 2 HOURS</v>
      </c>
      <c r="L974">
        <f>ROUND(CALLS[[#This Row],[Satisfaction Rating]],0)</f>
        <v>3</v>
      </c>
      <c r="M974" cm="1">
        <f t="array" ref="M974">_xlfn.IFS(CALLS[[#This Row],[DURATION BACKET]]="UNDER 10 MINS",1,
     CALLS[[#This Row],[DURATION BACKET]]="10 TO 30 MINS",2,
     CALLS[[#This Row],[DURATION BACKET]]="1 TO 2 HOURS",3,
     CALLS[[#This Row],[DURATION BACKET]]="&gt; 2 HOURS",4)</f>
        <v>3</v>
      </c>
      <c r="N974">
        <f>(CALLS[[#This Row],[Purchase Amount]]/ 1)</f>
        <v>84</v>
      </c>
    </row>
    <row r="975" spans="2:14" x14ac:dyDescent="0.25">
      <c r="B975" s="22" t="s">
        <v>1009</v>
      </c>
      <c r="C975" s="4" t="s">
        <v>24</v>
      </c>
      <c r="D975" s="4">
        <v>141</v>
      </c>
      <c r="E975" s="5" t="s">
        <v>10</v>
      </c>
      <c r="F975" s="9">
        <v>45276</v>
      </c>
      <c r="G975" s="4">
        <v>66</v>
      </c>
      <c r="H975" s="23">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Row],[Duration]]&lt;=30,"10 TO 30 MINS",
     CALLS[[#This Row],[Duration]]&lt;=120,"1 TO 2 HOURS",
     TRUE,"&gt; 2 HOURS")</f>
        <v>&gt; 2 HOURS</v>
      </c>
      <c r="L975">
        <f>ROUND(CALLS[[#This Row],[Satisfaction Rating]],0)</f>
        <v>3</v>
      </c>
      <c r="M975" cm="1">
        <f t="array" ref="M975">_xlfn.IFS(CALLS[[#This Row],[DURATION BACKET]]="UNDER 10 MINS",1,
     CALLS[[#This Row],[DURATION BACKET]]="10 TO 30 MINS",2,
     CALLS[[#This Row],[DURATION BACKET]]="1 TO 2 HOURS",3,
     CALLS[[#This Row],[DURATION BACKET]]="&gt; 2 HOURS",4)</f>
        <v>4</v>
      </c>
      <c r="N975">
        <f>(CALLS[[#This Row],[Purchase Amount]]/ 1)</f>
        <v>66</v>
      </c>
    </row>
    <row r="976" spans="2:14" x14ac:dyDescent="0.25">
      <c r="B976" s="22" t="s">
        <v>1010</v>
      </c>
      <c r="C976" s="4" t="s">
        <v>18</v>
      </c>
      <c r="D976" s="4">
        <v>147</v>
      </c>
      <c r="E976" s="5" t="s">
        <v>13</v>
      </c>
      <c r="F976" s="9">
        <v>45276</v>
      </c>
      <c r="G976" s="4">
        <v>76</v>
      </c>
      <c r="H976" s="23">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Row],[Duration]]&lt;=30,"10 TO 30 MINS",
     CALLS[[#This Row],[Duration]]&lt;=120,"1 TO 2 HOURS",
     TRUE,"&gt; 2 HOURS")</f>
        <v>&gt; 2 HOURS</v>
      </c>
      <c r="L976">
        <f>ROUND(CALLS[[#This Row],[Satisfaction Rating]],0)</f>
        <v>5</v>
      </c>
      <c r="M976" cm="1">
        <f t="array" ref="M976">_xlfn.IFS(CALLS[[#This Row],[DURATION BACKET]]="UNDER 10 MINS",1,
     CALLS[[#This Row],[DURATION BACKET]]="10 TO 30 MINS",2,
     CALLS[[#This Row],[DURATION BACKET]]="1 TO 2 HOURS",3,
     CALLS[[#This Row],[DURATION BACKET]]="&gt; 2 HOURS",4)</f>
        <v>4</v>
      </c>
      <c r="N976">
        <f>(CALLS[[#This Row],[Purchase Amount]]/ 1)</f>
        <v>76</v>
      </c>
    </row>
    <row r="977" spans="2:14" x14ac:dyDescent="0.25">
      <c r="B977" s="22" t="s">
        <v>1011</v>
      </c>
      <c r="C977" s="4" t="s">
        <v>19</v>
      </c>
      <c r="D977" s="4">
        <v>126</v>
      </c>
      <c r="E977" s="5" t="s">
        <v>13</v>
      </c>
      <c r="F977" s="9">
        <v>45276</v>
      </c>
      <c r="G977" s="4">
        <v>185</v>
      </c>
      <c r="H977" s="23">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Row],[Duration]]&lt;=30,"10 TO 30 MINS",
     CALLS[[#This Row],[Duration]]&lt;=120,"1 TO 2 HOURS",
     TRUE,"&gt; 2 HOURS")</f>
        <v>&gt; 2 HOURS</v>
      </c>
      <c r="L977">
        <f>ROUND(CALLS[[#This Row],[Satisfaction Rating]],0)</f>
        <v>5</v>
      </c>
      <c r="M977" cm="1">
        <f t="array" ref="M977">_xlfn.IFS(CALLS[[#This Row],[DURATION BACKET]]="UNDER 10 MINS",1,
     CALLS[[#This Row],[DURATION BACKET]]="10 TO 30 MINS",2,
     CALLS[[#This Row],[DURATION BACKET]]="1 TO 2 HOURS",3,
     CALLS[[#This Row],[DURATION BACKET]]="&gt; 2 HOURS",4)</f>
        <v>4</v>
      </c>
      <c r="N977">
        <f>(CALLS[[#This Row],[Purchase Amount]]/ 1)</f>
        <v>185</v>
      </c>
    </row>
    <row r="978" spans="2:14" x14ac:dyDescent="0.25">
      <c r="B978" s="22" t="s">
        <v>1012</v>
      </c>
      <c r="C978" s="4" t="s">
        <v>23</v>
      </c>
      <c r="D978" s="4">
        <v>126</v>
      </c>
      <c r="E978" s="5" t="s">
        <v>11</v>
      </c>
      <c r="F978" s="9">
        <v>45277</v>
      </c>
      <c r="G978" s="4">
        <v>80</v>
      </c>
      <c r="H978" s="23">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Row],[Duration]]&lt;=30,"10 TO 30 MINS",
     CALLS[[#This Row],[Duration]]&lt;=120,"1 TO 2 HOURS",
     TRUE,"&gt; 2 HOURS")</f>
        <v>&gt; 2 HOURS</v>
      </c>
      <c r="L978">
        <f>ROUND(CALLS[[#This Row],[Satisfaction Rating]],0)</f>
        <v>5</v>
      </c>
      <c r="M978" cm="1">
        <f t="array" ref="M978">_xlfn.IFS(CALLS[[#This Row],[DURATION BACKET]]="UNDER 10 MINS",1,
     CALLS[[#This Row],[DURATION BACKET]]="10 TO 30 MINS",2,
     CALLS[[#This Row],[DURATION BACKET]]="1 TO 2 HOURS",3,
     CALLS[[#This Row],[DURATION BACKET]]="&gt; 2 HOURS",4)</f>
        <v>4</v>
      </c>
      <c r="N978">
        <f>(CALLS[[#This Row],[Purchase Amount]]/ 1)</f>
        <v>80</v>
      </c>
    </row>
    <row r="979" spans="2:14" x14ac:dyDescent="0.25">
      <c r="B979" s="22" t="s">
        <v>1013</v>
      </c>
      <c r="C979" s="4" t="s">
        <v>14</v>
      </c>
      <c r="D979" s="4">
        <v>32</v>
      </c>
      <c r="E979" s="5" t="s">
        <v>13</v>
      </c>
      <c r="F979" s="9">
        <v>45277</v>
      </c>
      <c r="G979" s="4">
        <v>148</v>
      </c>
      <c r="H979" s="23">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Row],[Duration]]&lt;=30,"10 TO 30 MINS",
     CALLS[[#This Row],[Duration]]&lt;=120,"1 TO 2 HOURS",
     TRUE,"&gt; 2 HOURS")</f>
        <v>1 TO 2 HOURS</v>
      </c>
      <c r="L979">
        <f>ROUND(CALLS[[#This Row],[Satisfaction Rating]],0)</f>
        <v>4</v>
      </c>
      <c r="M979" cm="1">
        <f t="array" ref="M979">_xlfn.IFS(CALLS[[#This Row],[DURATION BACKET]]="UNDER 10 MINS",1,
     CALLS[[#This Row],[DURATION BACKET]]="10 TO 30 MINS",2,
     CALLS[[#This Row],[DURATION BACKET]]="1 TO 2 HOURS",3,
     CALLS[[#This Row],[DURATION BACKET]]="&gt; 2 HOURS",4)</f>
        <v>3</v>
      </c>
      <c r="N979">
        <f>(CALLS[[#This Row],[Purchase Amount]]/ 1)</f>
        <v>148</v>
      </c>
    </row>
    <row r="980" spans="2:14" x14ac:dyDescent="0.25">
      <c r="B980" s="22" t="s">
        <v>1014</v>
      </c>
      <c r="C980" s="4" t="s">
        <v>23</v>
      </c>
      <c r="D980" s="4">
        <v>84</v>
      </c>
      <c r="E980" s="5" t="s">
        <v>6</v>
      </c>
      <c r="F980" s="9">
        <v>45279</v>
      </c>
      <c r="G980" s="4">
        <v>180</v>
      </c>
      <c r="H980" s="23">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Row],[Duration]]&lt;=30,"10 TO 30 MINS",
     CALLS[[#This Row],[Duration]]&lt;=120,"1 TO 2 HOURS",
     TRUE,"&gt; 2 HOURS")</f>
        <v>1 TO 2 HOURS</v>
      </c>
      <c r="L980">
        <f>ROUND(CALLS[[#This Row],[Satisfaction Rating]],0)</f>
        <v>5</v>
      </c>
      <c r="M980" cm="1">
        <f t="array" ref="M980">_xlfn.IFS(CALLS[[#This Row],[DURATION BACKET]]="UNDER 10 MINS",1,
     CALLS[[#This Row],[DURATION BACKET]]="10 TO 30 MINS",2,
     CALLS[[#This Row],[DURATION BACKET]]="1 TO 2 HOURS",3,
     CALLS[[#This Row],[DURATION BACKET]]="&gt; 2 HOURS",4)</f>
        <v>3</v>
      </c>
      <c r="N980">
        <f>(CALLS[[#This Row],[Purchase Amount]]/ 1)</f>
        <v>180</v>
      </c>
    </row>
    <row r="981" spans="2:14" x14ac:dyDescent="0.25">
      <c r="B981" s="22" t="s">
        <v>1015</v>
      </c>
      <c r="C981" s="4" t="s">
        <v>22</v>
      </c>
      <c r="D981" s="4">
        <v>120</v>
      </c>
      <c r="E981" s="5" t="s">
        <v>11</v>
      </c>
      <c r="F981" s="9">
        <v>45280</v>
      </c>
      <c r="G981" s="4">
        <v>190</v>
      </c>
      <c r="H981" s="23">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Row],[Duration]]&lt;=30,"10 TO 30 MINS",
     CALLS[[#This Row],[Duration]]&lt;=120,"1 TO 2 HOURS",
     TRUE,"&gt; 2 HOURS")</f>
        <v>1 TO 2 HOURS</v>
      </c>
      <c r="L981">
        <f>ROUND(CALLS[[#This Row],[Satisfaction Rating]],0)</f>
        <v>4</v>
      </c>
      <c r="M981" cm="1">
        <f t="array" ref="M981">_xlfn.IFS(CALLS[[#This Row],[DURATION BACKET]]="UNDER 10 MINS",1,
     CALLS[[#This Row],[DURATION BACKET]]="10 TO 30 MINS",2,
     CALLS[[#This Row],[DURATION BACKET]]="1 TO 2 HOURS",3,
     CALLS[[#This Row],[DURATION BACKET]]="&gt; 2 HOURS",4)</f>
        <v>3</v>
      </c>
      <c r="N981">
        <f>(CALLS[[#This Row],[Purchase Amount]]/ 1)</f>
        <v>190</v>
      </c>
    </row>
    <row r="982" spans="2:14" x14ac:dyDescent="0.25">
      <c r="B982" s="22" t="s">
        <v>1016</v>
      </c>
      <c r="C982" s="4" t="s">
        <v>8</v>
      </c>
      <c r="D982" s="4">
        <v>93</v>
      </c>
      <c r="E982" s="5" t="s">
        <v>13</v>
      </c>
      <c r="F982" s="9">
        <v>45280</v>
      </c>
      <c r="G982" s="4">
        <v>38</v>
      </c>
      <c r="H982" s="23">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Row],[Duration]]&lt;=30,"10 TO 30 MINS",
     CALLS[[#This Row],[Duration]]&lt;=120,"1 TO 2 HOURS",
     TRUE,"&gt; 2 HOURS")</f>
        <v>1 TO 2 HOURS</v>
      </c>
      <c r="L982">
        <f>ROUND(CALLS[[#This Row],[Satisfaction Rating]],0)</f>
        <v>5</v>
      </c>
      <c r="M982" cm="1">
        <f t="array" ref="M982">_xlfn.IFS(CALLS[[#This Row],[DURATION BACKET]]="UNDER 10 MINS",1,
     CALLS[[#This Row],[DURATION BACKET]]="10 TO 30 MINS",2,
     CALLS[[#This Row],[DURATION BACKET]]="1 TO 2 HOURS",3,
     CALLS[[#This Row],[DURATION BACKET]]="&gt; 2 HOURS",4)</f>
        <v>3</v>
      </c>
      <c r="N982">
        <f>(CALLS[[#This Row],[Purchase Amount]]/ 1)</f>
        <v>38</v>
      </c>
    </row>
    <row r="983" spans="2:14" x14ac:dyDescent="0.25">
      <c r="B983" s="22" t="s">
        <v>1017</v>
      </c>
      <c r="C983" s="4" t="s">
        <v>15</v>
      </c>
      <c r="D983" s="4">
        <v>76</v>
      </c>
      <c r="E983" s="5" t="s">
        <v>9</v>
      </c>
      <c r="F983" s="9">
        <v>45281</v>
      </c>
      <c r="G983" s="4">
        <v>82</v>
      </c>
      <c r="H983" s="2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Row],[Duration]]&lt;=30,"10 TO 30 MINS",
     CALLS[[#This Row],[Duration]]&lt;=120,"1 TO 2 HOURS",
     TRUE,"&gt; 2 HOURS")</f>
        <v>1 TO 2 HOURS</v>
      </c>
      <c r="L983">
        <f>ROUND(CALLS[[#This Row],[Satisfaction Rating]],0)</f>
        <v>2</v>
      </c>
      <c r="M983" cm="1">
        <f t="array" ref="M983">_xlfn.IFS(CALLS[[#This Row],[DURATION BACKET]]="UNDER 10 MINS",1,
     CALLS[[#This Row],[DURATION BACKET]]="10 TO 30 MINS",2,
     CALLS[[#This Row],[DURATION BACKET]]="1 TO 2 HOURS",3,
     CALLS[[#This Row],[DURATION BACKET]]="&gt; 2 HOURS",4)</f>
        <v>3</v>
      </c>
      <c r="N983">
        <f>(CALLS[[#This Row],[Purchase Amount]]/ 1)</f>
        <v>82</v>
      </c>
    </row>
    <row r="984" spans="2:14" x14ac:dyDescent="0.25">
      <c r="B984" s="22" t="s">
        <v>1018</v>
      </c>
      <c r="C984" s="4" t="s">
        <v>5</v>
      </c>
      <c r="D984" s="4">
        <v>89</v>
      </c>
      <c r="E984" s="5" t="s">
        <v>13</v>
      </c>
      <c r="F984" s="9">
        <v>45284</v>
      </c>
      <c r="G984" s="4">
        <v>88</v>
      </c>
      <c r="H984" s="23">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Row],[Duration]]&lt;=30,"10 TO 30 MINS",
     CALLS[[#This Row],[Duration]]&lt;=120,"1 TO 2 HOURS",
     TRUE,"&gt; 2 HOURS")</f>
        <v>1 TO 2 HOURS</v>
      </c>
      <c r="L984">
        <f>ROUND(CALLS[[#This Row],[Satisfaction Rating]],0)</f>
        <v>3</v>
      </c>
      <c r="M984" cm="1">
        <f t="array" ref="M984">_xlfn.IFS(CALLS[[#This Row],[DURATION BACKET]]="UNDER 10 MINS",1,
     CALLS[[#This Row],[DURATION BACKET]]="10 TO 30 MINS",2,
     CALLS[[#This Row],[DURATION BACKET]]="1 TO 2 HOURS",3,
     CALLS[[#This Row],[DURATION BACKET]]="&gt; 2 HOURS",4)</f>
        <v>3</v>
      </c>
      <c r="N984">
        <f>(CALLS[[#This Row],[Purchase Amount]]/ 1)</f>
        <v>88</v>
      </c>
    </row>
    <row r="985" spans="2:14" x14ac:dyDescent="0.25">
      <c r="B985" s="22" t="s">
        <v>1019</v>
      </c>
      <c r="C985" s="4" t="s">
        <v>21</v>
      </c>
      <c r="D985" s="4">
        <v>91</v>
      </c>
      <c r="E985" s="5" t="s">
        <v>6</v>
      </c>
      <c r="F985" s="9">
        <v>45284</v>
      </c>
      <c r="G985" s="4">
        <v>42</v>
      </c>
      <c r="H985" s="23">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Row],[Duration]]&lt;=30,"10 TO 30 MINS",
     CALLS[[#This Row],[Duration]]&lt;=120,"1 TO 2 HOURS",
     TRUE,"&gt; 2 HOURS")</f>
        <v>1 TO 2 HOURS</v>
      </c>
      <c r="L985">
        <f>ROUND(CALLS[[#This Row],[Satisfaction Rating]],0)</f>
        <v>4</v>
      </c>
      <c r="M985" cm="1">
        <f t="array" ref="M985">_xlfn.IFS(CALLS[[#This Row],[DURATION BACKET]]="UNDER 10 MINS",1,
     CALLS[[#This Row],[DURATION BACKET]]="10 TO 30 MINS",2,
     CALLS[[#This Row],[DURATION BACKET]]="1 TO 2 HOURS",3,
     CALLS[[#This Row],[DURATION BACKET]]="&gt; 2 HOURS",4)</f>
        <v>3</v>
      </c>
      <c r="N985">
        <f>(CALLS[[#This Row],[Purchase Amount]]/ 1)</f>
        <v>42</v>
      </c>
    </row>
    <row r="986" spans="2:14" x14ac:dyDescent="0.25">
      <c r="B986" s="22" t="s">
        <v>1020</v>
      </c>
      <c r="C986" s="4" t="s">
        <v>7</v>
      </c>
      <c r="D986" s="4">
        <v>7</v>
      </c>
      <c r="E986" s="5" t="s">
        <v>10</v>
      </c>
      <c r="F986" s="9">
        <v>45285</v>
      </c>
      <c r="G986" s="4">
        <v>64</v>
      </c>
      <c r="H986" s="23">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Row],[Duration]]&lt;=30,"10 TO 30 MINS",
     CALLS[[#This Row],[Duration]]&lt;=120,"1 TO 2 HOURS",
     TRUE,"&gt; 2 HOURS")</f>
        <v>UNDER 10 MINS</v>
      </c>
      <c r="L986">
        <f>ROUND(CALLS[[#This Row],[Satisfaction Rating]],0)</f>
        <v>3</v>
      </c>
      <c r="M986" cm="1">
        <f t="array" ref="M986">_xlfn.IFS(CALLS[[#This Row],[DURATION BACKET]]="UNDER 10 MINS",1,
     CALLS[[#This Row],[DURATION BACKET]]="10 TO 30 MINS",2,
     CALLS[[#This Row],[DURATION BACKET]]="1 TO 2 HOURS",3,
     CALLS[[#This Row],[DURATION BACKET]]="&gt; 2 HOURS",4)</f>
        <v>1</v>
      </c>
      <c r="N986">
        <f>(CALLS[[#This Row],[Purchase Amount]]/ 1)</f>
        <v>64</v>
      </c>
    </row>
    <row r="987" spans="2:14" x14ac:dyDescent="0.25">
      <c r="B987" s="22" t="s">
        <v>1021</v>
      </c>
      <c r="C987" s="4" t="s">
        <v>14</v>
      </c>
      <c r="D987" s="4">
        <v>140</v>
      </c>
      <c r="E987" s="5" t="s">
        <v>10</v>
      </c>
      <c r="F987" s="9">
        <v>45285</v>
      </c>
      <c r="G987" s="4">
        <v>105</v>
      </c>
      <c r="H987" s="23">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Row],[Duration]]&lt;=30,"10 TO 30 MINS",
     CALLS[[#This Row],[Duration]]&lt;=120,"1 TO 2 HOURS",
     TRUE,"&gt; 2 HOURS")</f>
        <v>&gt; 2 HOURS</v>
      </c>
      <c r="L987">
        <f>ROUND(CALLS[[#This Row],[Satisfaction Rating]],0)</f>
        <v>2</v>
      </c>
      <c r="M987" cm="1">
        <f t="array" ref="M987">_xlfn.IFS(CALLS[[#This Row],[DURATION BACKET]]="UNDER 10 MINS",1,
     CALLS[[#This Row],[DURATION BACKET]]="10 TO 30 MINS",2,
     CALLS[[#This Row],[DURATION BACKET]]="1 TO 2 HOURS",3,
     CALLS[[#This Row],[DURATION BACKET]]="&gt; 2 HOURS",4)</f>
        <v>4</v>
      </c>
      <c r="N987">
        <f>(CALLS[[#This Row],[Purchase Amount]]/ 1)</f>
        <v>105</v>
      </c>
    </row>
    <row r="988" spans="2:14" x14ac:dyDescent="0.25">
      <c r="B988" s="22" t="s">
        <v>1022</v>
      </c>
      <c r="C988" s="4" t="s">
        <v>12</v>
      </c>
      <c r="D988" s="4">
        <v>58</v>
      </c>
      <c r="E988" s="5" t="s">
        <v>11</v>
      </c>
      <c r="F988" s="9">
        <v>45285</v>
      </c>
      <c r="G988" s="4">
        <v>25</v>
      </c>
      <c r="H988" s="23">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Row],[Duration]]&lt;=30,"10 TO 30 MINS",
     CALLS[[#This Row],[Duration]]&lt;=120,"1 TO 2 HOURS",
     TRUE,"&gt; 2 HOURS")</f>
        <v>1 TO 2 HOURS</v>
      </c>
      <c r="L988">
        <f>ROUND(CALLS[[#This Row],[Satisfaction Rating]],0)</f>
        <v>4</v>
      </c>
      <c r="M988" cm="1">
        <f t="array" ref="M988">_xlfn.IFS(CALLS[[#This Row],[DURATION BACKET]]="UNDER 10 MINS",1,
     CALLS[[#This Row],[DURATION BACKET]]="10 TO 30 MINS",2,
     CALLS[[#This Row],[DURATION BACKET]]="1 TO 2 HOURS",3,
     CALLS[[#This Row],[DURATION BACKET]]="&gt; 2 HOURS",4)</f>
        <v>3</v>
      </c>
      <c r="N988">
        <f>(CALLS[[#This Row],[Purchase Amount]]/ 1)</f>
        <v>25</v>
      </c>
    </row>
    <row r="989" spans="2:14" x14ac:dyDescent="0.25">
      <c r="B989" s="22" t="s">
        <v>1023</v>
      </c>
      <c r="C989" s="4" t="s">
        <v>20</v>
      </c>
      <c r="D989" s="4">
        <v>90</v>
      </c>
      <c r="E989" s="5" t="s">
        <v>9</v>
      </c>
      <c r="F989" s="9">
        <v>45286</v>
      </c>
      <c r="G989" s="4">
        <v>176</v>
      </c>
      <c r="H989" s="23">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Row],[Duration]]&lt;=30,"10 TO 30 MINS",
     CALLS[[#This Row],[Duration]]&lt;=120,"1 TO 2 HOURS",
     TRUE,"&gt; 2 HOURS")</f>
        <v>1 TO 2 HOURS</v>
      </c>
      <c r="L989">
        <f>ROUND(CALLS[[#This Row],[Satisfaction Rating]],0)</f>
        <v>4</v>
      </c>
      <c r="M989" cm="1">
        <f t="array" ref="M989">_xlfn.IFS(CALLS[[#This Row],[DURATION BACKET]]="UNDER 10 MINS",1,
     CALLS[[#This Row],[DURATION BACKET]]="10 TO 30 MINS",2,
     CALLS[[#This Row],[DURATION BACKET]]="1 TO 2 HOURS",3,
     CALLS[[#This Row],[DURATION BACKET]]="&gt; 2 HOURS",4)</f>
        <v>3</v>
      </c>
      <c r="N989">
        <f>(CALLS[[#This Row],[Purchase Amount]]/ 1)</f>
        <v>176</v>
      </c>
    </row>
    <row r="990" spans="2:14" x14ac:dyDescent="0.25">
      <c r="B990" s="22" t="s">
        <v>1024</v>
      </c>
      <c r="C990" s="4" t="s">
        <v>20</v>
      </c>
      <c r="D990" s="4">
        <v>106</v>
      </c>
      <c r="E990" s="5" t="s">
        <v>13</v>
      </c>
      <c r="F990" s="9">
        <v>45287</v>
      </c>
      <c r="G990" s="4">
        <v>46</v>
      </c>
      <c r="H990" s="23">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Row],[Duration]]&lt;=30,"10 TO 30 MINS",
     CALLS[[#This Row],[Duration]]&lt;=120,"1 TO 2 HOURS",
     TRUE,"&gt; 2 HOURS")</f>
        <v>1 TO 2 HOURS</v>
      </c>
      <c r="L990">
        <f>ROUND(CALLS[[#This Row],[Satisfaction Rating]],0)</f>
        <v>5</v>
      </c>
      <c r="M990" cm="1">
        <f t="array" ref="M990">_xlfn.IFS(CALLS[[#This Row],[DURATION BACKET]]="UNDER 10 MINS",1,
     CALLS[[#This Row],[DURATION BACKET]]="10 TO 30 MINS",2,
     CALLS[[#This Row],[DURATION BACKET]]="1 TO 2 HOURS",3,
     CALLS[[#This Row],[DURATION BACKET]]="&gt; 2 HOURS",4)</f>
        <v>3</v>
      </c>
      <c r="N990">
        <f>(CALLS[[#This Row],[Purchase Amount]]/ 1)</f>
        <v>46</v>
      </c>
    </row>
    <row r="991" spans="2:14" x14ac:dyDescent="0.25">
      <c r="B991" s="22" t="s">
        <v>1025</v>
      </c>
      <c r="C991" s="4" t="s">
        <v>22</v>
      </c>
      <c r="D991" s="4">
        <v>72</v>
      </c>
      <c r="E991" s="5" t="s">
        <v>10</v>
      </c>
      <c r="F991" s="9">
        <v>45287</v>
      </c>
      <c r="G991" s="4">
        <v>164</v>
      </c>
      <c r="H991" s="23">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Row],[Duration]]&lt;=30,"10 TO 30 MINS",
     CALLS[[#This Row],[Duration]]&lt;=120,"1 TO 2 HOURS",
     TRUE,"&gt; 2 HOURS")</f>
        <v>1 TO 2 HOURS</v>
      </c>
      <c r="L991">
        <f>ROUND(CALLS[[#This Row],[Satisfaction Rating]],0)</f>
        <v>5</v>
      </c>
      <c r="M991" cm="1">
        <f t="array" ref="M991">_xlfn.IFS(CALLS[[#This Row],[DURATION BACKET]]="UNDER 10 MINS",1,
     CALLS[[#This Row],[DURATION BACKET]]="10 TO 30 MINS",2,
     CALLS[[#This Row],[DURATION BACKET]]="1 TO 2 HOURS",3,
     CALLS[[#This Row],[DURATION BACKET]]="&gt; 2 HOURS",4)</f>
        <v>3</v>
      </c>
      <c r="N991">
        <f>(CALLS[[#This Row],[Purchase Amount]]/ 1)</f>
        <v>164</v>
      </c>
    </row>
    <row r="992" spans="2:14" x14ac:dyDescent="0.25">
      <c r="B992" s="22" t="s">
        <v>1026</v>
      </c>
      <c r="C992" s="4" t="s">
        <v>7</v>
      </c>
      <c r="D992" s="4">
        <v>124</v>
      </c>
      <c r="E992" s="5" t="s">
        <v>10</v>
      </c>
      <c r="F992" s="9">
        <v>45288</v>
      </c>
      <c r="G992" s="4">
        <v>64</v>
      </c>
      <c r="H992" s="23">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Row],[Duration]]&lt;=30,"10 TO 30 MINS",
     CALLS[[#This Row],[Duration]]&lt;=120,"1 TO 2 HOURS",
     TRUE,"&gt; 2 HOURS")</f>
        <v>&gt; 2 HOURS</v>
      </c>
      <c r="L992">
        <f>ROUND(CALLS[[#This Row],[Satisfaction Rating]],0)</f>
        <v>5</v>
      </c>
      <c r="M992" cm="1">
        <f t="array" ref="M992">_xlfn.IFS(CALLS[[#This Row],[DURATION BACKET]]="UNDER 10 MINS",1,
     CALLS[[#This Row],[DURATION BACKET]]="10 TO 30 MINS",2,
     CALLS[[#This Row],[DURATION BACKET]]="1 TO 2 HOURS",3,
     CALLS[[#This Row],[DURATION BACKET]]="&gt; 2 HOURS",4)</f>
        <v>4</v>
      </c>
      <c r="N992">
        <f>(CALLS[[#This Row],[Purchase Amount]]/ 1)</f>
        <v>64</v>
      </c>
    </row>
    <row r="993" spans="2:14" x14ac:dyDescent="0.25">
      <c r="B993" s="22" t="s">
        <v>1027</v>
      </c>
      <c r="C993" s="4" t="s">
        <v>24</v>
      </c>
      <c r="D993" s="4">
        <v>86</v>
      </c>
      <c r="E993" s="5" t="s">
        <v>6</v>
      </c>
      <c r="F993" s="9">
        <v>45288</v>
      </c>
      <c r="G993" s="4">
        <v>205</v>
      </c>
      <c r="H993" s="2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Row],[Duration]]&lt;=30,"10 TO 30 MINS",
     CALLS[[#This Row],[Duration]]&lt;=120,"1 TO 2 HOURS",
     TRUE,"&gt; 2 HOURS")</f>
        <v>1 TO 2 HOURS</v>
      </c>
      <c r="L993">
        <f>ROUND(CALLS[[#This Row],[Satisfaction Rating]],0)</f>
        <v>5</v>
      </c>
      <c r="M993" cm="1">
        <f t="array" ref="M993">_xlfn.IFS(CALLS[[#This Row],[DURATION BACKET]]="UNDER 10 MINS",1,
     CALLS[[#This Row],[DURATION BACKET]]="10 TO 30 MINS",2,
     CALLS[[#This Row],[DURATION BACKET]]="1 TO 2 HOURS",3,
     CALLS[[#This Row],[DURATION BACKET]]="&gt; 2 HOURS",4)</f>
        <v>3</v>
      </c>
      <c r="N993">
        <f>(CALLS[[#This Row],[Purchase Amount]]/ 1)</f>
        <v>205</v>
      </c>
    </row>
    <row r="994" spans="2:14" x14ac:dyDescent="0.25">
      <c r="B994" s="22" t="s">
        <v>1028</v>
      </c>
      <c r="C994" s="4" t="s">
        <v>23</v>
      </c>
      <c r="D994" s="4">
        <v>164</v>
      </c>
      <c r="E994" s="5" t="s">
        <v>6</v>
      </c>
      <c r="F994" s="9">
        <v>45289</v>
      </c>
      <c r="G994" s="4">
        <v>100</v>
      </c>
      <c r="H994" s="23">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Row],[Duration]]&lt;=30,"10 TO 30 MINS",
     CALLS[[#This Row],[Duration]]&lt;=120,"1 TO 2 HOURS",
     TRUE,"&gt; 2 HOURS")</f>
        <v>&gt; 2 HOURS</v>
      </c>
      <c r="L994">
        <f>ROUND(CALLS[[#This Row],[Satisfaction Rating]],0)</f>
        <v>5</v>
      </c>
      <c r="M994" cm="1">
        <f t="array" ref="M994">_xlfn.IFS(CALLS[[#This Row],[DURATION BACKET]]="UNDER 10 MINS",1,
     CALLS[[#This Row],[DURATION BACKET]]="10 TO 30 MINS",2,
     CALLS[[#This Row],[DURATION BACKET]]="1 TO 2 HOURS",3,
     CALLS[[#This Row],[DURATION BACKET]]="&gt; 2 HOURS",4)</f>
        <v>4</v>
      </c>
      <c r="N994">
        <f>(CALLS[[#This Row],[Purchase Amount]]/ 1)</f>
        <v>100</v>
      </c>
    </row>
    <row r="995" spans="2:14" x14ac:dyDescent="0.25">
      <c r="B995" s="22" t="s">
        <v>1029</v>
      </c>
      <c r="C995" s="4" t="s">
        <v>8</v>
      </c>
      <c r="D995" s="4">
        <v>40</v>
      </c>
      <c r="E995" s="5" t="s">
        <v>9</v>
      </c>
      <c r="F995" s="9">
        <v>45289</v>
      </c>
      <c r="G995" s="4">
        <v>111</v>
      </c>
      <c r="H995" s="23">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Row],[Duration]]&lt;=30,"10 TO 30 MINS",
     CALLS[[#This Row],[Duration]]&lt;=120,"1 TO 2 HOURS",
     TRUE,"&gt; 2 HOURS")</f>
        <v>1 TO 2 HOURS</v>
      </c>
      <c r="L995">
        <f>ROUND(CALLS[[#This Row],[Satisfaction Rating]],0)</f>
        <v>5</v>
      </c>
      <c r="M995" cm="1">
        <f t="array" ref="M995">_xlfn.IFS(CALLS[[#This Row],[DURATION BACKET]]="UNDER 10 MINS",1,
     CALLS[[#This Row],[DURATION BACKET]]="10 TO 30 MINS",2,
     CALLS[[#This Row],[DURATION BACKET]]="1 TO 2 HOURS",3,
     CALLS[[#This Row],[DURATION BACKET]]="&gt; 2 HOURS",4)</f>
        <v>3</v>
      </c>
      <c r="N995">
        <f>(CALLS[[#This Row],[Purchase Amount]]/ 1)</f>
        <v>111</v>
      </c>
    </row>
    <row r="996" spans="2:14" x14ac:dyDescent="0.25">
      <c r="B996" s="22" t="s">
        <v>1030</v>
      </c>
      <c r="C996" s="4" t="s">
        <v>21</v>
      </c>
      <c r="D996" s="4">
        <v>76</v>
      </c>
      <c r="E996" s="5" t="s">
        <v>11</v>
      </c>
      <c r="F996" s="9">
        <v>45289</v>
      </c>
      <c r="G996" s="4">
        <v>80</v>
      </c>
      <c r="H996" s="23">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Row],[Duration]]&lt;=30,"10 TO 30 MINS",
     CALLS[[#This Row],[Duration]]&lt;=120,"1 TO 2 HOURS",
     TRUE,"&gt; 2 HOURS")</f>
        <v>1 TO 2 HOURS</v>
      </c>
      <c r="L996">
        <f>ROUND(CALLS[[#This Row],[Satisfaction Rating]],0)</f>
        <v>4</v>
      </c>
      <c r="M996" cm="1">
        <f t="array" ref="M996">_xlfn.IFS(CALLS[[#This Row],[DURATION BACKET]]="UNDER 10 MINS",1,
     CALLS[[#This Row],[DURATION BACKET]]="10 TO 30 MINS",2,
     CALLS[[#This Row],[DURATION BACKET]]="1 TO 2 HOURS",3,
     CALLS[[#This Row],[DURATION BACKET]]="&gt; 2 HOURS",4)</f>
        <v>3</v>
      </c>
      <c r="N996">
        <f>(CALLS[[#This Row],[Purchase Amount]]/ 1)</f>
        <v>80</v>
      </c>
    </row>
    <row r="997" spans="2:14" x14ac:dyDescent="0.25">
      <c r="B997" s="22" t="s">
        <v>1031</v>
      </c>
      <c r="C997" s="4" t="s">
        <v>7</v>
      </c>
      <c r="D997" s="4">
        <v>95</v>
      </c>
      <c r="E997" s="5" t="s">
        <v>13</v>
      </c>
      <c r="F997" s="9">
        <v>45289</v>
      </c>
      <c r="G997" s="4">
        <v>50</v>
      </c>
      <c r="H997" s="23">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Row],[Duration]]&lt;=30,"10 TO 30 MINS",
     CALLS[[#This Row],[Duration]]&lt;=120,"1 TO 2 HOURS",
     TRUE,"&gt; 2 HOURS")</f>
        <v>1 TO 2 HOURS</v>
      </c>
      <c r="L997">
        <f>ROUND(CALLS[[#This Row],[Satisfaction Rating]],0)</f>
        <v>3</v>
      </c>
      <c r="M997" cm="1">
        <f t="array" ref="M997">_xlfn.IFS(CALLS[[#This Row],[DURATION BACKET]]="UNDER 10 MINS",1,
     CALLS[[#This Row],[DURATION BACKET]]="10 TO 30 MINS",2,
     CALLS[[#This Row],[DURATION BACKET]]="1 TO 2 HOURS",3,
     CALLS[[#This Row],[DURATION BACKET]]="&gt; 2 HOURS",4)</f>
        <v>3</v>
      </c>
      <c r="N997">
        <f>(CALLS[[#This Row],[Purchase Amount]]/ 1)</f>
        <v>50</v>
      </c>
    </row>
    <row r="998" spans="2:14" x14ac:dyDescent="0.25">
      <c r="B998" s="22" t="s">
        <v>1032</v>
      </c>
      <c r="C998" s="4" t="s">
        <v>21</v>
      </c>
      <c r="D998" s="4">
        <v>113</v>
      </c>
      <c r="E998" s="5" t="s">
        <v>10</v>
      </c>
      <c r="F998" s="9">
        <v>45290</v>
      </c>
      <c r="G998" s="4">
        <v>165</v>
      </c>
      <c r="H998" s="23">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Row],[Duration]]&lt;=30,"10 TO 30 MINS",
     CALLS[[#This Row],[Duration]]&lt;=120,"1 TO 2 HOURS",
     TRUE,"&gt; 2 HOURS")</f>
        <v>1 TO 2 HOURS</v>
      </c>
      <c r="L998">
        <f>ROUND(CALLS[[#This Row],[Satisfaction Rating]],0)</f>
        <v>5</v>
      </c>
      <c r="M998" cm="1">
        <f t="array" ref="M998">_xlfn.IFS(CALLS[[#This Row],[DURATION BACKET]]="UNDER 10 MINS",1,
     CALLS[[#This Row],[DURATION BACKET]]="10 TO 30 MINS",2,
     CALLS[[#This Row],[DURATION BACKET]]="1 TO 2 HOURS",3,
     CALLS[[#This Row],[DURATION BACKET]]="&gt; 2 HOURS",4)</f>
        <v>3</v>
      </c>
      <c r="N998">
        <f>(CALLS[[#This Row],[Purchase Amount]]/ 1)</f>
        <v>165</v>
      </c>
    </row>
    <row r="999" spans="2:14" x14ac:dyDescent="0.25">
      <c r="B999" s="22" t="s">
        <v>1033</v>
      </c>
      <c r="C999" s="4" t="s">
        <v>24</v>
      </c>
      <c r="D999" s="4">
        <v>81</v>
      </c>
      <c r="E999" s="5" t="s">
        <v>10</v>
      </c>
      <c r="F999" s="9">
        <v>45290</v>
      </c>
      <c r="G999" s="4">
        <v>28</v>
      </c>
      <c r="H999" s="23">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Row],[Duration]]&lt;=30,"10 TO 30 MINS",
     CALLS[[#This Row],[Duration]]&lt;=120,"1 TO 2 HOURS",
     TRUE,"&gt; 2 HOURS")</f>
        <v>1 TO 2 HOURS</v>
      </c>
      <c r="L999">
        <f>ROUND(CALLS[[#This Row],[Satisfaction Rating]],0)</f>
        <v>4</v>
      </c>
      <c r="M999" cm="1">
        <f t="array" ref="M999">_xlfn.IFS(CALLS[[#This Row],[DURATION BACKET]]="UNDER 10 MINS",1,
     CALLS[[#This Row],[DURATION BACKET]]="10 TO 30 MINS",2,
     CALLS[[#This Row],[DURATION BACKET]]="1 TO 2 HOURS",3,
     CALLS[[#This Row],[DURATION BACKET]]="&gt; 2 HOURS",4)</f>
        <v>3</v>
      </c>
      <c r="N999">
        <f>(CALLS[[#This Row],[Purchase Amount]]/ 1)</f>
        <v>28</v>
      </c>
    </row>
    <row r="1000" spans="2:14" x14ac:dyDescent="0.25">
      <c r="B1000" s="22" t="s">
        <v>1034</v>
      </c>
      <c r="C1000" s="4" t="s">
        <v>15</v>
      </c>
      <c r="D1000" s="4">
        <v>127</v>
      </c>
      <c r="E1000" s="5" t="s">
        <v>13</v>
      </c>
      <c r="F1000" s="9">
        <v>45290</v>
      </c>
      <c r="G1000" s="4">
        <v>215</v>
      </c>
      <c r="H1000" s="23">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Row],[Duration]]&lt;=30,"10 TO 30 MINS",
     CALLS[[#This Row],[Duration]]&lt;=120,"1 TO 2 HOURS",
     TRUE,"&gt; 2 HOURS")</f>
        <v>&gt; 2 HOURS</v>
      </c>
      <c r="L1000">
        <f>ROUND(CALLS[[#This Row],[Satisfaction Rating]],0)</f>
        <v>4</v>
      </c>
      <c r="M1000" cm="1">
        <f t="array" ref="M1000">_xlfn.IFS(CALLS[[#This Row],[DURATION BACKET]]="UNDER 10 MINS",1,
     CALLS[[#This Row],[DURATION BACKET]]="10 TO 30 MINS",2,
     CALLS[[#This Row],[DURATION BACKET]]="1 TO 2 HOURS",3,
     CALLS[[#This Row],[DURATION BACKET]]="&gt; 2 HOURS",4)</f>
        <v>4</v>
      </c>
      <c r="N1000">
        <f>(CALLS[[#This Row],[Purchase Amount]]/ 1)</f>
        <v>215</v>
      </c>
    </row>
    <row r="1001" spans="2:14" x14ac:dyDescent="0.25">
      <c r="B1001" s="22" t="s">
        <v>1035</v>
      </c>
      <c r="C1001" s="4" t="s">
        <v>14</v>
      </c>
      <c r="D1001" s="4">
        <v>146</v>
      </c>
      <c r="E1001" s="5" t="s">
        <v>10</v>
      </c>
      <c r="F1001" s="9">
        <v>45291</v>
      </c>
      <c r="G1001" s="4">
        <v>115</v>
      </c>
      <c r="H1001" s="23">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Row],[Duration]]&lt;=30,"10 TO 30 MINS",
     CALLS[[#This Row],[Duration]]&lt;=120,"1 TO 2 HOURS",
     TRUE,"&gt; 2 HOURS")</f>
        <v>&gt; 2 HOURS</v>
      </c>
      <c r="L1001">
        <f>ROUND(CALLS[[#This Row],[Satisfaction Rating]],0)</f>
        <v>2</v>
      </c>
      <c r="M1001" cm="1">
        <f t="array" ref="M1001">_xlfn.IFS(CALLS[[#This Row],[DURATION BACKET]]="UNDER 10 MINS",1,
     CALLS[[#This Row],[DURATION BACKET]]="10 TO 30 MINS",2,
     CALLS[[#This Row],[DURATION BACKET]]="1 TO 2 HOURS",3,
     CALLS[[#This Row],[DURATION BACKET]]="&gt; 2 HOURS",4)</f>
        <v>4</v>
      </c>
      <c r="N1001">
        <f>(CALLS[[#This Row],[Purchase Amount]]/ 1)</f>
        <v>115</v>
      </c>
    </row>
    <row r="1002" spans="2:14" x14ac:dyDescent="0.25">
      <c r="B1002" s="22" t="s">
        <v>1036</v>
      </c>
      <c r="C1002" s="4" t="s">
        <v>18</v>
      </c>
      <c r="D1002" s="4">
        <v>123</v>
      </c>
      <c r="E1002" s="5" t="s">
        <v>10</v>
      </c>
      <c r="F1002" s="9">
        <v>45291</v>
      </c>
      <c r="G1002" s="4">
        <v>64</v>
      </c>
      <c r="H1002" s="23">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Row],[Duration]]&lt;=30,"10 TO 30 MINS",
     CALLS[[#This Row],[Duration]]&lt;=120,"1 TO 2 HOURS",
     TRUE,"&gt; 2 HOURS")</f>
        <v>&gt; 2 HOURS</v>
      </c>
      <c r="L1002">
        <f>ROUND(CALLS[[#This Row],[Satisfaction Rating]],0)</f>
        <v>4</v>
      </c>
      <c r="M1002" cm="1">
        <f t="array" ref="M1002">_xlfn.IFS(CALLS[[#This Row],[DURATION BACKET]]="UNDER 10 MINS",1,
     CALLS[[#This Row],[DURATION BACKET]]="10 TO 30 MINS",2,
     CALLS[[#This Row],[DURATION BACKET]]="1 TO 2 HOURS",3,
     CALLS[[#This Row],[DURATION BACKET]]="&gt; 2 HOURS",4)</f>
        <v>4</v>
      </c>
      <c r="N1002">
        <f>(CALLS[[#This Row],[Purchase Amount]]/ 1)</f>
        <v>64</v>
      </c>
    </row>
    <row r="1003" spans="2:14" x14ac:dyDescent="0.25">
      <c r="B1003" s="29" t="s">
        <v>1037</v>
      </c>
      <c r="C1003" s="30" t="s">
        <v>22</v>
      </c>
      <c r="D1003" s="30">
        <v>114</v>
      </c>
      <c r="E1003" s="31" t="s">
        <v>11</v>
      </c>
      <c r="F1003" s="32">
        <v>45291</v>
      </c>
      <c r="G1003" s="30">
        <v>40</v>
      </c>
      <c r="H1003" s="3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Row],[Duration]]&lt;=30,"10 TO 30 MINS",
     CALLS[[#This Row],[Duration]]&lt;=120,"1 TO 2 HOURS",
     TRUE,"&gt; 2 HOURS")</f>
        <v>1 TO 2 HOURS</v>
      </c>
      <c r="L1003">
        <f>ROUND(CALLS[[#This Row],[Satisfaction Rating]],0)</f>
        <v>4</v>
      </c>
      <c r="M1003" cm="1">
        <f t="array" ref="M1003">_xlfn.IFS(CALLS[[#This Row],[DURATION BACKET]]="UNDER 10 MINS",1,
     CALLS[[#This Row],[DURATION BACKET]]="10 TO 30 MINS",2,
     CALLS[[#This Row],[DURATION BACKET]]="1 TO 2 HOURS",3,
     CALLS[[#This Row],[DURATION BACKET]]="&gt; 2 HOURS",4)</f>
        <v>3</v>
      </c>
      <c r="N1003">
        <f>(CALLS[[#This Row],[Purchase Amount]]/ 1)</f>
        <v>40</v>
      </c>
    </row>
  </sheetData>
  <phoneticPr fontId="3" type="noConversion"/>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2B701-0F8A-478F-8592-38CEAA8EB52A}">
  <dimension ref="A1"/>
  <sheetViews>
    <sheetView zoomScale="80" workbookViewId="0">
      <selection activeCell="H12" sqref="H12"/>
    </sheetView>
  </sheetViews>
  <sheetFormatPr defaultRowHeight="13.8" x14ac:dyDescent="0.25"/>
  <cols>
    <col min="6" max="6" width="15.3984375" customWidth="1"/>
  </cols>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0284-CFCE-49E9-B1B8-266DC6B44B67}">
  <dimension ref="A1:BQ110"/>
  <sheetViews>
    <sheetView showGridLines="0" showRowColHeaders="0" tabSelected="1" zoomScale="32" zoomScaleNormal="33" workbookViewId="0">
      <selection activeCell="AO14" sqref="AO14"/>
    </sheetView>
  </sheetViews>
  <sheetFormatPr defaultRowHeight="13.8" x14ac:dyDescent="0.25"/>
  <cols>
    <col min="23" max="23" width="19.3984375" customWidth="1"/>
    <col min="24" max="24" width="15.796875" customWidth="1"/>
    <col min="25" max="25" width="13.5" customWidth="1"/>
    <col min="26" max="27" width="13.69921875" customWidth="1"/>
    <col min="28" max="28" width="13.19921875" customWidth="1"/>
  </cols>
  <sheetData>
    <row r="1" spans="1:69" x14ac:dyDescent="0.25">
      <c r="AI1" s="44"/>
      <c r="AJ1" s="44"/>
      <c r="AK1" s="44"/>
      <c r="AL1" s="44"/>
      <c r="AM1" s="44"/>
    </row>
    <row r="2" spans="1:69" x14ac:dyDescent="0.25">
      <c r="A2" s="51"/>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row>
    <row r="3" spans="1:69" ht="13.8" customHeight="1" x14ac:dyDescent="0.25">
      <c r="A3" s="51"/>
      <c r="B3" s="51"/>
      <c r="C3" s="51"/>
      <c r="D3" s="51"/>
      <c r="E3" s="51"/>
      <c r="F3" s="51"/>
      <c r="G3" s="51"/>
      <c r="H3" s="51"/>
      <c r="I3" s="51"/>
      <c r="J3" s="51"/>
      <c r="K3" s="51"/>
      <c r="L3" s="61" t="s">
        <v>1134</v>
      </c>
      <c r="M3" s="61"/>
      <c r="N3" s="61"/>
      <c r="O3" s="61"/>
      <c r="P3" s="61"/>
      <c r="Q3" s="61"/>
      <c r="R3" s="61"/>
      <c r="S3" s="61"/>
      <c r="T3" s="61"/>
      <c r="U3" s="61"/>
      <c r="V3" s="61"/>
      <c r="W3" s="61"/>
      <c r="X3" s="61"/>
      <c r="Y3" s="61"/>
      <c r="Z3" s="61"/>
      <c r="AA3" s="6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row>
    <row r="4" spans="1:69" ht="13.8" customHeight="1" x14ac:dyDescent="0.25">
      <c r="A4" s="51"/>
      <c r="B4" s="51"/>
      <c r="C4" s="51"/>
      <c r="D4" s="51"/>
      <c r="E4" s="51"/>
      <c r="F4" s="51"/>
      <c r="G4" s="51"/>
      <c r="H4" s="51"/>
      <c r="I4" s="51"/>
      <c r="J4" s="51"/>
      <c r="K4" s="51"/>
      <c r="L4" s="61"/>
      <c r="M4" s="61"/>
      <c r="N4" s="61"/>
      <c r="O4" s="61"/>
      <c r="P4" s="61"/>
      <c r="Q4" s="61"/>
      <c r="R4" s="61"/>
      <c r="S4" s="61"/>
      <c r="T4" s="61"/>
      <c r="U4" s="61"/>
      <c r="V4" s="61"/>
      <c r="W4" s="61"/>
      <c r="X4" s="61"/>
      <c r="Y4" s="61"/>
      <c r="Z4" s="61"/>
      <c r="AA4" s="6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row>
    <row r="5" spans="1:69" ht="44.4" customHeight="1" x14ac:dyDescent="0.25">
      <c r="A5" s="51"/>
      <c r="B5" s="51"/>
      <c r="C5" s="51"/>
      <c r="D5" s="51"/>
      <c r="E5" s="51"/>
      <c r="F5" s="51"/>
      <c r="G5" s="51"/>
      <c r="H5" s="51"/>
      <c r="I5" s="51"/>
      <c r="J5" s="51"/>
      <c r="K5" s="51"/>
      <c r="L5" s="61"/>
      <c r="M5" s="61"/>
      <c r="N5" s="61"/>
      <c r="O5" s="61"/>
      <c r="P5" s="61"/>
      <c r="Q5" s="61"/>
      <c r="R5" s="61"/>
      <c r="S5" s="61"/>
      <c r="T5" s="61"/>
      <c r="U5" s="61"/>
      <c r="V5" s="61"/>
      <c r="W5" s="61"/>
      <c r="X5" s="61"/>
      <c r="Y5" s="61"/>
      <c r="Z5" s="61"/>
      <c r="AA5" s="6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row>
    <row r="6" spans="1:69" ht="44.4" customHeight="1" x14ac:dyDescent="0.25">
      <c r="A6" s="51"/>
      <c r="B6" s="51"/>
      <c r="C6" s="51"/>
      <c r="D6" s="51"/>
      <c r="E6" s="51"/>
      <c r="F6" s="51"/>
      <c r="G6" s="51"/>
      <c r="H6" s="51"/>
      <c r="I6" s="51"/>
      <c r="J6" s="51"/>
      <c r="K6" s="51"/>
      <c r="L6" s="61"/>
      <c r="M6" s="61"/>
      <c r="N6" s="61"/>
      <c r="O6" s="61"/>
      <c r="P6" s="61"/>
      <c r="Q6" s="61"/>
      <c r="R6" s="61"/>
      <c r="S6" s="61"/>
      <c r="T6" s="61"/>
      <c r="U6" s="61"/>
      <c r="V6" s="61"/>
      <c r="W6" s="61"/>
      <c r="X6" s="61"/>
      <c r="Y6" s="61"/>
      <c r="Z6" s="61"/>
      <c r="AA6" s="61"/>
      <c r="AB6" s="51"/>
      <c r="AC6" s="51"/>
      <c r="AD6" s="52"/>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row>
    <row r="7" spans="1:69" x14ac:dyDescent="0.25">
      <c r="A7" s="51"/>
      <c r="B7" s="51"/>
      <c r="C7" s="51"/>
      <c r="D7" s="51"/>
      <c r="E7" s="51"/>
      <c r="F7" s="51"/>
      <c r="G7" s="51"/>
      <c r="H7" s="51"/>
      <c r="I7" s="51"/>
      <c r="J7" s="51"/>
      <c r="K7" s="51"/>
      <c r="L7" s="51"/>
      <c r="M7" s="51"/>
      <c r="N7" s="53"/>
      <c r="O7" s="53"/>
      <c r="P7" s="53"/>
      <c r="Q7" s="53"/>
      <c r="R7" s="53"/>
      <c r="S7" s="53"/>
      <c r="T7" s="53"/>
      <c r="U7" s="53"/>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row>
    <row r="8" spans="1:69" x14ac:dyDescent="0.25">
      <c r="A8" s="51"/>
      <c r="B8" s="51"/>
      <c r="C8" s="51"/>
      <c r="D8" s="51"/>
      <c r="E8" s="51"/>
      <c r="F8" s="51"/>
      <c r="G8" s="51"/>
      <c r="H8" s="51"/>
      <c r="I8" s="51"/>
      <c r="J8" s="51"/>
      <c r="K8" s="51"/>
      <c r="L8" s="51"/>
      <c r="M8" s="51"/>
      <c r="N8" s="53"/>
      <c r="O8" s="53"/>
      <c r="P8" s="53"/>
      <c r="Q8" s="53"/>
      <c r="R8" s="53"/>
      <c r="S8" s="53"/>
      <c r="T8" s="53"/>
      <c r="U8" s="53"/>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row>
    <row r="9" spans="1:69" x14ac:dyDescent="0.25">
      <c r="A9" s="51"/>
      <c r="B9" s="51"/>
      <c r="C9" s="51"/>
      <c r="D9" s="51"/>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c r="BO9" s="51"/>
      <c r="BP9" s="51"/>
      <c r="BQ9" s="51"/>
    </row>
    <row r="10" spans="1:69" x14ac:dyDescent="0.25">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row>
    <row r="11" spans="1:69" x14ac:dyDescent="0.25">
      <c r="A11" s="60"/>
      <c r="B11" s="60"/>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c r="BO11" s="51"/>
      <c r="BP11" s="51"/>
      <c r="BQ11" s="51"/>
    </row>
    <row r="12" spans="1:69" x14ac:dyDescent="0.25">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row>
    <row r="13" spans="1:69" x14ac:dyDescent="0.25">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c r="BO13" s="51"/>
      <c r="BP13" s="51"/>
      <c r="BQ13" s="51"/>
    </row>
    <row r="14" spans="1:69" x14ac:dyDescent="0.25">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9"/>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1"/>
      <c r="BQ14" s="51"/>
    </row>
    <row r="15" spans="1:69" x14ac:dyDescent="0.25">
      <c r="A15" s="51"/>
      <c r="B15" s="51"/>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c r="BO15" s="51"/>
      <c r="BP15" s="51"/>
      <c r="BQ15" s="51"/>
    </row>
    <row r="16" spans="1:69" x14ac:dyDescent="0.25">
      <c r="A16" s="51"/>
      <c r="B16" s="51"/>
      <c r="C16" s="51"/>
      <c r="D16" s="51"/>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c r="BO16" s="51"/>
      <c r="BP16" s="51"/>
      <c r="BQ16" s="51"/>
    </row>
    <row r="17" spans="1:69" x14ac:dyDescent="0.25">
      <c r="A17" s="51"/>
      <c r="B17" s="51"/>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row>
    <row r="18" spans="1:69" x14ac:dyDescent="0.25">
      <c r="A18" s="51"/>
      <c r="B18" s="51"/>
      <c r="C18" s="51"/>
      <c r="D18" s="51"/>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row>
    <row r="19" spans="1:69" x14ac:dyDescent="0.25">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row>
    <row r="20" spans="1:69" x14ac:dyDescent="0.25">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row>
    <row r="21" spans="1:69" x14ac:dyDescent="0.25">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c r="BO21" s="51"/>
      <c r="BP21" s="51"/>
      <c r="BQ21" s="51"/>
    </row>
    <row r="22" spans="1:69" x14ac:dyDescent="0.25">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1:69" x14ac:dyDescent="0.25">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4" spans="1:69"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row>
    <row r="25" spans="1:69" x14ac:dyDescent="0.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row>
    <row r="26" spans="1:69" x14ac:dyDescent="0.25">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row>
    <row r="27" spans="1:69" x14ac:dyDescent="0.25">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row>
    <row r="28" spans="1:69" x14ac:dyDescent="0.25">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row>
    <row r="29" spans="1:69" x14ac:dyDescent="0.25">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row>
    <row r="30" spans="1:69" x14ac:dyDescent="0.25">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row>
    <row r="31" spans="1:69" x14ac:dyDescent="0.25">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row>
    <row r="32" spans="1:69" x14ac:dyDescent="0.25">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row>
    <row r="33" spans="1:69" x14ac:dyDescent="0.25">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row>
    <row r="34" spans="1:69" x14ac:dyDescent="0.25">
      <c r="A34" s="51"/>
      <c r="B34" s="51"/>
      <c r="C34" s="51"/>
      <c r="D34" s="51"/>
      <c r="E34" s="51"/>
      <c r="F34" s="51"/>
      <c r="G34" s="51"/>
      <c r="H34" s="51"/>
      <c r="I34" s="51"/>
      <c r="J34" s="51"/>
      <c r="K34" s="51"/>
      <c r="L34" s="51"/>
      <c r="M34" s="51"/>
      <c r="N34" s="51"/>
      <c r="O34" s="51"/>
      <c r="P34" s="51"/>
      <c r="Q34" s="51"/>
      <c r="R34" s="51"/>
      <c r="S34" s="51"/>
      <c r="T34" s="51"/>
      <c r="U34" s="51"/>
      <c r="V34" s="51"/>
      <c r="W34" s="51"/>
      <c r="X34" s="51" t="str" cm="1">
        <f t="array" ref="X34:AB34">'new pivot'!B102:F102</f>
        <v>R01</v>
      </c>
      <c r="Y34" s="51" t="str">
        <v>R02</v>
      </c>
      <c r="Z34" s="51" t="str">
        <v>R03</v>
      </c>
      <c r="AA34" s="51" t="str">
        <v>R04</v>
      </c>
      <c r="AB34" s="51" t="str">
        <v>R05</v>
      </c>
      <c r="AC34" s="51" t="s">
        <v>1133</v>
      </c>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row>
    <row r="35" spans="1:69" x14ac:dyDescent="0.2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row>
    <row r="36" spans="1:69" x14ac:dyDescent="0.25">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row>
    <row r="37" spans="1:69" x14ac:dyDescent="0.25">
      <c r="A37" s="51"/>
      <c r="B37" s="51"/>
      <c r="C37" s="51"/>
      <c r="D37" s="51"/>
      <c r="E37" s="51"/>
      <c r="F37" s="51"/>
      <c r="G37" s="51"/>
      <c r="H37" s="51"/>
      <c r="I37" s="51"/>
      <c r="J37" s="51"/>
      <c r="K37" s="51"/>
      <c r="L37" s="51"/>
      <c r="M37" s="51"/>
      <c r="N37" s="51"/>
      <c r="O37" s="51"/>
      <c r="P37" s="51"/>
      <c r="Q37" s="51"/>
      <c r="R37" s="51"/>
      <c r="S37" s="51"/>
      <c r="T37" s="51"/>
      <c r="U37" s="51"/>
      <c r="V37" s="51"/>
      <c r="W37" s="54" t="str" cm="1">
        <f t="array" ref="W37:AB54">IF('new pivot'!A103:F120="","",'new pivot'!A103:F120)</f>
        <v>Cincinnati</v>
      </c>
      <c r="X37" s="54" t="str">
        <v/>
      </c>
      <c r="Y37" s="54" t="str">
        <v/>
      </c>
      <c r="Z37" s="54" t="str">
        <v/>
      </c>
      <c r="AA37" s="54" t="str">
        <v/>
      </c>
      <c r="AB37" s="54" t="str">
        <v/>
      </c>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row>
    <row r="38" spans="1:69" x14ac:dyDescent="0.25">
      <c r="A38" s="51"/>
      <c r="B38" s="51"/>
      <c r="C38" s="51"/>
      <c r="D38" s="51"/>
      <c r="E38" s="51"/>
      <c r="F38" s="51"/>
      <c r="G38" s="51"/>
      <c r="H38" s="51"/>
      <c r="I38" s="51"/>
      <c r="J38" s="51"/>
      <c r="K38" s="51"/>
      <c r="L38" s="51"/>
      <c r="M38" s="51"/>
      <c r="N38" s="51"/>
      <c r="O38" s="51"/>
      <c r="P38" s="51"/>
      <c r="Q38" s="51"/>
      <c r="R38" s="51"/>
      <c r="S38" s="51"/>
      <c r="T38" s="51"/>
      <c r="U38" s="51"/>
      <c r="V38" s="51"/>
      <c r="W38" s="55" t="str">
        <v>C0003</v>
      </c>
      <c r="X38" s="56">
        <v>891</v>
      </c>
      <c r="Y38" s="56">
        <v>1332</v>
      </c>
      <c r="Z38" s="56">
        <v>1282</v>
      </c>
      <c r="AA38" s="56">
        <v>739</v>
      </c>
      <c r="AB38" s="56">
        <v>560</v>
      </c>
      <c r="AC38" s="51">
        <v>4804</v>
      </c>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1"/>
      <c r="BM38" s="51"/>
      <c r="BN38" s="51"/>
      <c r="BO38" s="51"/>
      <c r="BP38" s="51"/>
      <c r="BQ38" s="51"/>
    </row>
    <row r="39" spans="1:69" x14ac:dyDescent="0.25">
      <c r="A39" s="51"/>
      <c r="B39" s="51"/>
      <c r="C39" s="51"/>
      <c r="D39" s="51"/>
      <c r="E39" s="51"/>
      <c r="F39" s="51"/>
      <c r="G39" s="51"/>
      <c r="H39" s="51"/>
      <c r="I39" s="51"/>
      <c r="J39" s="51"/>
      <c r="K39" s="51"/>
      <c r="L39" s="51"/>
      <c r="M39" s="51"/>
      <c r="N39" s="51"/>
      <c r="O39" s="51"/>
      <c r="P39" s="51"/>
      <c r="Q39" s="51"/>
      <c r="R39" s="51"/>
      <c r="S39" s="51"/>
      <c r="T39" s="51"/>
      <c r="U39" s="51"/>
      <c r="V39" s="51"/>
      <c r="W39" s="55" t="str">
        <v>C0004</v>
      </c>
      <c r="X39" s="56">
        <v>1991</v>
      </c>
      <c r="Y39" s="56">
        <v>1886</v>
      </c>
      <c r="Z39" s="56">
        <v>1206</v>
      </c>
      <c r="AA39" s="56">
        <v>884</v>
      </c>
      <c r="AB39" s="56">
        <v>1722</v>
      </c>
      <c r="AC39" s="51">
        <v>7689</v>
      </c>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row>
    <row r="40" spans="1:69" x14ac:dyDescent="0.25">
      <c r="A40" s="51"/>
      <c r="B40" s="51"/>
      <c r="C40" s="51"/>
      <c r="D40" s="51"/>
      <c r="E40" s="51"/>
      <c r="F40" s="51"/>
      <c r="G40" s="51"/>
      <c r="H40" s="51"/>
      <c r="I40" s="51"/>
      <c r="J40" s="51"/>
      <c r="K40" s="51"/>
      <c r="L40" s="51"/>
      <c r="M40" s="51"/>
      <c r="N40" s="51"/>
      <c r="O40" s="51"/>
      <c r="P40" s="51"/>
      <c r="Q40" s="51"/>
      <c r="R40" s="51"/>
      <c r="S40" s="51"/>
      <c r="T40" s="51"/>
      <c r="U40" s="51"/>
      <c r="V40" s="51"/>
      <c r="W40" s="55" t="str">
        <v>C0011</v>
      </c>
      <c r="X40" s="56">
        <v>1163</v>
      </c>
      <c r="Y40" s="56">
        <v>1180</v>
      </c>
      <c r="Z40" s="56">
        <v>1616</v>
      </c>
      <c r="AA40" s="56">
        <v>1043</v>
      </c>
      <c r="AB40" s="56">
        <v>1747</v>
      </c>
      <c r="AC40" s="51">
        <v>6749</v>
      </c>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c r="BB40" s="51"/>
      <c r="BC40" s="51"/>
      <c r="BD40" s="51"/>
      <c r="BE40" s="51"/>
      <c r="BF40" s="51"/>
      <c r="BG40" s="51"/>
      <c r="BH40" s="51"/>
      <c r="BI40" s="51"/>
      <c r="BJ40" s="51"/>
      <c r="BK40" s="51"/>
      <c r="BL40" s="51"/>
      <c r="BM40" s="51"/>
      <c r="BN40" s="51"/>
      <c r="BO40" s="51"/>
      <c r="BP40" s="51"/>
      <c r="BQ40" s="51"/>
    </row>
    <row r="41" spans="1:69" x14ac:dyDescent="0.25">
      <c r="A41" s="51"/>
      <c r="B41" s="51"/>
      <c r="C41" s="51"/>
      <c r="D41" s="51"/>
      <c r="E41" s="51"/>
      <c r="F41" s="51"/>
      <c r="G41" s="51"/>
      <c r="H41" s="51"/>
      <c r="I41" s="51"/>
      <c r="J41" s="51"/>
      <c r="K41" s="51"/>
      <c r="L41" s="51"/>
      <c r="M41" s="51"/>
      <c r="N41" s="51"/>
      <c r="O41" s="51"/>
      <c r="P41" s="51"/>
      <c r="Q41" s="51"/>
      <c r="R41" s="51"/>
      <c r="S41" s="51"/>
      <c r="T41" s="51"/>
      <c r="U41" s="51"/>
      <c r="V41" s="51"/>
      <c r="W41" s="55" t="str">
        <v>C0012</v>
      </c>
      <c r="X41" s="56">
        <v>1438</v>
      </c>
      <c r="Y41" s="56">
        <v>1616</v>
      </c>
      <c r="Z41" s="56">
        <v>866</v>
      </c>
      <c r="AA41" s="56">
        <v>829</v>
      </c>
      <c r="AB41" s="56">
        <v>2070</v>
      </c>
      <c r="AC41" s="51">
        <v>6819</v>
      </c>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row>
    <row r="42" spans="1:69" x14ac:dyDescent="0.25">
      <c r="A42" s="51"/>
      <c r="B42" s="51"/>
      <c r="C42" s="51"/>
      <c r="D42" s="51"/>
      <c r="E42" s="51"/>
      <c r="F42" s="51"/>
      <c r="G42" s="51"/>
      <c r="H42" s="51"/>
      <c r="I42" s="51"/>
      <c r="J42" s="51"/>
      <c r="K42" s="51"/>
      <c r="L42" s="51"/>
      <c r="M42" s="51"/>
      <c r="N42" s="51"/>
      <c r="O42" s="51"/>
      <c r="P42" s="51"/>
      <c r="Q42" s="51"/>
      <c r="R42" s="51"/>
      <c r="S42" s="51"/>
      <c r="T42" s="51"/>
      <c r="U42" s="51"/>
      <c r="V42" s="51"/>
      <c r="W42" s="54" t="str">
        <v>Cleveland</v>
      </c>
      <c r="X42" s="56" t="str">
        <v/>
      </c>
      <c r="Y42" s="56" t="str">
        <v/>
      </c>
      <c r="Z42" s="56" t="str">
        <v/>
      </c>
      <c r="AA42" s="56" t="str">
        <v/>
      </c>
      <c r="AB42" s="56" t="str">
        <v/>
      </c>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c r="BK42" s="51"/>
      <c r="BL42" s="51"/>
      <c r="BM42" s="51"/>
      <c r="BN42" s="51"/>
      <c r="BO42" s="51"/>
      <c r="BP42" s="51"/>
      <c r="BQ42" s="51"/>
    </row>
    <row r="43" spans="1:69" x14ac:dyDescent="0.25">
      <c r="A43" s="51"/>
      <c r="B43" s="51"/>
      <c r="C43" s="51"/>
      <c r="D43" s="51"/>
      <c r="E43" s="51"/>
      <c r="F43" s="51"/>
      <c r="G43" s="51"/>
      <c r="H43" s="51"/>
      <c r="I43" s="51"/>
      <c r="J43" s="51"/>
      <c r="K43" s="51"/>
      <c r="L43" s="51"/>
      <c r="M43" s="51"/>
      <c r="N43" s="51"/>
      <c r="O43" s="51"/>
      <c r="P43" s="51"/>
      <c r="Q43" s="51"/>
      <c r="R43" s="51"/>
      <c r="S43" s="51"/>
      <c r="T43" s="51"/>
      <c r="U43" s="51"/>
      <c r="V43" s="51"/>
      <c r="W43" s="55" t="str">
        <v>C0002</v>
      </c>
      <c r="X43" s="56">
        <v>1233</v>
      </c>
      <c r="Y43" s="56">
        <v>223</v>
      </c>
      <c r="Z43" s="56">
        <v>1680</v>
      </c>
      <c r="AA43" s="56">
        <v>990</v>
      </c>
      <c r="AB43" s="56">
        <v>1508</v>
      </c>
      <c r="AC43" s="51">
        <v>5634</v>
      </c>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row>
    <row r="44" spans="1:69" x14ac:dyDescent="0.25">
      <c r="A44" s="51"/>
      <c r="B44" s="51"/>
      <c r="C44" s="51"/>
      <c r="D44" s="51"/>
      <c r="E44" s="51"/>
      <c r="F44" s="51"/>
      <c r="G44" s="51"/>
      <c r="H44" s="51"/>
      <c r="I44" s="51"/>
      <c r="J44" s="51"/>
      <c r="K44" s="51"/>
      <c r="L44" s="51"/>
      <c r="M44" s="51"/>
      <c r="N44" s="51"/>
      <c r="O44" s="51"/>
      <c r="P44" s="51"/>
      <c r="Q44" s="51"/>
      <c r="R44" s="51"/>
      <c r="S44" s="51"/>
      <c r="T44" s="51"/>
      <c r="U44" s="51"/>
      <c r="V44" s="51"/>
      <c r="W44" s="55" t="str">
        <v>C0007</v>
      </c>
      <c r="X44" s="56">
        <v>1598</v>
      </c>
      <c r="Y44" s="56">
        <v>1907</v>
      </c>
      <c r="Z44" s="56">
        <v>869</v>
      </c>
      <c r="AA44" s="56">
        <v>1426</v>
      </c>
      <c r="AB44" s="56">
        <v>1416</v>
      </c>
      <c r="AC44" s="51">
        <v>7216</v>
      </c>
      <c r="AD44" s="51"/>
      <c r="AE44" s="51"/>
      <c r="AF44" s="51"/>
      <c r="AG44" s="51"/>
      <c r="AH44" s="51"/>
      <c r="AI44" s="51"/>
      <c r="AJ44" s="51"/>
      <c r="AK44" s="51"/>
      <c r="AL44" s="51"/>
      <c r="AM44" s="51"/>
      <c r="AN44" s="51"/>
      <c r="AO44" s="51"/>
      <c r="AP44" s="51"/>
      <c r="AQ44" s="51"/>
      <c r="AR44" s="51"/>
      <c r="AS44" s="51"/>
      <c r="AT44" s="51"/>
      <c r="AU44" s="51"/>
      <c r="AV44" s="51"/>
      <c r="AW44" s="51"/>
      <c r="AX44" s="51"/>
      <c r="AY44" s="51"/>
      <c r="AZ44" s="51"/>
      <c r="BA44" s="51"/>
      <c r="BB44" s="51"/>
      <c r="BC44" s="51"/>
      <c r="BD44" s="51"/>
      <c r="BE44" s="51"/>
      <c r="BF44" s="51"/>
      <c r="BG44" s="51"/>
      <c r="BH44" s="51"/>
      <c r="BI44" s="51"/>
      <c r="BJ44" s="51"/>
      <c r="BK44" s="51"/>
      <c r="BL44" s="51"/>
      <c r="BM44" s="51"/>
      <c r="BN44" s="51"/>
      <c r="BO44" s="51"/>
      <c r="BP44" s="51"/>
      <c r="BQ44" s="51"/>
    </row>
    <row r="45" spans="1:69" x14ac:dyDescent="0.25">
      <c r="A45" s="51"/>
      <c r="B45" s="51"/>
      <c r="C45" s="51"/>
      <c r="D45" s="51"/>
      <c r="E45" s="51"/>
      <c r="F45" s="51"/>
      <c r="G45" s="51"/>
      <c r="H45" s="51"/>
      <c r="I45" s="51"/>
      <c r="J45" s="51"/>
      <c r="K45" s="51"/>
      <c r="L45" s="51"/>
      <c r="M45" s="51"/>
      <c r="N45" s="51"/>
      <c r="O45" s="51"/>
      <c r="P45" s="51"/>
      <c r="Q45" s="51"/>
      <c r="R45" s="51"/>
      <c r="S45" s="51"/>
      <c r="T45" s="51"/>
      <c r="U45" s="51"/>
      <c r="V45" s="51"/>
      <c r="W45" s="55" t="str">
        <v>C0008</v>
      </c>
      <c r="X45" s="56">
        <v>900</v>
      </c>
      <c r="Y45" s="56">
        <v>1016</v>
      </c>
      <c r="Z45" s="56">
        <v>960</v>
      </c>
      <c r="AA45" s="56">
        <v>940</v>
      </c>
      <c r="AB45" s="56">
        <v>1193</v>
      </c>
      <c r="AC45" s="51">
        <v>5009</v>
      </c>
      <c r="AD45" s="51"/>
      <c r="AE45" s="51"/>
      <c r="AF45" s="51"/>
      <c r="AG45" s="51"/>
      <c r="AH45" s="51"/>
      <c r="AI45" s="51"/>
      <c r="AJ45" s="51"/>
      <c r="AK45" s="51"/>
      <c r="AL45" s="51"/>
      <c r="AM45" s="51"/>
      <c r="AN45" s="51"/>
      <c r="AO45" s="51"/>
      <c r="AP45" s="51"/>
      <c r="AQ45" s="51"/>
      <c r="AR45" s="51"/>
      <c r="AS45" s="51"/>
      <c r="AT45" s="51"/>
      <c r="AU45" s="51"/>
      <c r="AV45" s="51"/>
      <c r="AW45" s="51"/>
      <c r="AX45" s="51"/>
      <c r="AY45" s="51"/>
      <c r="AZ45" s="51"/>
      <c r="BA45" s="51"/>
      <c r="BB45" s="51"/>
      <c r="BC45" s="51"/>
      <c r="BD45" s="51"/>
      <c r="BE45" s="51"/>
      <c r="BF45" s="51"/>
      <c r="BG45" s="51"/>
      <c r="BH45" s="51"/>
      <c r="BI45" s="51"/>
      <c r="BJ45" s="51"/>
      <c r="BK45" s="51"/>
      <c r="BL45" s="51"/>
      <c r="BM45" s="51"/>
      <c r="BN45" s="51"/>
      <c r="BO45" s="51"/>
      <c r="BP45" s="51"/>
      <c r="BQ45" s="51"/>
    </row>
    <row r="46" spans="1:69" x14ac:dyDescent="0.25">
      <c r="A46" s="51"/>
      <c r="B46" s="51"/>
      <c r="C46" s="51"/>
      <c r="D46" s="51"/>
      <c r="E46" s="51"/>
      <c r="F46" s="51"/>
      <c r="G46" s="51"/>
      <c r="H46" s="51"/>
      <c r="I46" s="51"/>
      <c r="J46" s="51"/>
      <c r="K46" s="51"/>
      <c r="L46" s="51"/>
      <c r="M46" s="51"/>
      <c r="N46" s="51"/>
      <c r="O46" s="51"/>
      <c r="P46" s="51"/>
      <c r="Q46" s="51"/>
      <c r="R46" s="51"/>
      <c r="S46" s="51"/>
      <c r="T46" s="51"/>
      <c r="U46" s="51"/>
      <c r="V46" s="51"/>
      <c r="W46" s="55" t="str">
        <v>C0010</v>
      </c>
      <c r="X46" s="56">
        <v>900</v>
      </c>
      <c r="Y46" s="56">
        <v>1470</v>
      </c>
      <c r="Z46" s="56">
        <v>1617</v>
      </c>
      <c r="AA46" s="56">
        <v>1314</v>
      </c>
      <c r="AB46" s="56">
        <v>941</v>
      </c>
      <c r="AC46" s="51">
        <v>6242</v>
      </c>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row>
    <row r="47" spans="1:69" x14ac:dyDescent="0.25">
      <c r="A47" s="51"/>
      <c r="B47" s="51"/>
      <c r="C47" s="51"/>
      <c r="D47" s="51"/>
      <c r="E47" s="51"/>
      <c r="F47" s="51"/>
      <c r="G47" s="51"/>
      <c r="H47" s="51"/>
      <c r="I47" s="51"/>
      <c r="J47" s="51"/>
      <c r="K47" s="51"/>
      <c r="L47" s="51"/>
      <c r="M47" s="51"/>
      <c r="N47" s="51"/>
      <c r="O47" s="51"/>
      <c r="P47" s="51"/>
      <c r="Q47" s="51"/>
      <c r="R47" s="51"/>
      <c r="S47" s="51"/>
      <c r="T47" s="51"/>
      <c r="U47" s="51"/>
      <c r="V47" s="51"/>
      <c r="W47" s="55" t="str">
        <v>C0013</v>
      </c>
      <c r="X47" s="56">
        <v>1255</v>
      </c>
      <c r="Y47" s="56">
        <v>516</v>
      </c>
      <c r="Z47" s="56">
        <v>1874</v>
      </c>
      <c r="AA47" s="56">
        <v>1863</v>
      </c>
      <c r="AB47" s="56">
        <v>1722</v>
      </c>
      <c r="AC47" s="51">
        <v>7230</v>
      </c>
      <c r="AD47" s="51"/>
      <c r="AE47" s="51"/>
      <c r="AF47" s="51"/>
      <c r="AG47" s="51"/>
      <c r="AH47" s="51"/>
      <c r="AI47" s="51"/>
      <c r="AJ47" s="51"/>
      <c r="AK47" s="51"/>
      <c r="AL47" s="51"/>
      <c r="AM47" s="51"/>
      <c r="AN47" s="51"/>
      <c r="AO47" s="51"/>
      <c r="AP47" s="51"/>
      <c r="AQ47" s="51"/>
      <c r="AR47" s="51"/>
      <c r="AS47" s="51"/>
      <c r="AT47" s="51"/>
      <c r="AU47" s="51"/>
      <c r="AV47" s="51"/>
      <c r="AW47" s="51"/>
      <c r="AX47" s="51"/>
      <c r="AY47" s="51"/>
      <c r="AZ47" s="51"/>
      <c r="BA47" s="51"/>
      <c r="BB47" s="51"/>
      <c r="BC47" s="51"/>
      <c r="BD47" s="51"/>
      <c r="BE47" s="51"/>
      <c r="BF47" s="51"/>
      <c r="BG47" s="51"/>
      <c r="BH47" s="51"/>
      <c r="BI47" s="51"/>
      <c r="BJ47" s="51"/>
      <c r="BK47" s="51"/>
      <c r="BL47" s="51"/>
      <c r="BM47" s="51"/>
      <c r="BN47" s="51"/>
      <c r="BO47" s="51"/>
      <c r="BP47" s="51"/>
      <c r="BQ47" s="51"/>
    </row>
    <row r="48" spans="1:69" x14ac:dyDescent="0.25">
      <c r="A48" s="51"/>
      <c r="B48" s="51"/>
      <c r="C48" s="51"/>
      <c r="D48" s="51"/>
      <c r="E48" s="51"/>
      <c r="F48" s="51"/>
      <c r="G48" s="51"/>
      <c r="H48" s="51"/>
      <c r="I48" s="51"/>
      <c r="J48" s="51"/>
      <c r="K48" s="51"/>
      <c r="L48" s="51"/>
      <c r="M48" s="51"/>
      <c r="N48" s="51"/>
      <c r="O48" s="51"/>
      <c r="P48" s="51"/>
      <c r="Q48" s="51"/>
      <c r="R48" s="51"/>
      <c r="S48" s="51"/>
      <c r="T48" s="51"/>
      <c r="U48" s="51"/>
      <c r="V48" s="51"/>
      <c r="W48" s="55" t="str">
        <v>C0015</v>
      </c>
      <c r="X48" s="56">
        <v>1138</v>
      </c>
      <c r="Y48" s="56">
        <v>1898</v>
      </c>
      <c r="Z48" s="56">
        <v>1482</v>
      </c>
      <c r="AA48" s="56">
        <v>846</v>
      </c>
      <c r="AB48" s="56">
        <v>1154</v>
      </c>
      <c r="AC48" s="51">
        <v>6518</v>
      </c>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row>
    <row r="49" spans="1:69" x14ac:dyDescent="0.25">
      <c r="A49" s="51"/>
      <c r="B49" s="51"/>
      <c r="C49" s="51"/>
      <c r="D49" s="51"/>
      <c r="E49" s="51"/>
      <c r="F49" s="51"/>
      <c r="G49" s="51"/>
      <c r="H49" s="51"/>
      <c r="I49" s="51"/>
      <c r="J49" s="51"/>
      <c r="K49" s="51"/>
      <c r="L49" s="51"/>
      <c r="M49" s="51"/>
      <c r="N49" s="51"/>
      <c r="O49" s="51"/>
      <c r="P49" s="51"/>
      <c r="Q49" s="51"/>
      <c r="R49" s="51"/>
      <c r="S49" s="51"/>
      <c r="T49" s="51"/>
      <c r="U49" s="51"/>
      <c r="V49" s="51"/>
      <c r="W49" s="54" t="str">
        <v>Columbus</v>
      </c>
      <c r="X49" s="56" t="str">
        <v/>
      </c>
      <c r="Y49" s="56" t="str">
        <v/>
      </c>
      <c r="Z49" s="56" t="str">
        <v/>
      </c>
      <c r="AA49" s="56" t="str">
        <v/>
      </c>
      <c r="AB49" s="56" t="str">
        <v/>
      </c>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c r="BA49" s="51"/>
      <c r="BB49" s="51"/>
      <c r="BC49" s="51"/>
      <c r="BD49" s="51"/>
      <c r="BE49" s="51"/>
      <c r="BF49" s="51"/>
      <c r="BG49" s="51"/>
      <c r="BH49" s="51"/>
      <c r="BI49" s="51"/>
      <c r="BJ49" s="51"/>
      <c r="BK49" s="51"/>
      <c r="BL49" s="51"/>
      <c r="BM49" s="51"/>
      <c r="BN49" s="51"/>
      <c r="BO49" s="51"/>
      <c r="BP49" s="51"/>
      <c r="BQ49" s="51"/>
    </row>
    <row r="50" spans="1:69" x14ac:dyDescent="0.25">
      <c r="A50" s="51"/>
      <c r="B50" s="51"/>
      <c r="C50" s="51"/>
      <c r="D50" s="51"/>
      <c r="E50" s="51"/>
      <c r="F50" s="51"/>
      <c r="G50" s="51"/>
      <c r="H50" s="51"/>
      <c r="I50" s="51"/>
      <c r="J50" s="51"/>
      <c r="K50" s="51"/>
      <c r="L50" s="51"/>
      <c r="M50" s="51"/>
      <c r="N50" s="51"/>
      <c r="O50" s="51"/>
      <c r="P50" s="51"/>
      <c r="Q50" s="51"/>
      <c r="R50" s="51"/>
      <c r="S50" s="51"/>
      <c r="T50" s="51"/>
      <c r="U50" s="51"/>
      <c r="V50" s="51"/>
      <c r="W50" s="55" t="str">
        <v>C0001</v>
      </c>
      <c r="X50" s="56">
        <v>1655</v>
      </c>
      <c r="Y50" s="56">
        <v>805</v>
      </c>
      <c r="Z50" s="56">
        <v>2263</v>
      </c>
      <c r="AA50" s="56">
        <v>987</v>
      </c>
      <c r="AB50" s="56">
        <v>1075</v>
      </c>
      <c r="AC50" s="51">
        <v>6785</v>
      </c>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row>
    <row r="51" spans="1:69" x14ac:dyDescent="0.25">
      <c r="A51" s="51"/>
      <c r="B51" s="51"/>
      <c r="C51" s="51"/>
      <c r="D51" s="51"/>
      <c r="E51" s="51"/>
      <c r="F51" s="51"/>
      <c r="G51" s="51"/>
      <c r="H51" s="51"/>
      <c r="I51" s="51"/>
      <c r="J51" s="51"/>
      <c r="K51" s="51"/>
      <c r="L51" s="51"/>
      <c r="M51" s="51"/>
      <c r="N51" s="51"/>
      <c r="O51" s="51"/>
      <c r="P51" s="51"/>
      <c r="Q51" s="51"/>
      <c r="R51" s="51"/>
      <c r="S51" s="51"/>
      <c r="T51" s="51"/>
      <c r="U51" s="51"/>
      <c r="V51" s="51"/>
      <c r="W51" s="55" t="str">
        <v>C0005</v>
      </c>
      <c r="X51" s="56">
        <v>1104</v>
      </c>
      <c r="Y51" s="56">
        <v>2280</v>
      </c>
      <c r="Z51" s="56">
        <v>1445</v>
      </c>
      <c r="AA51" s="56">
        <v>1722</v>
      </c>
      <c r="AB51" s="56">
        <v>1196</v>
      </c>
      <c r="AC51" s="51">
        <v>7747</v>
      </c>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51"/>
      <c r="BK51" s="51"/>
      <c r="BL51" s="51"/>
      <c r="BM51" s="51"/>
      <c r="BN51" s="51"/>
      <c r="BO51" s="51"/>
      <c r="BP51" s="51"/>
      <c r="BQ51" s="51"/>
    </row>
    <row r="52" spans="1:69" x14ac:dyDescent="0.25">
      <c r="A52" s="51"/>
      <c r="B52" s="51"/>
      <c r="C52" s="51"/>
      <c r="D52" s="51"/>
      <c r="E52" s="51"/>
      <c r="F52" s="51"/>
      <c r="G52" s="51"/>
      <c r="H52" s="51"/>
      <c r="I52" s="51"/>
      <c r="J52" s="51"/>
      <c r="K52" s="51"/>
      <c r="L52" s="51"/>
      <c r="M52" s="51"/>
      <c r="N52" s="51"/>
      <c r="O52" s="51"/>
      <c r="P52" s="51"/>
      <c r="Q52" s="51"/>
      <c r="R52" s="51"/>
      <c r="S52" s="51"/>
      <c r="T52" s="51"/>
      <c r="U52" s="51"/>
      <c r="V52" s="51"/>
      <c r="W52" s="55" t="str">
        <v>C0006</v>
      </c>
      <c r="X52" s="56">
        <v>372</v>
      </c>
      <c r="Y52" s="56">
        <v>1818</v>
      </c>
      <c r="Z52" s="56">
        <v>1346</v>
      </c>
      <c r="AA52" s="56">
        <v>1156</v>
      </c>
      <c r="AB52" s="56">
        <v>1484</v>
      </c>
      <c r="AC52" s="51">
        <v>6176</v>
      </c>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row>
    <row r="53" spans="1:69" x14ac:dyDescent="0.25">
      <c r="A53" s="51"/>
      <c r="B53" s="51"/>
      <c r="C53" s="51"/>
      <c r="D53" s="51"/>
      <c r="E53" s="51"/>
      <c r="F53" s="51"/>
      <c r="G53" s="51"/>
      <c r="H53" s="51"/>
      <c r="I53" s="51"/>
      <c r="J53" s="51"/>
      <c r="K53" s="51"/>
      <c r="L53" s="51"/>
      <c r="M53" s="51"/>
      <c r="N53" s="51"/>
      <c r="O53" s="51"/>
      <c r="P53" s="51"/>
      <c r="Q53" s="51"/>
      <c r="R53" s="51"/>
      <c r="S53" s="51"/>
      <c r="T53" s="51"/>
      <c r="U53" s="51"/>
      <c r="V53" s="51"/>
      <c r="W53" s="55" t="str">
        <v>C0009</v>
      </c>
      <c r="X53" s="56">
        <v>1415</v>
      </c>
      <c r="Y53" s="56">
        <v>1271</v>
      </c>
      <c r="Z53" s="56">
        <v>1214</v>
      </c>
      <c r="AA53" s="56">
        <v>1135</v>
      </c>
      <c r="AB53" s="56">
        <v>1566</v>
      </c>
      <c r="AC53" s="51">
        <v>6601</v>
      </c>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row>
    <row r="54" spans="1:69" x14ac:dyDescent="0.25">
      <c r="A54" s="51"/>
      <c r="B54" s="51"/>
      <c r="C54" s="51"/>
      <c r="D54" s="51"/>
      <c r="E54" s="51"/>
      <c r="F54" s="51"/>
      <c r="G54" s="51"/>
      <c r="H54" s="51"/>
      <c r="I54" s="51"/>
      <c r="J54" s="51"/>
      <c r="K54" s="51"/>
      <c r="L54" s="51"/>
      <c r="M54" s="51"/>
      <c r="N54" s="51"/>
      <c r="O54" s="51"/>
      <c r="P54" s="51"/>
      <c r="Q54" s="51"/>
      <c r="R54" s="51"/>
      <c r="S54" s="51"/>
      <c r="T54" s="51"/>
      <c r="U54" s="51"/>
      <c r="V54" s="51"/>
      <c r="W54" s="55" t="str">
        <v>C0014</v>
      </c>
      <c r="X54" s="56">
        <v>1362</v>
      </c>
      <c r="Y54" s="56">
        <v>1363</v>
      </c>
      <c r="Z54" s="56">
        <v>1152</v>
      </c>
      <c r="AA54" s="56">
        <v>777</v>
      </c>
      <c r="AB54" s="56">
        <v>750</v>
      </c>
      <c r="AC54" s="51">
        <v>5404</v>
      </c>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row>
    <row r="55" spans="1:69" x14ac:dyDescent="0.25">
      <c r="A55" s="51"/>
      <c r="B55" s="51"/>
      <c r="C55" s="51"/>
      <c r="D55" s="51"/>
      <c r="E55" s="51"/>
      <c r="F55" s="51"/>
      <c r="G55" s="51"/>
      <c r="H55" s="51"/>
      <c r="I55" s="51"/>
      <c r="J55" s="51"/>
      <c r="K55" s="51"/>
      <c r="L55" s="51"/>
      <c r="M55" s="51"/>
      <c r="N55" s="51"/>
      <c r="O55" s="51"/>
      <c r="P55" s="51"/>
      <c r="Q55" s="51"/>
      <c r="R55" s="51"/>
      <c r="S55" s="51"/>
      <c r="T55" s="51"/>
      <c r="U55" s="51"/>
      <c r="V55" s="51"/>
      <c r="W55" s="51"/>
      <c r="X55" s="57"/>
      <c r="Y55" s="57"/>
      <c r="Z55" s="57"/>
      <c r="AA55" s="57"/>
      <c r="AB55" s="57"/>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c r="BA55" s="51"/>
      <c r="BB55" s="51"/>
      <c r="BC55" s="51"/>
      <c r="BD55" s="51"/>
      <c r="BE55" s="51"/>
      <c r="BF55" s="51"/>
      <c r="BG55" s="51"/>
      <c r="BH55" s="51"/>
      <c r="BI55" s="51"/>
      <c r="BJ55" s="51"/>
      <c r="BK55" s="51"/>
      <c r="BL55" s="51"/>
      <c r="BM55" s="51"/>
      <c r="BN55" s="51"/>
      <c r="BO55" s="51"/>
      <c r="BP55" s="51"/>
      <c r="BQ55" s="51"/>
    </row>
    <row r="56" spans="1:69" x14ac:dyDescent="0.25">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row>
    <row r="57" spans="1:69" x14ac:dyDescent="0.25">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row>
    <row r="58" spans="1:69" x14ac:dyDescent="0.25">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c r="BA58" s="51"/>
      <c r="BB58" s="51"/>
      <c r="BC58" s="51"/>
      <c r="BD58" s="51"/>
      <c r="BE58" s="51"/>
      <c r="BF58" s="51"/>
      <c r="BG58" s="51"/>
      <c r="BH58" s="51"/>
      <c r="BI58" s="51"/>
      <c r="BJ58" s="51"/>
      <c r="BK58" s="51"/>
      <c r="BL58" s="51"/>
      <c r="BM58" s="51"/>
      <c r="BN58" s="51"/>
      <c r="BO58" s="51"/>
      <c r="BP58" s="51"/>
      <c r="BQ58" s="51"/>
    </row>
    <row r="59" spans="1:69" x14ac:dyDescent="0.25">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row>
    <row r="60" spans="1:69" x14ac:dyDescent="0.25">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row>
    <row r="61" spans="1:69" x14ac:dyDescent="0.25">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row>
    <row r="62" spans="1:69" x14ac:dyDescent="0.25">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row>
    <row r="63" spans="1:69" x14ac:dyDescent="0.25">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row>
    <row r="64" spans="1:69" x14ac:dyDescent="0.25">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row>
    <row r="65" spans="1:69" x14ac:dyDescent="0.2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row>
    <row r="66" spans="1:69" x14ac:dyDescent="0.25">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c r="BA66" s="51"/>
      <c r="BB66" s="51"/>
      <c r="BC66" s="51"/>
      <c r="BD66" s="51"/>
      <c r="BE66" s="51"/>
      <c r="BF66" s="51"/>
      <c r="BG66" s="51"/>
      <c r="BH66" s="51"/>
      <c r="BI66" s="51"/>
      <c r="BJ66" s="51"/>
      <c r="BK66" s="51"/>
      <c r="BL66" s="51"/>
      <c r="BM66" s="51"/>
      <c r="BN66" s="51"/>
      <c r="BO66" s="51"/>
      <c r="BP66" s="51"/>
      <c r="BQ66" s="51"/>
    </row>
    <row r="67" spans="1:69" x14ac:dyDescent="0.25">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row>
    <row r="68" spans="1:69" x14ac:dyDescent="0.25">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c r="BA68" s="51"/>
      <c r="BB68" s="51"/>
      <c r="BC68" s="51"/>
      <c r="BD68" s="51"/>
      <c r="BE68" s="51"/>
      <c r="BF68" s="51"/>
      <c r="BG68" s="51"/>
      <c r="BH68" s="51"/>
      <c r="BI68" s="51"/>
      <c r="BJ68" s="51"/>
      <c r="BK68" s="51"/>
      <c r="BL68" s="51"/>
      <c r="BM68" s="51"/>
      <c r="BN68" s="51"/>
      <c r="BO68" s="51"/>
      <c r="BP68" s="51"/>
      <c r="BQ68" s="51"/>
    </row>
    <row r="69" spans="1:69" x14ac:dyDescent="0.25">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row>
    <row r="70" spans="1:69" x14ac:dyDescent="0.25">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row>
    <row r="71" spans="1:69" x14ac:dyDescent="0.25">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row>
    <row r="72" spans="1:69" x14ac:dyDescent="0.25">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row>
    <row r="73" spans="1:69" x14ac:dyDescent="0.25">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row>
    <row r="74" spans="1:69" x14ac:dyDescent="0.25">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c r="BA74" s="51"/>
      <c r="BB74" s="51"/>
      <c r="BC74" s="51"/>
      <c r="BD74" s="51"/>
      <c r="BE74" s="51"/>
      <c r="BF74" s="51"/>
      <c r="BG74" s="51"/>
      <c r="BH74" s="51"/>
      <c r="BI74" s="51"/>
      <c r="BJ74" s="51"/>
      <c r="BK74" s="51"/>
      <c r="BL74" s="51"/>
      <c r="BM74" s="51"/>
      <c r="BN74" s="51"/>
      <c r="BO74" s="51"/>
      <c r="BP74" s="51"/>
      <c r="BQ74" s="51"/>
    </row>
    <row r="75" spans="1:69" x14ac:dyDescent="0.2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c r="BA75" s="51"/>
      <c r="BB75" s="51"/>
      <c r="BC75" s="51"/>
      <c r="BD75" s="51"/>
      <c r="BE75" s="51"/>
      <c r="BF75" s="51"/>
      <c r="BG75" s="51"/>
      <c r="BH75" s="51"/>
      <c r="BI75" s="51"/>
      <c r="BJ75" s="51"/>
      <c r="BK75" s="51"/>
      <c r="BL75" s="51"/>
      <c r="BM75" s="51"/>
      <c r="BN75" s="51"/>
      <c r="BO75" s="51"/>
      <c r="BP75" s="51"/>
      <c r="BQ75" s="51"/>
    </row>
    <row r="76" spans="1:69" x14ac:dyDescent="0.25">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row>
    <row r="77" spans="1:69" x14ac:dyDescent="0.25">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row>
    <row r="78" spans="1:69" ht="27.6" x14ac:dyDescent="0.45">
      <c r="A78" s="51"/>
      <c r="B78" s="51"/>
      <c r="C78" s="58" t="s">
        <v>1135</v>
      </c>
      <c r="D78" s="58"/>
      <c r="E78" s="58"/>
      <c r="F78" s="58"/>
      <c r="G78" s="58"/>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c r="BA78" s="51"/>
      <c r="BB78" s="51"/>
      <c r="BC78" s="51"/>
      <c r="BD78" s="51"/>
      <c r="BE78" s="51"/>
      <c r="BF78" s="51"/>
      <c r="BG78" s="51"/>
      <c r="BH78" s="51"/>
      <c r="BI78" s="51"/>
      <c r="BJ78" s="51"/>
      <c r="BK78" s="51"/>
      <c r="BL78" s="51"/>
      <c r="BM78" s="51"/>
      <c r="BN78" s="51"/>
      <c r="BO78" s="51"/>
      <c r="BP78" s="51"/>
      <c r="BQ78" s="51"/>
    </row>
    <row r="79" spans="1:69" ht="27.6" x14ac:dyDescent="0.45">
      <c r="A79" s="51"/>
      <c r="B79" s="51"/>
      <c r="C79" s="58" t="s">
        <v>1136</v>
      </c>
      <c r="D79" s="58"/>
      <c r="E79" s="58"/>
      <c r="F79" s="58"/>
      <c r="G79" s="58"/>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row>
    <row r="80" spans="1:69" x14ac:dyDescent="0.25">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c r="BA80" s="51"/>
      <c r="BB80" s="51"/>
      <c r="BC80" s="51"/>
      <c r="BD80" s="51"/>
      <c r="BE80" s="51"/>
      <c r="BF80" s="51"/>
      <c r="BG80" s="51"/>
      <c r="BH80" s="51"/>
      <c r="BI80" s="51"/>
      <c r="BJ80" s="51"/>
      <c r="BK80" s="51"/>
      <c r="BL80" s="51"/>
      <c r="BM80" s="51"/>
      <c r="BN80" s="51"/>
      <c r="BO80" s="51"/>
      <c r="BP80" s="51"/>
      <c r="BQ80" s="51"/>
    </row>
    <row r="81" spans="1:69" x14ac:dyDescent="0.25">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row>
    <row r="82" spans="1:69" x14ac:dyDescent="0.25">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row>
    <row r="83" spans="1:69" x14ac:dyDescent="0.25">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row>
    <row r="84" spans="1:69" x14ac:dyDescent="0.25">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c r="BA84" s="51"/>
      <c r="BB84" s="51"/>
      <c r="BC84" s="51"/>
      <c r="BD84" s="51"/>
      <c r="BE84" s="51"/>
      <c r="BF84" s="51"/>
      <c r="BG84" s="51"/>
      <c r="BH84" s="51"/>
      <c r="BI84" s="51"/>
      <c r="BJ84" s="51"/>
      <c r="BK84" s="51"/>
      <c r="BL84" s="51"/>
      <c r="BM84" s="51"/>
      <c r="BN84" s="51"/>
      <c r="BO84" s="51"/>
      <c r="BP84" s="51"/>
      <c r="BQ84" s="51"/>
    </row>
    <row r="85" spans="1:69" x14ac:dyDescent="0.2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c r="BA85" s="51"/>
      <c r="BB85" s="51"/>
      <c r="BC85" s="51"/>
      <c r="BD85" s="51"/>
      <c r="BE85" s="51"/>
      <c r="BF85" s="51"/>
      <c r="BG85" s="51"/>
      <c r="BH85" s="51"/>
      <c r="BI85" s="51"/>
      <c r="BJ85" s="51"/>
      <c r="BK85" s="51"/>
      <c r="BL85" s="51"/>
      <c r="BM85" s="51"/>
      <c r="BN85" s="51"/>
      <c r="BO85" s="51"/>
      <c r="BP85" s="51"/>
      <c r="BQ85" s="51"/>
    </row>
    <row r="86" spans="1:69" x14ac:dyDescent="0.25">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row>
    <row r="87" spans="1:69" x14ac:dyDescent="0.25">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c r="BA87" s="51"/>
      <c r="BB87" s="51"/>
      <c r="BC87" s="51"/>
      <c r="BD87" s="51"/>
      <c r="BE87" s="51"/>
      <c r="BF87" s="51"/>
      <c r="BG87" s="51"/>
      <c r="BH87" s="51"/>
      <c r="BI87" s="51"/>
      <c r="BJ87" s="51"/>
      <c r="BK87" s="51"/>
      <c r="BL87" s="51"/>
      <c r="BM87" s="51"/>
      <c r="BN87" s="51"/>
      <c r="BO87" s="51"/>
      <c r="BP87" s="51"/>
      <c r="BQ87" s="51"/>
    </row>
    <row r="88" spans="1:69" x14ac:dyDescent="0.25">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row>
    <row r="89" spans="1:69" x14ac:dyDescent="0.25">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c r="BA89" s="51"/>
      <c r="BB89" s="51"/>
      <c r="BC89" s="51"/>
      <c r="BD89" s="51"/>
      <c r="BE89" s="51"/>
      <c r="BF89" s="51"/>
      <c r="BG89" s="51"/>
      <c r="BH89" s="51"/>
      <c r="BI89" s="51"/>
      <c r="BJ89" s="51"/>
      <c r="BK89" s="51"/>
      <c r="BL89" s="51"/>
      <c r="BM89" s="51"/>
      <c r="BN89" s="51"/>
      <c r="BO89" s="51"/>
      <c r="BP89" s="51"/>
      <c r="BQ89" s="51"/>
    </row>
    <row r="90" spans="1:69" x14ac:dyDescent="0.25">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c r="BA90" s="51"/>
      <c r="BB90" s="51"/>
      <c r="BC90" s="51"/>
      <c r="BD90" s="51"/>
      <c r="BE90" s="51"/>
      <c r="BF90" s="51"/>
      <c r="BG90" s="51"/>
      <c r="BH90" s="51"/>
      <c r="BI90" s="51"/>
      <c r="BJ90" s="51"/>
      <c r="BK90" s="51"/>
      <c r="BL90" s="51"/>
      <c r="BM90" s="51"/>
      <c r="BN90" s="51"/>
      <c r="BO90" s="51"/>
      <c r="BP90" s="51"/>
      <c r="BQ90" s="51"/>
    </row>
    <row r="91" spans="1:69" x14ac:dyDescent="0.25">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c r="BA91" s="51"/>
      <c r="BB91" s="51"/>
      <c r="BC91" s="51"/>
      <c r="BD91" s="51"/>
      <c r="BE91" s="51"/>
      <c r="BF91" s="51"/>
      <c r="BG91" s="51"/>
      <c r="BH91" s="51"/>
      <c r="BI91" s="51"/>
      <c r="BJ91" s="51"/>
      <c r="BK91" s="51"/>
      <c r="BL91" s="51"/>
      <c r="BM91" s="51"/>
      <c r="BN91" s="51"/>
      <c r="BO91" s="51"/>
      <c r="BP91" s="51"/>
      <c r="BQ91" s="51"/>
    </row>
    <row r="92" spans="1:69" x14ac:dyDescent="0.25">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row>
    <row r="93" spans="1:69" x14ac:dyDescent="0.25">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c r="BA93" s="51"/>
      <c r="BB93" s="51"/>
      <c r="BC93" s="51"/>
      <c r="BD93" s="51"/>
      <c r="BE93" s="51"/>
      <c r="BF93" s="51"/>
      <c r="BG93" s="51"/>
      <c r="BH93" s="51"/>
      <c r="BI93" s="51"/>
      <c r="BJ93" s="51"/>
      <c r="BK93" s="51"/>
      <c r="BL93" s="51"/>
      <c r="BM93" s="51"/>
      <c r="BN93" s="51"/>
      <c r="BO93" s="51"/>
      <c r="BP93" s="51"/>
      <c r="BQ93" s="51"/>
    </row>
    <row r="94" spans="1:69" x14ac:dyDescent="0.25">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row>
    <row r="95" spans="1:69" x14ac:dyDescent="0.2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c r="BA95" s="51"/>
      <c r="BB95" s="51"/>
      <c r="BC95" s="51"/>
      <c r="BD95" s="51"/>
      <c r="BE95" s="51"/>
      <c r="BF95" s="51"/>
      <c r="BG95" s="51"/>
      <c r="BH95" s="51"/>
      <c r="BI95" s="51"/>
      <c r="BJ95" s="51"/>
      <c r="BK95" s="51"/>
      <c r="BL95" s="51"/>
      <c r="BM95" s="51"/>
      <c r="BN95" s="51"/>
      <c r="BO95" s="51"/>
      <c r="BP95" s="51"/>
      <c r="BQ95" s="51"/>
    </row>
    <row r="96" spans="1:69" x14ac:dyDescent="0.25">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c r="BA96" s="51"/>
      <c r="BB96" s="51"/>
      <c r="BC96" s="51"/>
      <c r="BD96" s="51"/>
      <c r="BE96" s="51"/>
      <c r="BF96" s="51"/>
      <c r="BG96" s="51"/>
      <c r="BH96" s="51"/>
      <c r="BI96" s="51"/>
      <c r="BJ96" s="51"/>
      <c r="BK96" s="51"/>
      <c r="BL96" s="51"/>
      <c r="BM96" s="51"/>
      <c r="BN96" s="51"/>
      <c r="BO96" s="51"/>
      <c r="BP96" s="51"/>
      <c r="BQ96" s="51"/>
    </row>
    <row r="97" spans="1:69" x14ac:dyDescent="0.25">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c r="BA97" s="51"/>
      <c r="BB97" s="51"/>
      <c r="BC97" s="51"/>
      <c r="BD97" s="51"/>
      <c r="BE97" s="51"/>
      <c r="BF97" s="51"/>
      <c r="BG97" s="51"/>
      <c r="BH97" s="51"/>
      <c r="BI97" s="51"/>
      <c r="BJ97" s="51"/>
      <c r="BK97" s="51"/>
      <c r="BL97" s="51"/>
      <c r="BM97" s="51"/>
      <c r="BN97" s="51"/>
      <c r="BO97" s="51"/>
      <c r="BP97" s="51"/>
      <c r="BQ97" s="51"/>
    </row>
    <row r="98" spans="1:69" x14ac:dyDescent="0.25">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row>
    <row r="99" spans="1:69" x14ac:dyDescent="0.25">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c r="BA99" s="51"/>
      <c r="BB99" s="51"/>
      <c r="BC99" s="51"/>
      <c r="BD99" s="51"/>
      <c r="BE99" s="51"/>
      <c r="BF99" s="51"/>
      <c r="BG99" s="51"/>
      <c r="BH99" s="51"/>
      <c r="BI99" s="51"/>
      <c r="BJ99" s="51"/>
      <c r="BK99" s="51"/>
      <c r="BL99" s="51"/>
      <c r="BM99" s="51"/>
      <c r="BN99" s="51"/>
      <c r="BO99" s="51"/>
      <c r="BP99" s="51"/>
      <c r="BQ99" s="51"/>
    </row>
    <row r="100" spans="1:69" x14ac:dyDescent="0.25">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row>
    <row r="101" spans="1:69" x14ac:dyDescent="0.25">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row>
    <row r="102" spans="1:69" x14ac:dyDescent="0.25">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row>
    <row r="103" spans="1:69" x14ac:dyDescent="0.25">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row>
    <row r="104" spans="1:69" x14ac:dyDescent="0.25">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row>
    <row r="105" spans="1:69" x14ac:dyDescent="0.2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row>
    <row r="106" spans="1:69" x14ac:dyDescent="0.25">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row>
    <row r="107" spans="1:69" x14ac:dyDescent="0.25">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row>
    <row r="108" spans="1:69" x14ac:dyDescent="0.25">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row>
    <row r="109" spans="1:69" x14ac:dyDescent="0.25">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row>
    <row r="110" spans="1:69"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row>
  </sheetData>
  <mergeCells count="2">
    <mergeCell ref="A10:AH12"/>
    <mergeCell ref="L3:AA6"/>
  </mergeCells>
  <conditionalFormatting sqref="X37:AA54">
    <cfRule type="dataBar" priority="3">
      <dataBar>
        <cfvo type="num" val="0"/>
        <cfvo type="formula" val="MAX($X$38:$AB$54)*2"/>
        <color theme="1" tint="0.14999847407452621"/>
      </dataBar>
      <extLst>
        <ext xmlns:x14="http://schemas.microsoft.com/office/spreadsheetml/2009/9/main" uri="{B025F937-C7B1-47D3-B67F-A62EFF666E3E}">
          <x14:id>{E4FC66FA-9686-46A2-9BC5-57B502405F77}</x14:id>
        </ext>
      </extLst>
    </cfRule>
  </conditionalFormatting>
  <conditionalFormatting sqref="X38:AA54">
    <cfRule type="dataBar" priority="4">
      <dataBar>
        <cfvo type="min"/>
        <cfvo type="max"/>
        <color rgb="FFFF555A"/>
      </dataBar>
      <extLst>
        <ext xmlns:x14="http://schemas.microsoft.com/office/spreadsheetml/2009/9/main" uri="{B025F937-C7B1-47D3-B67F-A62EFF666E3E}">
          <x14:id>{31487E2D-AD31-4505-ADDB-46B26ED3575C}</x14:id>
        </ext>
      </extLst>
    </cfRule>
  </conditionalFormatting>
  <conditionalFormatting sqref="X38:AB54">
    <cfRule type="dataBar" priority="2">
      <dataBar>
        <cfvo type="min"/>
        <cfvo type="max"/>
        <color rgb="FF638EC6"/>
      </dataBar>
      <extLst>
        <ext xmlns:x14="http://schemas.microsoft.com/office/spreadsheetml/2009/9/main" uri="{B025F937-C7B1-47D3-B67F-A62EFF666E3E}">
          <x14:id>{A12FB74E-B391-47F4-9BA8-161B0AB13E09}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E4FC66FA-9686-46A2-9BC5-57B502405F77}">
            <x14:dataBar minLength="0" maxLength="100" gradient="0">
              <x14:cfvo type="num">
                <xm:f>0</xm:f>
              </x14:cfvo>
              <x14:cfvo type="formula">
                <xm:f>MAX($X$38:$AB$54)*2</xm:f>
              </x14:cfvo>
              <x14:negativeFillColor rgb="FFFF0000"/>
              <x14:axisColor rgb="FF000000"/>
            </x14:dataBar>
          </x14:cfRule>
          <xm:sqref>X37:AA54</xm:sqref>
        </x14:conditionalFormatting>
        <x14:conditionalFormatting xmlns:xm="http://schemas.microsoft.com/office/excel/2006/main">
          <x14:cfRule type="dataBar" id="{31487E2D-AD31-4505-ADDB-46B26ED3575C}">
            <x14:dataBar minLength="0" maxLength="100" gradient="0">
              <x14:cfvo type="autoMin"/>
              <x14:cfvo type="autoMax"/>
              <x14:negativeFillColor rgb="FFFF0000"/>
              <x14:axisColor rgb="FF000000"/>
            </x14:dataBar>
          </x14:cfRule>
          <xm:sqref>X38:AA54</xm:sqref>
        </x14:conditionalFormatting>
        <x14:conditionalFormatting xmlns:xm="http://schemas.microsoft.com/office/excel/2006/main">
          <x14:cfRule type="expression" priority="1" id="{D4BBBD45-2FE2-4318-A9FE-8D2E2342660E}">
            <xm:f>X$34='new pivot'!$A$66</xm:f>
            <x14:dxf>
              <fill>
                <patternFill>
                  <bgColor rgb="FFFFC000"/>
                </patternFill>
              </fill>
              <border>
                <bottom style="thin">
                  <color theme="1" tint="4.9989318521683403E-2"/>
                </bottom>
                <vertical/>
                <horizontal/>
              </border>
            </x14:dxf>
          </x14:cfRule>
          <xm:sqref>X34:AB54</xm:sqref>
        </x14:conditionalFormatting>
        <x14:conditionalFormatting xmlns:xm="http://schemas.microsoft.com/office/excel/2006/main">
          <x14:cfRule type="dataBar" id="{A12FB74E-B391-47F4-9BA8-161B0AB13E09}">
            <x14:dataBar minLength="0" maxLength="100" gradient="0">
              <x14:cfvo type="autoMin"/>
              <x14:cfvo type="autoMax"/>
              <x14:negativeFillColor rgb="FFFF0000"/>
              <x14:axisColor rgb="FF000000"/>
            </x14:dataBar>
          </x14:cfRule>
          <xm:sqref>X38:AB54</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Pivots</vt:lpstr>
      <vt:lpstr>Sheet1</vt:lpstr>
      <vt:lpstr>Sheet3</vt:lpstr>
      <vt:lpstr>Sheet2</vt:lpstr>
      <vt:lpstr>Sheet4</vt:lpstr>
      <vt:lpstr>Sheet5</vt:lpstr>
      <vt:lpstr>sheet 6</vt:lpstr>
      <vt:lpstr>Sheet7</vt:lpstr>
      <vt:lpstr>Sheet8</vt:lpstr>
      <vt:lpstr>DATA2</vt:lpstr>
      <vt:lpstr>new pivot</vt:lpstr>
      <vt:lpstr>Data</vt:lpstr>
      <vt:lpstr>ASSETS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gayathri akuthota</cp:lastModifiedBy>
  <dcterms:created xsi:type="dcterms:W3CDTF">2021-03-14T20:21:32Z</dcterms:created>
  <dcterms:modified xsi:type="dcterms:W3CDTF">2026-06-07T17:58:59Z</dcterms:modified>
</cp:coreProperties>
</file>